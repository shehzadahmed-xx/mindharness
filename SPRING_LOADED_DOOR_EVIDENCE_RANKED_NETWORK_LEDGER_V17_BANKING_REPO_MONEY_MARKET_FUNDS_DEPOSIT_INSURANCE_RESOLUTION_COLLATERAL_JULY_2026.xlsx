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51fa91928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4d294630b934884"/>
    <x:sheet xmlns:r="http://schemas.openxmlformats.org/officeDocument/2006/relationships" name="V17 Delta" sheetId="2" r:id="R5cd8da3c67414300"/>
    <x:sheet xmlns:r="http://schemas.openxmlformats.org/officeDocument/2006/relationships" name="Actors" sheetId="3" r:id="Rd2cbdc4ca452434f"/>
    <x:sheet xmlns:r="http://schemas.openxmlformats.org/officeDocument/2006/relationships" name="Relationships" sheetId="4" r:id="Rd75eff8fe515483a"/>
    <x:sheet xmlns:r="http://schemas.openxmlformats.org/officeDocument/2006/relationships" name="Banking Liquidity Layer" sheetId="5" r:id="R024802c779db4c05"/>
    <x:sheet xmlns:r="http://schemas.openxmlformats.org/officeDocument/2006/relationships" name="Bank Money" sheetId="6" r:id="Re3e11cb6cef54c01"/>
    <x:sheet xmlns:r="http://schemas.openxmlformats.org/officeDocument/2006/relationships" name="Basel Liquidity" sheetId="7" r:id="R2d432189c6514116"/>
    <x:sheet xmlns:r="http://schemas.openxmlformats.org/officeDocument/2006/relationships" name="Deposit Insurance" sheetId="8" r:id="Ra898eaed8435457d"/>
    <x:sheet xmlns:r="http://schemas.openxmlformats.org/officeDocument/2006/relationships" name="Bank Resolution" sheetId="9" r:id="R7d5f7535e3214c48"/>
    <x:sheet xmlns:r="http://schemas.openxmlformats.org/officeDocument/2006/relationships" name="Central Bank Liquidity" sheetId="10" r:id="Rbfb1869ff86942ab"/>
    <x:sheet xmlns:r="http://schemas.openxmlformats.org/officeDocument/2006/relationships" name="FHLBank Funding" sheetId="11" r:id="Rfd744a9cbd3d4f92"/>
    <x:sheet xmlns:r="http://schemas.openxmlformats.org/officeDocument/2006/relationships" name="Repo Market" sheetId="12" r:id="R1e9a34c2dff840cf"/>
    <x:sheet xmlns:r="http://schemas.openxmlformats.org/officeDocument/2006/relationships" name="Money Market Funds" sheetId="13" r:id="Rc14313c28a374eca"/>
    <x:sheet xmlns:r="http://schemas.openxmlformats.org/officeDocument/2006/relationships" name="Tri-Party Repo" sheetId="14" r:id="Rd8299a57b1b24f12"/>
    <x:sheet xmlns:r="http://schemas.openxmlformats.org/officeDocument/2006/relationships" name="FICC Treasury" sheetId="15" r:id="Rdae94ce2c28b4929"/>
    <x:sheet xmlns:r="http://schemas.openxmlformats.org/officeDocument/2006/relationships" name="Securities Lending" sheetId="16" r:id="R3cc8be377cef4f6f"/>
    <x:sheet xmlns:r="http://schemas.openxmlformats.org/officeDocument/2006/relationships" name="Named Institutions" sheetId="17" r:id="R8d95c6ab0ac7431b"/>
    <x:sheet xmlns:r="http://schemas.openxmlformats.org/officeDocument/2006/relationships" name="Balance Sheet Stack" sheetId="18" r:id="Ra7d6f253b00440f4"/>
    <x:sheet xmlns:r="http://schemas.openxmlformats.org/officeDocument/2006/relationships" name="Funding Backstop Matrix" sheetId="19" r:id="Ref7a7933b9144760"/>
    <x:sheet xmlns:r="http://schemas.openxmlformats.org/officeDocument/2006/relationships" name="Instruments" sheetId="20" r:id="R17839c0772af4b5e"/>
    <x:sheet xmlns:r="http://schemas.openxmlformats.org/officeDocument/2006/relationships" name="Mechanisms" sheetId="21" r:id="Ra655ee49cb174b48"/>
    <x:sheet xmlns:r="http://schemas.openxmlformats.org/officeDocument/2006/relationships" name="Claims" sheetId="22" r:id="R96aa0c687635417d"/>
    <x:sheet xmlns:r="http://schemas.openxmlformats.org/officeDocument/2006/relationships" name="Sources" sheetId="23" r:id="R361f2113779b4d18"/>
    <x:sheet xmlns:r="http://schemas.openxmlformats.org/officeDocument/2006/relationships" name="Research Queue" sheetId="24" r:id="R39fcb8bf484a49b9"/>
    <x:sheet xmlns:r="http://schemas.openxmlformats.org/officeDocument/2006/relationships" name="Data Dictionary" sheetId="25" r:id="R09b33f180b80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5414B"/>
      <x:name val="Carlito"/>
    </x:font>
    <x:font>
      <x:b/>
      <x:sz val="11"/>
      <x:color rgb="FF28313B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8313B"/>
      </x:patternFill>
    </x:fill>
    <x:fill>
      <x:patternFill patternType="solid">
        <x:fgColor rgb="FFF5F8FA"/>
      </x:patternFill>
    </x:fill>
    <x:fill>
      <x:patternFill patternType="solid">
        <x:fgColor rgb="FFE0E7EC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526878"/>
      </x:patternFill>
    </x:fill>
  </x:fills>
  <x:borders count="4">
    <x:border/>
    <x:border/>
    <x:border>
      <x:bottom style="thin">
        <x:color rgb="FF8A98A6"/>
      </x:bottom>
    </x:border>
    <x:border>
      <x:bottom style="thin">
        <x:color rgb="FF8A98A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left"/>
    </x:xf>
    <x:xf numFmtId="0" fontId="4" fillId="11" borderId="0" xfId="0" applyNumberFormat="1" applyFont="1" applyFill="1" applyBorder="1" applyAlignment="1">
      <x:alignment horizontal="left" vertic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left"/>
    </x:xf>
    <x:xf numFmtId="0" fontId="4" fillId="11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4"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febf53a5248c5" /><Relationship Type="http://schemas.openxmlformats.org/officeDocument/2006/relationships/theme" Target="/xl/theme/theme1.xml" Id="R49a3cb8a35544d47" /><Relationship Type="http://schemas.openxmlformats.org/officeDocument/2006/relationships/sharedStrings" Target="/xl/sharedStrings.xml" Id="R8497a2c1ecca41ae" /><Relationship Type="http://schemas.openxmlformats.org/officeDocument/2006/relationships/worksheet" Target="/xl/worksheets/sheet1.xml" Id="Ra4d294630b934884" /><Relationship Type="http://schemas.openxmlformats.org/officeDocument/2006/relationships/worksheet" Target="/xl/worksheets/sheet2.xml" Id="R5cd8da3c67414300" /><Relationship Type="http://schemas.openxmlformats.org/officeDocument/2006/relationships/worksheet" Target="/xl/worksheets/sheet3.xml" Id="Rd2cbdc4ca452434f" /><Relationship Type="http://schemas.openxmlformats.org/officeDocument/2006/relationships/worksheet" Target="/xl/worksheets/sheet4.xml" Id="Rd75eff8fe515483a" /><Relationship Type="http://schemas.openxmlformats.org/officeDocument/2006/relationships/worksheet" Target="/xl/worksheets/sheet5.xml" Id="R024802c779db4c05" /><Relationship Type="http://schemas.openxmlformats.org/officeDocument/2006/relationships/worksheet" Target="/xl/worksheets/sheet6.xml" Id="Re3e11cb6cef54c01" /><Relationship Type="http://schemas.openxmlformats.org/officeDocument/2006/relationships/worksheet" Target="/xl/worksheets/sheet7.xml" Id="R2d432189c6514116" /><Relationship Type="http://schemas.openxmlformats.org/officeDocument/2006/relationships/worksheet" Target="/xl/worksheets/sheet8.xml" Id="Ra898eaed8435457d" /><Relationship Type="http://schemas.openxmlformats.org/officeDocument/2006/relationships/worksheet" Target="/xl/worksheets/sheet9.xml" Id="R7d5f7535e3214c48" /><Relationship Type="http://schemas.openxmlformats.org/officeDocument/2006/relationships/worksheet" Target="/xl/worksheets/sheet10.xml" Id="Rbfb1869ff86942ab" /><Relationship Type="http://schemas.openxmlformats.org/officeDocument/2006/relationships/worksheet" Target="/xl/worksheets/sheet11.xml" Id="Rfd744a9cbd3d4f92" /><Relationship Type="http://schemas.openxmlformats.org/officeDocument/2006/relationships/worksheet" Target="/xl/worksheets/sheet12.xml" Id="R1e9a34c2dff840cf" /><Relationship Type="http://schemas.openxmlformats.org/officeDocument/2006/relationships/worksheet" Target="/xl/worksheets/sheet13.xml" Id="Rc14313c28a374eca" /><Relationship Type="http://schemas.openxmlformats.org/officeDocument/2006/relationships/worksheet" Target="/xl/worksheets/sheet14.xml" Id="Rd8299a57b1b24f12" /><Relationship Type="http://schemas.openxmlformats.org/officeDocument/2006/relationships/worksheet" Target="/xl/worksheets/sheet15.xml" Id="Rdae94ce2c28b4929" /><Relationship Type="http://schemas.openxmlformats.org/officeDocument/2006/relationships/worksheet" Target="/xl/worksheets/sheet16.xml" Id="R3cc8be377cef4f6f" /><Relationship Type="http://schemas.openxmlformats.org/officeDocument/2006/relationships/worksheet" Target="/xl/worksheets/sheet17.xml" Id="R8d95c6ab0ac7431b" /><Relationship Type="http://schemas.openxmlformats.org/officeDocument/2006/relationships/worksheet" Target="/xl/worksheets/sheet18.xml" Id="Ra7d6f253b00440f4" /><Relationship Type="http://schemas.openxmlformats.org/officeDocument/2006/relationships/worksheet" Target="/xl/worksheets/sheet19.xml" Id="Ref7a7933b9144760" /><Relationship Type="http://schemas.openxmlformats.org/officeDocument/2006/relationships/worksheet" Target="/xl/worksheets/sheet20.xml" Id="R17839c0772af4b5e" /><Relationship Type="http://schemas.openxmlformats.org/officeDocument/2006/relationships/worksheet" Target="/xl/worksheets/sheet21.xml" Id="Ra655ee49cb174b48" /><Relationship Type="http://schemas.openxmlformats.org/officeDocument/2006/relationships/worksheet" Target="/xl/worksheets/sheet22.xml" Id="R96aa0c687635417d" /><Relationship Type="http://schemas.openxmlformats.org/officeDocument/2006/relationships/worksheet" Target="/xl/worksheets/sheet23.xml" Id="R361f2113779b4d18" /><Relationship Type="http://schemas.openxmlformats.org/officeDocument/2006/relationships/worksheet" Target="/xl/worksheets/sheet24.xml" Id="R39fcb8bf484a49b9" /><Relationship Type="http://schemas.openxmlformats.org/officeDocument/2006/relationships/worksheet" Target="/xl/worksheets/sheet25.xml" Id="R09b33f180b8043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59062bcba547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V17 relationships by evidence grade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Relationship count</c:v>
          </c:tx>
          <c:cat>
            <c:strRef>
              <c:f>'Overview'!$S$5:$S$10</c:f>
              <c:strCache>
                <c:ptCount val="0"/>
              </c:strCache>
            </c:strRef>
          </c:cat>
          <c:val>
            <c:numRef>
              <c:f>'Overview'!$T$5:$T$10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59062bcba547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orsV17Table" displayName="ActorsV17Table" ref="A4:F962" headerRowCount="1">
  <x:tableColumns count="6">
    <x:tableColumn id="1" name="Actor ID"/>
    <x:tableColumn id="2" name="Canonical name"/>
    <x:tableColumn id="3" name="Actor type"/>
    <x:tableColumn id="4" name="Jurisdiction"/>
    <x:tableColumn id="5" name="Role in network"/>
    <x:tableColumn id="6" name="Aliases / notes"/>
  </x:tableColumns>
  <x:tableStyleInfo name="TableStyleMedium2" showRowStripes="1"/>
</x:table>
</file>

<file path=xl/tables/table2.xml><?xml version="1.0" encoding="utf-8"?>
<x:table xmlns:x="http://schemas.openxmlformats.org/spreadsheetml/2006/main" id="2" name="RelationshipsV17Table" displayName="RelationshipsV17Table" ref="A4:X1097" headerRowCount="1">
  <x:tableColumns count="24">
    <x:tableColumn id="1" name="Relationship ID"/>
    <x:tableColumn id="2" name="Category"/>
    <x:tableColumn id="3" name="Actor A ID"/>
    <x:tableColumn id="4" name="Actor A"/>
    <x:tableColumn id="5" name="Actor B ID"/>
    <x:tableColumn id="6" name="Actor B"/>
    <x:tableColumn id="7" name="Direction"/>
    <x:tableColumn id="8" name="Date / period"/>
    <x:tableColumn id="9" name="Edge type"/>
    <x:tableColumn id="10" name="Instrument ID"/>
    <x:tableColumn id="11" name="Amount / scale"/>
    <x:tableColumn id="12" name="Conversion input"/>
    <x:tableColumn id="13" name="Conversion output"/>
    <x:tableColumn id="14" name="Conversion mechanism"/>
    <x:tableColumn id="15" name="Power dimensions"/>
    <x:tableColumn id="16" name="Evidence grade"/>
    <x:tableColumn id="17" name="Confidence"/>
    <x:tableColumn id="18" name="Source IDs"/>
    <x:tableColumn id="19" name="What evidence establishes"/>
    <x:tableColumn id="20" name="What evidence does not establish"/>
    <x:tableColumn id="21" name="Competing explanation / caveat"/>
    <x:tableColumn id="22" name="Status"/>
    <x:tableColumn id="23" name="Manuscript chapter"/>
    <x:tableColumn id="24" name="Last verified"/>
  </x:tableColumns>
  <x:tableStyleInfo name="TableStyleMedium2" showRowStripes="1"/>
</x:table>
</file>

<file path=xl/tables/table3.xml><?xml version="1.0" encoding="utf-8"?>
<x:table xmlns:x="http://schemas.openxmlformats.org/spreadsheetml/2006/main" id="3" name="BankingLiquidityLayerV17Table" displayName="BankingLiquidityLayerV17Table" ref="A4:S67" headerRowCount="1">
  <x:tableColumns count="19">
    <x:tableColumn id="1" name="Relationship ID"/>
    <x:tableColumn id="2" name="Category"/>
    <x:tableColumn id="3" name="Actor A"/>
    <x:tableColumn id="4" name="Actor B"/>
    <x:tableColumn id="5" name="Direction"/>
    <x:tableColumn id="6" name="Date / period"/>
    <x:tableColumn id="7" name="Edge type"/>
    <x:tableColumn id="8" name="Instrument ID"/>
    <x:tableColumn id="9" name="Amount / scale"/>
    <x:tableColumn id="10" name="Conversion input"/>
    <x:tableColumn id="11" name="Conversion output"/>
    <x:tableColumn id="12" name="Conversion mechanism"/>
    <x:tableColumn id="13" name="Evidence grade"/>
    <x:tableColumn id="14" name="Confidence"/>
    <x:tableColumn id="15" name="Source IDs"/>
    <x:tableColumn id="16" name="What evidence establishes"/>
    <x:tableColumn id="17" name="What evidence does not establish"/>
    <x:tableColumn id="18" name="Competing explanation / caveat"/>
    <x:tableColumn id="1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BankMoneyV17Table" displayName="BankMoneyV17Table" ref="A4:N14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BaselLiquidityV17Table" displayName="BaselLiquidityV17Table" ref="A4:N7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DepositInsuranceV17Table" displayName="DepositInsuranceV17Table" ref="A4:N14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BankResolutionV17Table" displayName="BankResolutionV17Table" ref="A4:N19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CentralBankLiquidityV17Table" displayName="CentralBankLiquidityV17Table" ref="A4:N11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FHLBankFundingV17Table" displayName="FHLBankFundingV17Table" ref="A4:N7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RepoMarketV17Table" displayName="RepoMarketV17Table" ref="A4:N10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MoneyMarketFundsV17Table" displayName="MoneyMarketFundsV17Table" ref="A4:N10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TriPartyRepoV17Table" displayName="TriPartyRepoV17Table" ref="A4:N7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FICCTreasuryV17Table" displayName="FICCTreasuryV17Table" ref="A4:N10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SecuritiesLendingV17Table" displayName="SecuritiesLendingV17Table" ref="A4:N8" headerRowCount="1">
  <x:tableColumns count="14">
    <x:tableColumn id="1" name="Relationship ID"/>
    <x:tableColumn id="2" name="Category"/>
    <x:tableColumn id="3" name="Actor A"/>
    <x:tableColumn id="4" name="Actor B"/>
    <x:tableColumn id="5" name="Date / period"/>
    <x:tableColumn id="6" name="Edge type"/>
    <x:tableColumn id="7" name="Instrument ID"/>
    <x:tableColumn id="8" name="Amount / scale"/>
    <x:tableColumn id="9" name="Conversion mechanism"/>
    <x:tableColumn id="10" name="Evidence grade"/>
    <x:tableColumn id="11" name="Source IDs"/>
    <x:tableColumn id="12" name="What evidence establishes"/>
    <x:tableColumn id="13" name="What evidence does not establish"/>
    <x:tableColumn id="14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NamedInstitutionsV17Table" displayName="NamedInstitutionsV17Table" ref="A4:G16" headerRowCount="1">
  <x:tableColumns count="7">
    <x:tableColumn id="1" name="Institution"/>
    <x:tableColumn id="2" name="Institution type"/>
    <x:tableColumn id="3" name="Jurisdiction"/>
    <x:tableColumn id="4" name="Documented role"/>
    <x:tableColumn id="5" name="E1 relationships"/>
    <x:tableColumn id="6" name="Other relationships"/>
    <x:tableColumn id="7" name="Authority boundary"/>
  </x:tableColumns>
  <x:tableStyleInfo name="TableStyleMedium2" showRowStripes="1"/>
</x:table>
</file>

<file path=xl/tables/table16.xml><?xml version="1.0" encoding="utf-8"?>
<x:table xmlns:x="http://schemas.openxmlformats.org/spreadsheetml/2006/main" id="16" name="BalanceSheetStackV17Table" displayName="BalanceSheetStackV17Table" ref="A4:H13" headerRowCount="1">
  <x:tableColumns count="8">
    <x:tableColumn id="1" name="Layer"/>
    <x:tableColumn id="2" name="Accounting object"/>
    <x:tableColumn id="3" name="Economic function"/>
    <x:tableColumn id="4" name="Immediate risk bearer"/>
    <x:tableColumn id="5" name="Conversion gate"/>
    <x:tableColumn id="6" name="Next state"/>
    <x:tableColumn id="7" name="Failure mode"/>
    <x:tableColumn id="8" name="V17 rows"/>
  </x:tableColumns>
  <x:tableStyleInfo name="TableStyleMedium2" showRowStripes="1"/>
</x:table>
</file>

<file path=xl/tables/table17.xml><?xml version="1.0" encoding="utf-8"?>
<x:table xmlns:x="http://schemas.openxmlformats.org/spreadsheetml/2006/main" id="17" name="FundingBackstopMatrixV17Table" displayName="FundingBackstopMatrixV17Table" ref="A4:H12" headerRowCount="1">
  <x:tableColumns count="8">
    <x:tableColumn id="1" name="Facility or protection"/>
    <x:tableColumn id="2" name="Eligible user"/>
    <x:tableColumn id="3" name="Asset or claim delivered"/>
    <x:tableColumn id="4" name="Resource supplied"/>
    <x:tableColumn id="5" name="Provider bears"/>
    <x:tableColumn id="6" name="Recipient still bears"/>
    <x:tableColumn id="7" name="Solvency effect"/>
    <x:tableColumn id="8" name="Key boundary"/>
  </x:tableColumns>
  <x:tableStyleInfo name="TableStyleMedium2" showRowStripes="1"/>
</x:table>
</file>

<file path=xl/tables/table18.xml><?xml version="1.0" encoding="utf-8"?>
<x:table xmlns:x="http://schemas.openxmlformats.org/spreadsheetml/2006/main" id="18" name="InstrumentsV17Table" displayName="InstrumentsV17Table" ref="A4:K390" headerRowCount="1">
  <x:tableColumns count="11">
    <x:tableColumn id="1" name="Instrument ID"/>
    <x:tableColumn id="2" name="Instrument / transaction"/>
    <x:tableColumn id="3" name="Type"/>
    <x:tableColumn id="4" name="Date / period"/>
    <x:tableColumn id="5" name="Parties"/>
    <x:tableColumn id="6" name="Amount"/>
    <x:tableColumn id="7" name="Currency"/>
    <x:tableColumn id="8" name="Purpose / scope"/>
    <x:tableColumn id="9" name="Evidence grade"/>
    <x:tableColumn id="10" name="Source IDs"/>
    <x:tableColumn id="11" name="Status"/>
  </x:tableColumns>
  <x:tableStyleInfo name="TableStyleMedium2" showRowStripes="1"/>
</x:table>
</file>

<file path=xl/tables/table19.xml><?xml version="1.0" encoding="utf-8"?>
<x:table xmlns:x="http://schemas.openxmlformats.org/spreadsheetml/2006/main" id="19" name="MechanismsV17Table" displayName="MechanismsV17Table" ref="A4:G288" headerRowCount="1">
  <x:tableColumns count="7">
    <x:tableColumn id="1" name="Mechanism ID"/>
    <x:tableColumn id="2" name="Mechanism"/>
    <x:tableColumn id="3" name="Input"/>
    <x:tableColumn id="4" name="Output"/>
    <x:tableColumn id="5" name="Statement"/>
    <x:tableColumn id="6" name="Grade"/>
    <x:tableColumn id="7" name="Limitation"/>
  </x:tableColumns>
  <x:tableStyleInfo name="TableStyleMedium2" showRowStripes="1"/>
</x:table>
</file>

<file path=xl/tables/table20.xml><?xml version="1.0" encoding="utf-8"?>
<x:table xmlns:x="http://schemas.openxmlformats.org/spreadsheetml/2006/main" id="20" name="ClaimsV17Table" displayName="ClaimsV17Table" ref="A4:F158" headerRowCount="1">
  <x:tableColumns count="6">
    <x:tableColumn id="1" name="Claim ID"/>
    <x:tableColumn id="2" name="Claim"/>
    <x:tableColumn id="3" name="Grade"/>
    <x:tableColumn id="4" name="Related IDs"/>
    <x:tableColumn id="5" name="Source IDs"/>
    <x:tableColumn id="6" name="Review rule"/>
  </x:tableColumns>
  <x:tableStyleInfo name="TableStyleMedium2" showRowStripes="1"/>
</x:table>
</file>

<file path=xl/tables/table21.xml><?xml version="1.0" encoding="utf-8"?>
<x:table xmlns:x="http://schemas.openxmlformats.org/spreadsheetml/2006/main" id="21" name="SourcesV17Table" displayName="SourcesV17Table" ref="A4:G804" headerRowCount="1">
  <x:tableColumns count="7">
    <x:tableColumn id="1" name="Source ID"/>
    <x:tableColumn id="2" name="Publisher"/>
    <x:tableColumn id="3" name="Title"/>
    <x:tableColumn id="4" name="Date"/>
    <x:tableColumn id="5" name="Source type"/>
    <x:tableColumn id="6" name="Quality tier"/>
    <x:tableColumn id="7" name="URL"/>
  </x:tableColumns>
  <x:tableStyleInfo name="TableStyleMedium2" showRowStripes="1"/>
</x:table>
</file>

<file path=xl/tables/table22.xml><?xml version="1.0" encoding="utf-8"?>
<x:table xmlns:x="http://schemas.openxmlformats.org/spreadsheetml/2006/main" id="22" name="ResearchQueueV17Table" displayName="ResearchQueueV17Table" ref="A4:G206" headerRowCount="1">
  <x:tableColumns count="7">
    <x:tableColumn id="1" name="Queue ID"/>
    <x:tableColumn id="2" name="Domain"/>
    <x:tableColumn id="3" name="Task"/>
    <x:tableColumn id="4" name="Priority"/>
    <x:tableColumn id="5" name="Status"/>
    <x:tableColumn id="6" name="Upgrade target"/>
    <x:tableColumn id="7" name="Primary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3371c1dbe045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9a8e8ed5f6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28fdd4fcce8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611877936ee45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7459f92dfee41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c10d5b45da546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8a3ab81a95b4c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9747d1e90d04d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0f9dc6d9e3049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e629e49e5d4f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f16b4141da148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00b5b7e2de044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41e62bcb34247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f1477856ba36447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1f2076828f9149b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5f376ca418a546c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4bf7ca04fcbf464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26214de6066344d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567501d150634e8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559b09b8fdea45d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3fc8bf5ac8934e3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b49058893a2c43c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76ee6a9f608f4c5b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7" hidden="0" customWidth="1"/>
    <x:col min="3" max="3" width="86" hidden="0" customWidth="1"/>
    <x:col min="4" max="4" width="17" hidden="0" customWidth="1"/>
    <x:col min="5" max="5" width="28" hidden="0" customWidth="1"/>
    <x:col min="6" max="6" width="3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6" hidden="0" customWidth="1"/>
  </x:cols>
  <x:sheetData>
    <x:row r="1" ht="35" customHeight="1">
      <x:c r="A1" s="5" t="str">
        <x:v>The Spring-Loaded Door — Evidence-Ranked Network Ledger V17</x:v>
      </x:c>
    </x:row>
    <x:row r="2">
      <x:c r="A2" s="12" t="str">
        <x:v>Banking, Repo, Securities Lending, Money-Market Funds, Deposit Insurance, Resolution and Collateral Transformation Edition.</x:v>
      </x:c>
    </x:row>
    <x:row r="4">
      <x:c r="A4" s="21" t="str">
        <x:v>Metric</x:v>
      </x:c>
      <x:c r="B4" s="21" t="str">
        <x:v>V1</x:v>
      </x:c>
      <x:c r="C4" s="21" t="str">
        <x:v>V2</x:v>
      </x:c>
      <x:c r="D4" s="21" t="str">
        <x:v>V3</x:v>
      </x:c>
      <x:c r="E4" s="21" t="str">
        <x:v>V4</x:v>
      </x:c>
      <x:c r="F4" s="21" t="str">
        <x:v>V5</x:v>
      </x:c>
      <x:c r="G4" s="21" t="str">
        <x:v>V6</x:v>
      </x:c>
      <x:c r="H4" s="21" t="str">
        <x:v>V7</x:v>
      </x:c>
      <x:c r="I4" s="21" t="str">
        <x:v>V8</x:v>
      </x:c>
      <x:c r="J4" s="21" t="str">
        <x:v>V9</x:v>
      </x:c>
      <x:c r="K4" s="21" t="str">
        <x:v>V10</x:v>
      </x:c>
      <x:c r="L4" s="21" t="str">
        <x:v>V11</x:v>
      </x:c>
      <x:c r="M4" s="21" t="str">
        <x:v>V12</x:v>
      </x:c>
      <x:c r="N4" s="21" t="str">
        <x:v>V13</x:v>
      </x:c>
      <x:c r="O4" s="21" t="str">
        <x:v>V14</x:v>
      </x:c>
      <x:c r="P4" s="21" t="str">
        <x:v>V15</x:v>
      </x:c>
      <x:c r="Q4" s="21" t="str">
        <x:v>V16</x:v>
      </x:c>
      <x:c r="R4" s="21" t="str">
        <x:v>V17</x:v>
      </x:c>
      <x:c r="S4" s="21" t="str">
        <x:v>Evidence grade</x:v>
      </x:c>
      <x:c r="T4" s="21" t="str">
        <x:v>Relationship count</x:v>
      </x:c>
    </x:row>
    <x:row r="5">
      <x:c r="A5" t="str">
        <x:v>Actors</x:v>
      </x:c>
      <x:c r="B5" t="n">
        <x:v>95</x:v>
      </x:c>
      <x:c r="C5" t="n">
        <x:v>204</x:v>
      </x:c>
      <x:c r="D5" t="n">
        <x:v>273</x:v>
      </x:c>
      <x:c r="E5" t="n">
        <x:v>331</x:v>
      </x:c>
      <x:c r="F5" t="n">
        <x:v>382</x:v>
      </x:c>
      <x:c r="G5" t="n">
        <x:v>436</x:v>
      </x:c>
      <x:c r="H5" t="n">
        <x:v>489</x:v>
      </x:c>
      <x:c r="I5" t="n">
        <x:v>548</x:v>
      </x:c>
      <x:c r="J5" t="n">
        <x:v>609</x:v>
      </x:c>
      <x:c r="K5" t="n">
        <x:v>657</x:v>
      </x:c>
      <x:c r="L5" t="n">
        <x:v>695</x:v>
      </x:c>
      <x:c r="M5" t="n">
        <x:v>738</x:v>
      </x:c>
      <x:c r="N5" t="n">
        <x:v>789</x:v>
      </x:c>
      <x:c r="O5" t="n">
        <x:v>828</x:v>
      </x:c>
      <x:c r="P5" t="n">
        <x:v>866</x:v>
      </x:c>
      <x:c r="Q5" t="n">
        <x:v>911</x:v>
      </x:c>
      <x:c r="R5" t="n">
        <x:v>958</x:v>
      </x:c>
      <x:c r="S5" s="28" t="str">
        <x:v>E1</x:v>
      </x:c>
      <x:c r="T5" t="n">
        <x:f>COUNTIF(Relationships!$P:$P,S5)</x:f>
        <x:v>815</x:v>
      </x:c>
    </x:row>
    <x:row r="6">
      <x:c r="A6" t="str">
        <x:v>Directed relationships</x:v>
      </x:c>
      <x:c r="B6" t="n">
        <x:v>137</x:v>
      </x:c>
      <x:c r="C6" t="n">
        <x:v>256</x:v>
      </x:c>
      <x:c r="D6" t="n">
        <x:v>331</x:v>
      </x:c>
      <x:c r="E6" t="n">
        <x:v>395</x:v>
      </x:c>
      <x:c r="F6" t="n">
        <x:v>450</x:v>
      </x:c>
      <x:c r="G6" t="n">
        <x:v>496</x:v>
      </x:c>
      <x:c r="H6" t="n">
        <x:v>556</x:v>
      </x:c>
      <x:c r="I6" t="n">
        <x:v>615</x:v>
      </x:c>
      <x:c r="J6" t="n">
        <x:v>675</x:v>
      </x:c>
      <x:c r="K6" t="n">
        <x:v>728</x:v>
      </x:c>
      <x:c r="L6" t="n">
        <x:v>778</x:v>
      </x:c>
      <x:c r="M6" t="n">
        <x:v>824</x:v>
      </x:c>
      <x:c r="N6" t="n">
        <x:v>877</x:v>
      </x:c>
      <x:c r="O6" t="n">
        <x:v>925</x:v>
      </x:c>
      <x:c r="P6" t="n">
        <x:v>973</x:v>
      </x:c>
      <x:c r="Q6" t="n">
        <x:v>1030</x:v>
      </x:c>
      <x:c r="R6" t="n">
        <x:v>1093</x:v>
      </x:c>
      <x:c r="S6" s="30" t="str">
        <x:v>E2</x:v>
      </x:c>
      <x:c r="T6" t="n">
        <x:f>COUNTIF(Relationships!$P:$P,S6)</x:f>
        <x:v>86</x:v>
      </x:c>
    </x:row>
    <x:row r="7">
      <x:c r="A7" t="str">
        <x:v>Instruments</x:v>
      </x:c>
      <x:c r="B7" t="n">
        <x:v>26</x:v>
      </x:c>
      <x:c r="C7" t="n">
        <x:v>46</x:v>
      </x:c>
      <x:c r="D7" t="n">
        <x:v>70</x:v>
      </x:c>
      <x:c r="E7" t="n">
        <x:v>94</x:v>
      </x:c>
      <x:c r="F7" t="n">
        <x:v>113</x:v>
      </x:c>
      <x:c r="G7" t="n">
        <x:v>132</x:v>
      </x:c>
      <x:c r="H7" t="n">
        <x:v>157</x:v>
      </x:c>
      <x:c r="I7" t="n">
        <x:v>186</x:v>
      </x:c>
      <x:c r="J7" t="n">
        <x:v>212</x:v>
      </x:c>
      <x:c r="K7" t="n">
        <x:v>238</x:v>
      </x:c>
      <x:c r="L7" t="n">
        <x:v>255</x:v>
      </x:c>
      <x:c r="M7" t="n">
        <x:v>272</x:v>
      </x:c>
      <x:c r="N7" t="n">
        <x:v>289</x:v>
      </x:c>
      <x:c r="O7" t="n">
        <x:v>315</x:v>
      </x:c>
      <x:c r="P7" t="n">
        <x:v>334</x:v>
      </x:c>
      <x:c r="Q7" t="n">
        <x:v>358</x:v>
      </x:c>
      <x:c r="R7" t="n">
        <x:v>386</x:v>
      </x:c>
      <x:c r="S7" s="32" t="str">
        <x:v>S1</x:v>
      </x:c>
      <x:c r="T7" t="n">
        <x:f>COUNTIF(Relationships!$P:$P,S7)</x:f>
        <x:v>166</x:v>
      </x:c>
    </x:row>
    <x:row r="8">
      <x:c r="A8" t="str">
        <x:v>Mechanisms</x:v>
      </x:c>
      <x:c r="B8" t="n">
        <x:v>16</x:v>
      </x:c>
      <x:c r="C8" t="n">
        <x:v>26</x:v>
      </x:c>
      <x:c r="D8" t="n">
        <x:v>41</x:v>
      </x:c>
      <x:c r="E8" t="n">
        <x:v>56</x:v>
      </x:c>
      <x:c r="F8" t="n">
        <x:v>70</x:v>
      </x:c>
      <x:c r="G8" t="n">
        <x:v>85</x:v>
      </x:c>
      <x:c r="H8" t="n">
        <x:v>102</x:v>
      </x:c>
      <x:c r="I8" t="n">
        <x:v>117</x:v>
      </x:c>
      <x:c r="J8" t="n">
        <x:v>133</x:v>
      </x:c>
      <x:c r="K8" t="n">
        <x:v>150</x:v>
      </x:c>
      <x:c r="L8" t="n">
        <x:v>165</x:v>
      </x:c>
      <x:c r="M8" t="n">
        <x:v>181</x:v>
      </x:c>
      <x:c r="N8" t="n">
        <x:v>198</x:v>
      </x:c>
      <x:c r="O8" t="n">
        <x:v>217</x:v>
      </x:c>
      <x:c r="P8" t="n">
        <x:v>237</x:v>
      </x:c>
      <x:c r="Q8" t="n">
        <x:v>258</x:v>
      </x:c>
      <x:c r="R8" t="n">
        <x:v>284</x:v>
      </x:c>
      <x:c r="S8" s="34" t="str">
        <x:v>A1</x:v>
      </x:c>
      <x:c r="T8" t="n">
        <x:f>COUNTIF(Relationships!$P:$P,S8)</x:f>
        <x:v>5</x:v>
      </x:c>
    </x:row>
    <x:row r="9">
      <x:c r="A9" t="str">
        <x:v>Claims</x:v>
      </x:c>
      <x:c r="B9" t="n">
        <x:v>13</x:v>
      </x:c>
      <x:c r="C9" t="n">
        <x:v>20</x:v>
      </x:c>
      <x:c r="D9" t="n">
        <x:v>27</x:v>
      </x:c>
      <x:c r="E9" t="n">
        <x:v>35</x:v>
      </x:c>
      <x:c r="F9" t="n">
        <x:v>42</x:v>
      </x:c>
      <x:c r="G9" t="n">
        <x:v>50</x:v>
      </x:c>
      <x:c r="H9" t="n">
        <x:v>58</x:v>
      </x:c>
      <x:c r="I9" t="n">
        <x:v>66</x:v>
      </x:c>
      <x:c r="J9" t="n">
        <x:v>74</x:v>
      </x:c>
      <x:c r="K9" t="n">
        <x:v>83</x:v>
      </x:c>
      <x:c r="L9" t="n">
        <x:v>92</x:v>
      </x:c>
      <x:c r="M9" t="n">
        <x:v>101</x:v>
      </x:c>
      <x:c r="N9" t="n">
        <x:v>110</x:v>
      </x:c>
      <x:c r="O9" t="n">
        <x:v>121</x:v>
      </x:c>
      <x:c r="P9" t="n">
        <x:v>131</x:v>
      </x:c>
      <x:c r="Q9" t="n">
        <x:v>142</x:v>
      </x:c>
      <x:c r="R9" t="n">
        <x:v>154</x:v>
      </x:c>
      <x:c r="S9" s="36" t="str">
        <x:v>U1</x:v>
      </x:c>
      <x:c r="T9" t="n">
        <x:f>COUNTIF(Relationships!$P:$P,S9)</x:f>
        <x:v>16</x:v>
      </x:c>
    </x:row>
    <x:row r="10">
      <x:c r="A10" t="str">
        <x:v>Sources</x:v>
      </x:c>
      <x:c r="B10" t="n">
        <x:v>52</x:v>
      </x:c>
      <x:c r="C10" t="n">
        <x:v>100</x:v>
      </x:c>
      <x:c r="D10" t="n">
        <x:v>146</x:v>
      </x:c>
      <x:c r="E10" t="n">
        <x:v>186</x:v>
      </x:c>
      <x:c r="F10" t="n">
        <x:v>220</x:v>
      </x:c>
      <x:c r="G10" t="n">
        <x:v>249</x:v>
      </x:c>
      <x:c r="H10" t="n">
        <x:v>288</x:v>
      </x:c>
      <x:c r="I10" t="n">
        <x:v>332</x:v>
      </x:c>
      <x:c r="J10" t="n">
        <x:v>378</x:v>
      </x:c>
      <x:c r="K10" t="n">
        <x:v>441</x:v>
      </x:c>
      <x:c r="L10" t="n">
        <x:v>490</x:v>
      </x:c>
      <x:c r="M10" t="n">
        <x:v>535</x:v>
      </x:c>
      <x:c r="N10" t="n">
        <x:v>585</x:v>
      </x:c>
      <x:c r="O10" t="n">
        <x:v>637</x:v>
      </x:c>
      <x:c r="P10" t="n">
        <x:v>688</x:v>
      </x:c>
      <x:c r="Q10" t="n">
        <x:v>735</x:v>
      </x:c>
      <x:c r="R10" t="n">
        <x:v>800</x:v>
      </x:c>
      <x:c r="S10" s="38" t="str">
        <x:v>N1</x:v>
      </x:c>
      <x:c r="T10" t="n">
        <x:f>COUNTIF(Relationships!$P:$P,S10)</x:f>
        <x:v>5</x:v>
      </x:c>
    </x:row>
    <x:row r="11">
      <x:c r="A11" t="str">
        <x:v>Research tasks</x:v>
      </x:c>
      <x:c r="B11" t="n">
        <x:v>0</x:v>
      </x:c>
      <x:c r="C11" t="n">
        <x:v>15</x:v>
      </x:c>
      <x:c r="D11" t="n">
        <x:v>26</x:v>
      </x:c>
      <x:c r="E11" t="n">
        <x:v>38</x:v>
      </x:c>
      <x:c r="F11" t="n">
        <x:v>49</x:v>
      </x:c>
      <x:c r="G11" t="n">
        <x:v>61</x:v>
      </x:c>
      <x:c r="H11" t="n">
        <x:v>73</x:v>
      </x:c>
      <x:c r="I11" t="n">
        <x:v>85</x:v>
      </x:c>
      <x:c r="J11" t="n">
        <x:v>97</x:v>
      </x:c>
      <x:c r="K11" t="n">
        <x:v>109</x:v>
      </x:c>
      <x:c r="L11" t="n">
        <x:v>121</x:v>
      </x:c>
      <x:c r="M11" t="n">
        <x:v>133</x:v>
      </x:c>
      <x:c r="N11" t="n">
        <x:v>145</x:v>
      </x:c>
      <x:c r="O11" t="n">
        <x:v>159</x:v>
      </x:c>
      <x:c r="P11" t="n">
        <x:v>173</x:v>
      </x:c>
      <x:c r="Q11" t="n">
        <x:v>187</x:v>
      </x:c>
      <x:c r="R11" t="n">
        <x:v>202</x:v>
      </x:c>
    </x:row>
    <x:row r="14">
      <x:c r="A14" s="43" t="str">
        <x:v>V17 analytical upgrade</x:v>
      </x:c>
    </x:row>
    <x:row r="15">
      <x:c r="A15" s="48" t="str">
        <x:v>1. Separates a bank deposit from segregated cash, reserves and ownership of bank assets.</x:v>
      </x:c>
      <x:c r="B15" s="48" t="str"/>
      <x:c r="C15" s="48" t="str"/>
      <x:c r="D15" s="48" t="str"/>
      <x:c r="E15" s="48" t="str"/>
      <x:c r="F15" s="48" t="str"/>
      <x:c r="G15" s="48" t="str"/>
      <x:c r="H15" s="48" t="str"/>
      <x:c r="I15" s="48" t="str"/>
      <x:c r="J15" s="48" t="str"/>
      <x:c r="K15" s="48" t="str"/>
      <x:c r="L15" s="48" t="str"/>
      <x:c r="M15" s="48" t="str"/>
      <x:c r="N15" s="48" t="str"/>
      <x:c r="O15" s="48" t="str"/>
      <x:c r="P15" s="48" t="str"/>
      <x:c r="Q15" s="48" t="str"/>
      <x:c r="R15" s="48" t="str"/>
      <x:c r="S15" s="48" t="str"/>
      <x:c r="T15" s="48" t="str"/>
    </x:row>
    <x:row r="16">
      <x:c r="A16" s="48" t="str">
        <x:v>2. Connects loan creation to deposit creation while preserving capital, liquidity and settlement constraints.</x:v>
      </x:c>
      <x:c r="B16" s="48" t="str"/>
      <x:c r="C16" s="48" t="str"/>
      <x:c r="D16" s="48" t="str"/>
      <x:c r="E16" s="48" t="str"/>
      <x:c r="F16" s="48" t="str"/>
      <x:c r="G16" s="48" t="str"/>
      <x:c r="H16" s="48" t="str"/>
      <x:c r="I16" s="48" t="str"/>
      <x:c r="J16" s="48" t="str"/>
      <x:c r="K16" s="48" t="str"/>
      <x:c r="L16" s="48" t="str"/>
      <x:c r="M16" s="48" t="str"/>
      <x:c r="N16" s="48" t="str"/>
      <x:c r="O16" s="48" t="str"/>
      <x:c r="P16" s="48" t="str"/>
      <x:c r="Q16" s="48" t="str"/>
      <x:c r="R16" s="48" t="str"/>
      <x:c r="S16" s="48" t="str"/>
      <x:c r="T16" s="48" t="str"/>
    </x:row>
    <x:row r="17">
      <x:c r="A17" s="48" t="str">
        <x:v>3. Separates Basel LCR short-term liquidity from NSFR structural funding and solvency capital.</x:v>
      </x:c>
      <x:c r="B17" s="48" t="str"/>
      <x:c r="C17" s="48" t="str"/>
      <x:c r="D17" s="48" t="str"/>
      <x:c r="E17" s="48" t="str"/>
      <x:c r="F17" s="48" t="str"/>
      <x:c r="G17" s="48" t="str"/>
      <x:c r="H17" s="48" t="str"/>
      <x:c r="I17" s="48" t="str"/>
      <x:c r="J17" s="48" t="str"/>
      <x:c r="K17" s="48" t="str"/>
      <x:c r="L17" s="48" t="str"/>
      <x:c r="M17" s="48" t="str"/>
      <x:c r="N17" s="48" t="str"/>
      <x:c r="O17" s="48" t="str"/>
      <x:c r="P17" s="48" t="str"/>
      <x:c r="Q17" s="48" t="str"/>
      <x:c r="R17" s="48" t="str"/>
      <x:c r="S17" s="48" t="str"/>
      <x:c r="T17" s="48" t="str"/>
    </x:row>
    <x:row r="18">
      <x:c r="A18" s="48" t="str">
        <x:v>4. Separates insured deposit protection from uninsured depositor, creditor and shareholder loss allocation.</x:v>
      </x:c>
      <x:c r="B18" s="48" t="str"/>
      <x:c r="C18" s="48" t="str"/>
      <x:c r="D18" s="48" t="str"/>
      <x:c r="E18" s="48" t="str"/>
      <x:c r="F18" s="48" t="str"/>
      <x:c r="G18" s="48" t="str"/>
      <x:c r="H18" s="48" t="str"/>
      <x:c r="I18" s="48" t="str"/>
      <x:c r="J18" s="48" t="str"/>
      <x:c r="K18" s="48" t="str"/>
      <x:c r="L18" s="48" t="str"/>
      <x:c r="M18" s="48" t="str"/>
      <x:c r="N18" s="48" t="str"/>
      <x:c r="O18" s="48" t="str"/>
      <x:c r="P18" s="48" t="str"/>
      <x:c r="Q18" s="48" t="str"/>
      <x:c r="R18" s="48" t="str"/>
      <x:c r="S18" s="48" t="str"/>
      <x:c r="T18" s="48" t="str"/>
    </x:row>
    <x:row r="19">
      <x:c r="A19" s="48" t="str">
        <x:v>5. Separates central-bank and FHLBank liquidity from economic recapitalisation.</x:v>
      </x:c>
      <x:c r="B19" s="48" t="str"/>
      <x:c r="C19" s="48" t="str"/>
      <x:c r="D19" s="48" t="str"/>
      <x:c r="E19" s="48" t="str"/>
      <x:c r="F19" s="48" t="str"/>
      <x:c r="G19" s="48" t="str"/>
      <x:c r="H19" s="48" t="str"/>
      <x:c r="I19" s="48" t="str"/>
      <x:c r="J19" s="48" t="str"/>
      <x:c r="K19" s="48" t="str"/>
      <x:c r="L19" s="48" t="str"/>
      <x:c r="M19" s="48" t="str"/>
      <x:c r="N19" s="48" t="str"/>
      <x:c r="O19" s="48" t="str"/>
      <x:c r="P19" s="48" t="str"/>
      <x:c r="Q19" s="48" t="str"/>
      <x:c r="R19" s="48" t="str"/>
      <x:c r="S19" s="48" t="str"/>
      <x:c r="T19" s="48" t="str"/>
    </x:row>
    <x:row r="20">
      <x:c r="A20" s="48" t="str">
        <x:v>6. Separates repo legal title, beneficial exposure, collateral, haircut and rollover risk.</x:v>
      </x:c>
      <x:c r="B20" s="48" t="str"/>
      <x:c r="C20" s="48" t="str"/>
      <x:c r="D20" s="48" t="str"/>
      <x:c r="E20" s="48" t="str"/>
      <x:c r="F20" s="48" t="str"/>
      <x:c r="G20" s="48" t="str"/>
      <x:c r="H20" s="48" t="str"/>
      <x:c r="I20" s="48" t="str"/>
      <x:c r="J20" s="48" t="str"/>
      <x:c r="K20" s="48" t="str"/>
      <x:c r="L20" s="48" t="str"/>
      <x:c r="M20" s="48" t="str"/>
      <x:c r="N20" s="48" t="str"/>
      <x:c r="O20" s="48" t="str"/>
      <x:c r="P20" s="48" t="str"/>
      <x:c r="Q20" s="48" t="str"/>
      <x:c r="R20" s="48" t="str"/>
      <x:c r="S20" s="48" t="str"/>
      <x:c r="T20" s="48" t="str"/>
    </x:row>
    <x:row r="21">
      <x:c r="A21" s="48" t="str">
        <x:v>7. Separates money-market fund shares from insured bank deposits and public guarantees.</x:v>
      </x:c>
      <x:c r="B21" s="48" t="str"/>
      <x:c r="C21" s="48" t="str"/>
      <x:c r="D21" s="48" t="str"/>
      <x:c r="E21" s="48" t="str"/>
      <x:c r="F21" s="48" t="str"/>
      <x:c r="G21" s="48" t="str"/>
      <x:c r="H21" s="48" t="str"/>
      <x:c r="I21" s="48" t="str"/>
      <x:c r="J21" s="48" t="str"/>
      <x:c r="K21" s="48" t="str"/>
      <x:c r="L21" s="48" t="str"/>
      <x:c r="M21" s="48" t="str"/>
      <x:c r="N21" s="48" t="str"/>
      <x:c r="O21" s="48" t="str"/>
      <x:c r="P21" s="48" t="str"/>
      <x:c r="Q21" s="48" t="str"/>
      <x:c r="R21" s="48" t="str"/>
      <x:c r="S21" s="48" t="str"/>
      <x:c r="T21" s="48" t="str"/>
    </x:row>
    <x:row r="22">
      <x:c r="A22" s="48" t="str">
        <x:v>8. Separates tri-party collateral operations from the economic lender and borrower.</x:v>
      </x:c>
      <x:c r="B22" s="48" t="str"/>
      <x:c r="C22" s="48" t="str"/>
      <x:c r="D22" s="48" t="str"/>
      <x:c r="E22" s="48" t="str"/>
      <x:c r="F22" s="48" t="str"/>
      <x:c r="G22" s="48" t="str"/>
      <x:c r="H22" s="48" t="str"/>
      <x:c r="I22" s="48" t="str"/>
      <x:c r="J22" s="48" t="str"/>
      <x:c r="K22" s="48" t="str"/>
      <x:c r="L22" s="48" t="str"/>
      <x:c r="M22" s="48" t="str"/>
      <x:c r="N22" s="48" t="str"/>
      <x:c r="O22" s="48" t="str"/>
      <x:c r="P22" s="48" t="str"/>
      <x:c r="Q22" s="48" t="str"/>
      <x:c r="R22" s="48" t="str"/>
      <x:c r="S22" s="48" t="str"/>
      <x:c r="T22" s="48" t="str"/>
    </x:row>
    <x:row r="23">
      <x:c r="A23" s="48" t="str">
        <x:v>9. Separates FICC netting and clearing from government ownership or lossless settlement.</x:v>
      </x:c>
      <x:c r="B23" s="48" t="str"/>
      <x:c r="C23" s="48" t="str"/>
      <x:c r="D23" s="48" t="str"/>
      <x:c r="E23" s="48" t="str"/>
      <x:c r="F23" s="48" t="str"/>
      <x:c r="G23" s="48" t="str"/>
      <x:c r="H23" s="48" t="str"/>
      <x:c r="I23" s="48" t="str"/>
      <x:c r="J23" s="48" t="str"/>
      <x:c r="K23" s="48" t="str"/>
      <x:c r="L23" s="48" t="str"/>
      <x:c r="M23" s="48" t="str"/>
      <x:c r="N23" s="48" t="str"/>
      <x:c r="O23" s="48" t="str"/>
      <x:c r="P23" s="48" t="str"/>
      <x:c r="Q23" s="48" t="str"/>
      <x:c r="R23" s="48" t="str"/>
      <x:c r="S23" s="48" t="str"/>
      <x:c r="T23" s="48" t="str"/>
    </x:row>
    <x:row r="24">
      <x:c r="A24" s="48" t="str">
        <x:v>10. Separates securities lending possession, beneficial exposure, voting, recall and collateral rights.</x:v>
      </x:c>
      <x:c r="B24" s="48" t="str"/>
      <x:c r="C24" s="48" t="str"/>
      <x:c r="D24" s="48" t="str"/>
      <x:c r="E24" s="48" t="str"/>
      <x:c r="F24" s="48" t="str"/>
      <x:c r="G24" s="48" t="str"/>
      <x:c r="H24" s="48" t="str"/>
      <x:c r="I24" s="48" t="str"/>
      <x:c r="J24" s="48" t="str"/>
      <x:c r="K24" s="48" t="str"/>
      <x:c r="L24" s="48" t="str"/>
      <x:c r="M24" s="48" t="str"/>
      <x:c r="N24" s="48" t="str"/>
      <x:c r="O24" s="48" t="str"/>
      <x:c r="P24" s="48" t="str"/>
      <x:c r="Q24" s="48" t="str"/>
      <x:c r="R24" s="48" t="str"/>
      <x:c r="S24" s="48" t="str"/>
      <x:c r="T24" s="48" t="str"/>
    </x:row>
    <x:row r="26">
      <x:c r="A26" s="43" t="str">
        <x:v>New governing theorem</x:v>
      </x:c>
    </x:row>
    <x:row r="27">
      <x:c r="A27" s="48" t="str">
        <x:v>Banking power is the licensed ability to issue money-like liabilities, transform collateral into liquidity and allocate losses through a public–private safety net.</x:v>
      </x:c>
      <x:c r="B27" s="48" t="str"/>
      <x:c r="C27" s="48" t="str"/>
      <x:c r="D27" s="48" t="str"/>
      <x:c r="E27" s="48" t="str"/>
      <x:c r="F27" s="48" t="str"/>
      <x:c r="G27" s="48" t="str"/>
      <x:c r="H27" s="48" t="str"/>
      <x:c r="I27" s="48" t="str"/>
      <x:c r="J27" s="48" t="str"/>
      <x:c r="K27" s="48" t="str"/>
      <x:c r="L27" s="48" t="str"/>
      <x:c r="M27" s="48" t="str"/>
      <x:c r="N27" s="48" t="str"/>
      <x:c r="O27" s="48" t="str"/>
      <x:c r="P27" s="48" t="str"/>
      <x:c r="Q27" s="48" t="str"/>
      <x:c r="R27" s="48" t="str"/>
      <x:c r="S27" s="48" t="str"/>
      <x:c r="T27" s="48" t="str"/>
    </x:row>
    <x:row r="28">
      <x:c r="A28" s="48" t="str">
        <x:v>The audit chain is: loan or security → bank asset → deposit or wholesale liability → payment and collateral flows → run or default → liquidity facility, insurance or resolution → final loss bearer.</x:v>
      </x:c>
      <x:c r="B28" s="48" t="str"/>
      <x:c r="C28" s="48" t="str"/>
      <x:c r="D28" s="48" t="str"/>
      <x:c r="E28" s="48" t="str"/>
      <x:c r="F28" s="48" t="str"/>
      <x:c r="G28" s="48" t="str"/>
      <x:c r="H28" s="48" t="str"/>
      <x:c r="I28" s="48" t="str"/>
      <x:c r="J28" s="48" t="str"/>
      <x:c r="K28" s="48" t="str"/>
      <x:c r="L28" s="48" t="str"/>
      <x:c r="M28" s="48" t="str"/>
      <x:c r="N28" s="48" t="str"/>
      <x:c r="O28" s="48" t="str"/>
      <x:c r="P28" s="48" t="str"/>
      <x:c r="Q28" s="48" t="str"/>
      <x:c r="R28" s="48" t="str"/>
      <x:c r="S28" s="48" t="str"/>
      <x:c r="T28" s="48" t="str"/>
    </x:row>
    <x:row r="29">
      <x:c r="A29" s="48" t="str">
        <x:v>Liquidity support can change timing and prevent fire sales; it cannot by itself eliminate an asset loss or restore insufficient capital.</x:v>
      </x:c>
      <x:c r="B29" s="48" t="str"/>
      <x:c r="C29" s="48" t="str"/>
      <x:c r="D29" s="48" t="str"/>
      <x:c r="E29" s="48" t="str"/>
      <x:c r="F29" s="48" t="str"/>
      <x:c r="G29" s="48" t="str"/>
      <x:c r="H29" s="48" t="str"/>
      <x:c r="I29" s="48" t="str"/>
      <x:c r="J29" s="48" t="str"/>
      <x:c r="K29" s="48" t="str"/>
      <x:c r="L29" s="48" t="str"/>
      <x:c r="M29" s="48" t="str"/>
      <x:c r="N29" s="48" t="str"/>
      <x:c r="O29" s="48" t="str"/>
      <x:c r="P29" s="48" t="str"/>
      <x:c r="Q29" s="48" t="str"/>
      <x:c r="R29" s="48" t="str"/>
      <x:c r="S29" s="48" t="str"/>
      <x:c r="T29" s="48" t="str"/>
    </x:row>
    <x:row r="31">
      <x:c r="A31" s="43" t="str">
        <x:v>Highest-priority V17 research tasks</x:v>
      </x:c>
    </x:row>
    <x:row r="32">
      <x:c r="A32" s="21" t="str">
        <x:v>RQ-188</x:v>
      </x:c>
      <x:c r="B32" s="21" t="str">
        <x:v>Commercial bank money creation</x:v>
      </x:c>
      <x:c r="C32" s="21" t="str">
        <x:v>Build transaction-level bank balance-sheet examples linking loan origination, deposit creation, payment outflow and reserve settlement.</x:v>
      </x:c>
      <x:c r="D32" s="21" t="str">
        <x:v>Not started</x:v>
      </x:c>
      <x:c r="E32" s="21" t="str">
        <x:v>V17BANK-001–008</x:v>
      </x:c>
      <x:c r="F32" s="21" t="str">
        <x:v>SRC-736–SRC-738; bank call reports</x:v>
      </x:c>
      <x:c r="G32" s="21" t="str"/>
    </x:row>
    <x:row r="33">
      <x:c r="A33" s="48" t="str">
        <x:v>RQ-189</x:v>
      </x:c>
      <x:c r="B33" s="48" t="str">
        <x:v>Deposit-insurance concentration</x:v>
      </x:c>
      <x:c r="C33" s="48" t="str">
        <x:v>Measure insured and uninsured deposits by bank, ownership category, depositor concentration and run speed.</x:v>
      </x:c>
      <x:c r="D33" s="48" t="str">
        <x:v>Open</x:v>
      </x:c>
      <x:c r="E33" s="48" t="str">
        <x:v>V17FDIC-001–010</x:v>
      </x:c>
      <x:c r="F33" s="48" t="str">
        <x:v>SRC-739–SRC-741; call reports</x:v>
      </x:c>
      <x:c r="G33" s="48" t="str"/>
    </x:row>
    <x:row r="34">
      <x:c r="A34" s="48" t="str">
        <x:v>RQ-190</x:v>
      </x:c>
      <x:c r="B34" s="48" t="str">
        <x:v>Failed-bank resolution ledger</x:v>
      </x:c>
      <x:c r="C34" s="48" t="str">
        <x:v>Track every failure through charter closure, bids, least-cost test, bridge bank, buyer, DIF loss and creditor recovery.</x:v>
      </x:c>
      <x:c r="D34" s="48" t="str">
        <x:v>Open</x:v>
      </x:c>
      <x:c r="E34" s="48" t="str">
        <x:v>V17FDIC-006–008</x:v>
      </x:c>
      <x:c r="F34" s="48" t="str">
        <x:v>SRC-742–SRC-746; receivership statements</x:v>
      </x:c>
      <x:c r="G34" s="48" t="str"/>
    </x:row>
    <x:row r="35">
      <x:c r="A35" s="48" t="str">
        <x:v>RQ-191</x:v>
      </x:c>
      <x:c r="B35" s="48" t="str">
        <x:v>Uninsured depositor recovery</x:v>
      </x:c>
      <x:c r="C35" s="48" t="str">
        <x:v>Estimate timing and recovery rates for uninsured depositors across historical receiverships.</x:v>
      </x:c>
      <x:c r="D35" s="48" t="str">
        <x:v>Not started</x:v>
      </x:c>
      <x:c r="E35" s="48" t="str">
        <x:v>V17FDIC-003; INS-368</x:v>
      </x:c>
      <x:c r="F35" s="48" t="str">
        <x:v>SRC-746; receivership financial statements</x:v>
      </x:c>
      <x:c r="G35" s="48" t="str"/>
    </x:row>
    <x:row r="36">
      <x:c r="A36" s="48" t="str">
        <x:v>RQ-192</x:v>
      </x:c>
      <x:c r="B36" s="48" t="str">
        <x:v>G-SIB bail-in map</x:v>
      </x:c>
      <x:c r="C36" s="48" t="str">
        <x:v>Link resolution entities, external and internal TLAC, creditor jurisdictions, conversion mechanism and temporary funding plans.</x:v>
      </x:c>
      <x:c r="D36" s="48" t="str">
        <x:v>Open</x:v>
      </x:c>
      <x:c r="E36" s="48" t="str">
        <x:v>V17RES-001–005</x:v>
      </x:c>
      <x:c r="F36" s="48" t="str">
        <x:v>SRC-750–SRC-753; firm resolution plans</x:v>
      </x:c>
      <x:c r="G36" s="48" t="str"/>
    </x:row>
    <x:row r="37">
      <x:c r="A37" s="48" t="str">
        <x:v>RQ-193</x:v>
      </x:c>
      <x:c r="B37" s="48" t="str">
        <x:v>Discount-window collateral</x:v>
      </x:c>
      <x:c r="C37" s="48" t="str">
        <x:v>Map pledged asset classes, lending values, borrower readiness, pre-positioning and use during stress.</x:v>
      </x:c>
      <x:c r="D37" s="48" t="str">
        <x:v>Open</x:v>
      </x:c>
      <x:c r="E37" s="48" t="str">
        <x:v>V17FED-001–004</x:v>
      </x:c>
      <x:c r="F37" s="48" t="str">
        <x:v>SRC-759; SRC-763; H.4.1 and Reserve Bank data</x:v>
      </x:c>
      <x:c r="G37" s="48" t="str"/>
    </x:row>
    <x:row r="38">
      <x:c r="A38" s="48" t="str">
        <x:v>RQ-194</x:v>
      </x:c>
      <x:c r="B38" s="48" t="str">
        <x:v>FHLBank advance network</x:v>
      </x:c>
      <x:c r="C38" s="48" t="str">
        <x:v>Link member institutions, collateral, advance maturities, rates, encumbrance and failure outcomes.</x:v>
      </x:c>
      <x:c r="D38" s="48" t="str">
        <x:v>Open</x:v>
      </x:c>
      <x:c r="E38" s="48" t="str">
        <x:v>V17FHLB-001–003</x:v>
      </x:c>
      <x:c r="F38" s="48" t="str">
        <x:v>SRC-764–SRC-765; combined financial reports</x:v>
      </x:c>
      <x:c r="G38" s="48" t="str"/>
    </x:row>
    <x:row r="39">
      <x:c r="A39" s="48" t="str">
        <x:v>RQ-195</x:v>
      </x:c>
      <x:c r="B39" s="48" t="str">
        <x:v>Repo counterparty graph</x:v>
      </x:c>
      <x:c r="C39" s="48" t="str">
        <x:v>Build lender–borrower–collateral–venue–tenor–haircut records across tri-party, cleared and bilateral repo.</x:v>
      </x:c>
      <x:c r="D39" s="48" t="str">
        <x:v>Open</x:v>
      </x:c>
      <x:c r="E39" s="48" t="str">
        <x:v>V17REPO; V17TRI; V17FICC</x:v>
      </x:c>
      <x:c r="F39" s="48" t="str">
        <x:v>SRC-770–SRC-781; OFR data</x:v>
      </x:c>
      <x:c r="G39" s="48" t="str"/>
    </x:row>
    <x:row r="40">
      <x:c r="A40" s="48" t="str">
        <x:v>RQ-196</x:v>
      </x:c>
      <x:c r="B40" s="48" t="str">
        <x:v>Money-fund portfolio graph</x:v>
      </x:c>
      <x:c r="C40" s="48" t="str">
        <x:v>Track fund, sponsor, investor type, repo counterparty, Treasury holdings, ON RRP, liquidity and redemption flows.</x:v>
      </x:c>
      <x:c r="D40" s="48" t="str">
        <x:v>Open</x:v>
      </x:c>
      <x:c r="E40" s="48" t="str">
        <x:v>V17MMF-001–006</x:v>
      </x:c>
      <x:c r="F40" s="48" t="str">
        <x:v>SRC-768–SRC-769; SRC-776; SEC Form N-MFP</x:v>
      </x:c>
      <x:c r="G40" s="48" t="str"/>
    </x:row>
    <x:row r="41">
      <x:c r="A41" s="48" t="str">
        <x:v>RQ-197</x:v>
      </x:c>
      <x:c r="B41" s="48" t="str">
        <x:v>Sponsored repo leverage</x:v>
      </x:c>
      <x:c r="C41" s="48" t="str">
        <x:v>Estimate hedge-fund gross and net Treasury exposure, repo leverage, sponsor concentration and margin sensitivity.</x:v>
      </x:c>
      <x:c r="D41" s="48" t="str">
        <x:v>Open</x:v>
      </x:c>
      <x:c r="E41" s="48" t="str">
        <x:v>V17REPO-006; V17FICC-003–004</x:v>
      </x:c>
      <x:c r="F41" s="48" t="str">
        <x:v>SRC-774; SRC-779–SRC-781</x:v>
      </x:c>
      <x:c r="G41" s="48" t="str"/>
    </x:row>
    <x:row r="42">
      <x:c r="A42" s="48" t="str">
        <x:v>RQ-198</x:v>
      </x:c>
      <x:c r="B42" s="48" t="str">
        <x:v>Tri-party operational concentration</x:v>
      </x:c>
      <x:c r="C42" s="48" t="str">
        <x:v>Map BNY systems, participant accounts, intraday settlement, collateral substitution and recovery dependencies.</x:v>
      </x:c>
      <x:c r="D42" s="48" t="str">
        <x:v>Open</x:v>
      </x:c>
      <x:c r="E42" s="48" t="str">
        <x:v>V17TRI-001–003</x:v>
      </x:c>
      <x:c r="F42" s="48" t="str">
        <x:v>SRC-784–SRC-788</x:v>
      </x:c>
      <x:c r="G42" s="48" t="str"/>
    </x:row>
    <x:row r="43">
      <x:c r="A43" s="48" t="str">
        <x:v>RQ-199</x:v>
      </x:c>
      <x:c r="B43" s="48" t="str">
        <x:v>Treasury clearing transition</x:v>
      </x:c>
      <x:c r="C43" s="48" t="str">
        <x:v>Monitor participant onboarding, access models, volume migration, margin, netting and deadline compliance through 2027.</x:v>
      </x:c>
      <x:c r="D43" s="48" t="str">
        <x:v>Open</x:v>
      </x:c>
      <x:c r="E43" s="48" t="str">
        <x:v>V17FICC-001–006</x:v>
      </x:c>
      <x:c r="F43" s="48" t="str">
        <x:v>SRC-766–SRC-781</x:v>
      </x:c>
      <x:c r="G43" s="48" t="str"/>
    </x:row>
    <x:row r="44">
      <x:c r="A44" s="48" t="str">
        <x:v>RQ-200</x:v>
      </x:c>
      <x:c r="B44" s="48" t="str">
        <x:v>Securities-lending ownership rights</x:v>
      </x:c>
      <x:c r="C44" s="48" t="str">
        <x:v>Collect lender, borrower, collateral, recall, voting, manufactured dividend and default fields.</x:v>
      </x:c>
      <x:c r="D44" s="48" t="str">
        <x:v>Not started</x:v>
      </x:c>
      <x:c r="E44" s="48" t="str">
        <x:v>V17SL-001–004</x:v>
      </x:c>
      <x:c r="F44" s="48" t="str">
        <x:v>SRC-775; lending agreements and regulatory data</x:v>
      </x:c>
      <x:c r="G44" s="48" t="str"/>
    </x:row>
    <x:row r="45">
      <x:c r="A45" s="48" t="str">
        <x:v>RQ-201</x:v>
      </x:c>
      <x:c r="B45" s="48" t="str">
        <x:v>Bank duration and liquidity stress</x:v>
      </x:c>
      <x:c r="C45" s="48" t="str">
        <x:v>Link unrealised securities losses, deposit beta, uninsured funding, collateral capacity and realised sale losses by bank.</x:v>
      </x:c>
      <x:c r="D45" s="48" t="str">
        <x:v>Open</x:v>
      </x:c>
      <x:c r="E45" s="48" t="str">
        <x:v>V17RISK-001–002</x:v>
      </x:c>
      <x:c r="F45" s="48" t="str">
        <x:v>SRC-738; SRC-789; bank filings</x:v>
      </x:c>
      <x:c r="G45" s="48" t="str"/>
    </x:row>
  </x:sheetData>
  <x:mergeCells>
    <x:mergeCell ref="A1:T1"/>
    <x:mergeCell ref="A2:T2"/>
    <x:mergeCell ref="A14:T14"/>
    <x:mergeCell ref="A26:T26"/>
    <x:mergeCell ref="A31:T31"/>
  </x:mergeCells>
  <x:conditionalFormatting sqref="R5:R11">
    <x:cfRule type="dataBar" priority="1">
      <x:dataBar>
        <x:cfvo type="min"/>
        <x:cfvo type="max"/>
        <x:color rgb="FF5C7486"/>
      </x:dataBar>
      <x:extLst>
        <x:ext xmlns:x14="http://schemas.microsoft.com/office/spreadsheetml/2009/9/main" uri="{B025F937-C7B1-47D3-B67F-A62EFF666E3E}">
          <x14:id>{5272B63F-2C37-FA36-7ACF-74CB6114E45F}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93371c1dbe0451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72B63F-2C37-FA36-7ACF-74CB6114E45F}">
            <x14:dataBar gradient="1">
              <x14:cfvo type="min"/>
              <x14:cfvo type="max"/>
              <x14:fillColor rgb="FF5C7486"/>
            </x14:dataBar>
          </x14:cfRule>
          <xm:sqref>R5:R11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4" hidden="0" customWidth="1"/>
    <x:col min="4" max="4" width="52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V17 Banking, Repo, Money-Fund and Resolution Expansion</x:v>
      </x:c>
    </x:row>
    <x:row r="2">
      <x:c r="A2" s="12" t="str">
        <x:v>Rows added after V16 using current official bank, liquidity, repo and resolution sources.</x:v>
      </x:c>
    </x:row>
    <x:row r="4">
      <x:c r="A4" s="21" t="str">
        <x:v>New object</x:v>
      </x:c>
      <x:c r="B4" s="21" t="str">
        <x:v>Count</x:v>
      </x:c>
      <x:c r="D4" s="21" t="str">
        <x:v>New relationship category</x:v>
      </x:c>
      <x:c r="E4" s="21" t="str">
        <x:v>Count</x:v>
      </x:c>
    </x:row>
    <x:row r="5">
      <x:c r="A5" t="str">
        <x:v>Actors</x:v>
      </x:c>
      <x:c r="B5" t="n">
        <x:v>47</x:v>
      </x:c>
      <x:c r="D5" t="str">
        <x:v>Bank asset valuation, collateral and liquidity stress</x:v>
      </x:c>
      <x:c r="E5" t="n">
        <x:v>2</x:v>
      </x:c>
    </x:row>
    <x:row r="6">
      <x:c r="A6" t="str">
        <x:v>Relationships</x:v>
      </x:c>
      <x:c r="B6" t="n">
        <x:v>63</x:v>
      </x:c>
      <x:c r="D6" t="str">
        <x:v>Bank deposit creation, settlement and maturity transformation</x:v>
      </x:c>
      <x:c r="E6" t="n">
        <x:v>8</x:v>
      </x:c>
    </x:row>
    <x:row r="7">
      <x:c r="A7" t="str">
        <x:v>Instruments</x:v>
      </x:c>
      <x:c r="B7" t="n">
        <x:v>28</x:v>
      </x:c>
      <x:c r="D7" t="str">
        <x:v>Basel liquidity, capital and stable-funding constraints</x:v>
      </x:c>
      <x:c r="E7" t="n">
        <x:v>3</x:v>
      </x:c>
    </x:row>
    <x:row r="8">
      <x:c r="A8" t="str">
        <x:v>Sources</x:v>
      </x:c>
      <x:c r="B8" t="n">
        <x:v>65</x:v>
      </x:c>
      <x:c r="D8" t="str">
        <x:v>Central-bank liquidity, collateral transformation and rate backstops</x:v>
      </x:c>
      <x:c r="E8" t="n">
        <x:v>7</x:v>
      </x:c>
    </x:row>
    <x:row r="9">
      <x:c r="D9" t="str">
        <x:v>Deposit insurance, creditor hierarchy and failed-bank resolution</x:v>
      </x:c>
      <x:c r="E9" t="n">
        <x:v>10</x:v>
      </x:c>
    </x:row>
    <x:row r="10">
      <x:c r="D10" t="str">
        <x:v>FICC Treasury clearing and sponsored access</x:v>
      </x:c>
      <x:c r="E10" t="n">
        <x:v>6</x:v>
      </x:c>
    </x:row>
    <x:row r="11">
      <x:c r="D11" t="str">
        <x:v>Federal Home Loan Bank secured liquidity</x:v>
      </x:c>
      <x:c r="E11" t="n">
        <x:v>3</x:v>
      </x:c>
    </x:row>
    <x:row r="12">
      <x:c r="D12" t="str">
        <x:v>G-SIB loss absorption, bail-in and resolution funding</x:v>
      </x:c>
      <x:c r="E12" t="n">
        <x:v>5</x:v>
      </x:c>
    </x:row>
    <x:row r="13">
      <x:c r="D13" t="str">
        <x:v>Money market funds and cash-management substitution</x:v>
      </x:c>
      <x:c r="E13" t="n">
        <x:v>6</x:v>
      </x:c>
    </x:row>
    <x:row r="14">
      <x:c r="D14" t="str">
        <x:v>Repo, reverse repo and secured wholesale funding</x:v>
      </x:c>
      <x:c r="E14" t="n">
        <x:v>6</x:v>
      </x:c>
    </x:row>
    <x:row r="15">
      <x:c r="D15" t="str">
        <x:v>Securities lending, temporary title and market inventory</x:v>
      </x:c>
      <x:c r="E15" t="n">
        <x:v>4</x:v>
      </x:c>
    </x:row>
    <x:row r="16">
      <x:c r="D16" t="str">
        <x:v>Tri-party repo and collateral-management concentration</x:v>
      </x:c>
      <x:c r="E16" t="n">
        <x:v>3</x:v>
      </x:c>
    </x:row>
    <x:row r="20">
      <x:c r="A20" s="43" t="str">
        <x:v>Interpretive consequence</x:v>
      </x:c>
    </x:row>
    <x:row r="21">
      <x:c r="A21" s="48" t="str">
        <x:v>Commercial banks create deposit money but must survive settlement outflows, regulation and losses.</x:v>
      </x:c>
      <x:c r="B21" s="48" t="str"/>
      <x:c r="C21" s="48" t="str"/>
      <x:c r="D21" s="48" t="str"/>
      <x:c r="E21" s="48" t="str"/>
      <x:c r="F21" s="48" t="str"/>
      <x:c r="G21" s="48" t="str"/>
      <x:c r="H21" s="48" t="str"/>
    </x:row>
    <x:row r="22">
      <x:c r="A22" s="48" t="str">
        <x:v>Deposit insurance protects eligible claims while preserving losses for shareholders, creditors, the industry fund and potentially the public safety net.</x:v>
      </x:c>
      <x:c r="B22" s="48" t="str"/>
      <x:c r="C22" s="48" t="str"/>
      <x:c r="D22" s="48" t="str"/>
      <x:c r="E22" s="48" t="str"/>
      <x:c r="F22" s="48" t="str"/>
      <x:c r="G22" s="48" t="str"/>
      <x:c r="H22" s="48" t="str"/>
    </x:row>
    <x:row r="23">
      <x:c r="A23" s="48" t="str">
        <x:v>Repo and securities lending turn collateral into liquidity and inventory while creating rollover, recall and title complexity.</x:v>
      </x:c>
      <x:c r="B23" s="48" t="str"/>
      <x:c r="C23" s="48" t="str"/>
      <x:c r="D23" s="48" t="str"/>
      <x:c r="E23" s="48" t="str"/>
      <x:c r="F23" s="48" t="str"/>
      <x:c r="G23" s="48" t="str"/>
      <x:c r="H23" s="48" t="str"/>
    </x:row>
    <x:row r="24">
      <x:c r="A24" s="48" t="str">
        <x:v>Money funds are a parallel cash-management layer whose redemptions become Treasury and repo market liquidity demands.</x:v>
      </x:c>
      <x:c r="B24" s="48" t="str"/>
      <x:c r="C24" s="48" t="str"/>
      <x:c r="D24" s="48" t="str"/>
      <x:c r="E24" s="48" t="str"/>
      <x:c r="F24" s="48" t="str"/>
      <x:c r="G24" s="48" t="str"/>
      <x:c r="H24" s="48" t="str"/>
    </x:row>
    <x:row r="25">
      <x:c r="A25" s="48" t="str">
        <x:v>Central clearing and collateral agents reduce operational complexity while becoming concentrated infrastructure nodes.</x:v>
      </x:c>
      <x:c r="B25" s="48" t="str"/>
      <x:c r="C25" s="48" t="str"/>
      <x:c r="D25" s="48" t="str"/>
      <x:c r="E25" s="48" t="str"/>
      <x:c r="F25" s="48" t="str"/>
      <x:c r="G25" s="48" t="str"/>
      <x:c r="H25" s="48" t="str"/>
    </x:row>
  </x:sheetData>
  <x:mergeCells>
    <x:mergeCell ref="A1:H1"/>
    <x:mergeCell ref="A2:H2"/>
    <x:mergeCell ref="A20:H20"/>
  </x:mergeCells>
  <x:conditionalFormatting sqref="E5:E16">
    <x:cfRule type="dataBar" priority="1">
      <x:dataBar>
        <x:cfvo type="min"/>
        <x:cfvo type="max"/>
        <x:color rgb="FF71899A"/>
      </x:dataBar>
      <x:extLst>
        <x:ext xmlns:x14="http://schemas.microsoft.com/office/spreadsheetml/2009/9/main" uri="{B025F937-C7B1-47D3-B67F-A62EFF666E3E}">
          <x14:id>{6BB5183A-A7CF-AD6B-F7EB-DFD8CDA34935}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B5183A-A7CF-AD6B-F7EB-DFD8CDA34935}">
            <x14:dataBar gradient="1">
              <x14:cfvo type="min"/>
              <x14:cfvo type="max"/>
              <x14:fillColor rgb="FF71899A"/>
            </x14:dataBar>
          </x14:cfRule>
          <xm:sqref>E5:E16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3" hidden="0" customWidth="1"/>
    <x:col min="3" max="3" width="39" hidden="0" customWidth="1"/>
    <x:col min="4" max="4" width="31" hidden="0" customWidth="1"/>
    <x:col min="5" max="5" width="70" hidden="0" customWidth="1"/>
    <x:col min="6" max="6" width="52" hidden="0" customWidth="1"/>
  </x:cols>
  <x:sheetData>
    <x:row r="1" ht="31" customHeight="1">
      <x:c r="A1" s="5" t="str">
        <x:v>Actor Registry — V17</x:v>
      </x:c>
    </x:row>
    <x:row r="2">
      <x:c r="A2" s="12" t="str">
        <x:v>Version 17, verified through 2026-07-27. Deposits, collateral, liquidity, solvency, insurance and final loss remain separate.</x:v>
      </x:c>
    </x:row>
    <x:row r="4">
      <x:c r="A4" s="50" t="str">
        <x:v>Actor ID</x:v>
      </x:c>
      <x:c r="B4" s="50" t="str">
        <x:v>Canonical name</x:v>
      </x:c>
      <x:c r="C4" s="50" t="str">
        <x:v>Actor type</x:v>
      </x:c>
      <x:c r="D4" s="50" t="str">
        <x:v>Jurisdiction</x:v>
      </x:c>
      <x:c r="E4" s="50" t="str">
        <x:v>Role in network</x:v>
      </x:c>
      <x:c r="F4" s="50" t="str">
        <x:v>Aliases / notes</x:v>
      </x:c>
    </x:row>
    <x:row r="5">
      <x:c r="A5" s="51" t="str">
        <x:v>ACT-SANDBOXAQ</x:v>
      </x:c>
      <x:c r="B5" s="51" t="str">
        <x:v>SandboxAQ</x:v>
      </x:c>
      <x:c r="C5" s="51" t="str">
        <x:v>AI and quantum technology company</x:v>
      </x:c>
      <x:c r="D5" s="51" t="str">
        <x:v>United States</x:v>
      </x:c>
      <x:c r="E5" s="51" t="str">
        <x:v>Recipient of a 2026 CHIPS R&amp;D award</x:v>
      </x:c>
      <x:c r="F5" s="51" t="str"/>
    </x:row>
    <x:row r="6">
      <x:c r="A6" s="51" t="str">
        <x:v>ACT-G42</x:v>
      </x:c>
      <x:c r="B6" s="51" t="str">
        <x:v>G42</x:v>
      </x:c>
      <x:c r="C6" s="51" t="str">
        <x:v>AI and technology holding company</x:v>
      </x:c>
      <x:c r="D6" s="51" t="str">
        <x:v>United Arab Emirates</x:v>
      </x:c>
      <x:c r="E6" s="51" t="str">
        <x:v>UAE AI group linked to state strategy and Stargate UAE</x:v>
      </x:c>
      <x:c r="F6" s="51" t="str"/>
    </x:row>
    <x:row r="7">
      <x:c r="A7" s="51" t="str">
        <x:v>ACT-COREWEAVE</x:v>
      </x:c>
      <x:c r="B7" s="51" t="str">
        <x:v>CoreWeave</x:v>
      </x:c>
      <x:c r="C7" s="51" t="str">
        <x:v>AI cloud company</x:v>
      </x:c>
      <x:c r="D7" s="51" t="str">
        <x:v>United States</x:v>
      </x:c>
      <x:c r="E7" s="51" t="str">
        <x:v>Operates GPU-dense AI cloud and data-center capacity</x:v>
      </x:c>
      <x:c r="F7" s="51" t="str"/>
    </x:row>
    <x:row r="8">
      <x:c r="A8" s="51" t="str">
        <x:v>ACT-ANTHROPIC</x:v>
      </x:c>
      <x:c r="B8" s="51" t="str">
        <x:v>Anthropic</x:v>
      </x:c>
      <x:c r="C8" s="51" t="str">
        <x:v>AI company</x:v>
      </x:c>
      <x:c r="D8" s="51" t="str">
        <x:v>United States</x:v>
      </x:c>
      <x:c r="E8" s="51" t="str">
        <x:v>Frontier model provider</x:v>
      </x:c>
      <x:c r="F8" s="51" t="str"/>
    </x:row>
    <x:row r="9">
      <x:c r="A9" s="51" t="str">
        <x:v>ACT-OPENAI</x:v>
      </x:c>
      <x:c r="B9" s="51" t="str">
        <x:v>OpenAI</x:v>
      </x:c>
      <x:c r="C9" s="51" t="str">
        <x:v>AI company</x:v>
      </x:c>
      <x:c r="D9" s="51" t="str">
        <x:v>United States</x:v>
      </x:c>
      <x:c r="E9" s="51" t="str">
        <x:v>Frontier AI developer and infrastructure/operator network</x:v>
      </x:c>
      <x:c r="F9" s="51" t="str"/>
    </x:row>
    <x:row r="10">
      <x:c r="A10" s="51" t="str">
        <x:v>ACT-XAI</x:v>
      </x:c>
      <x:c r="B10" s="51" t="str">
        <x:v>xAI</x:v>
      </x:c>
      <x:c r="C10" s="51" t="str">
        <x:v>AI company</x:v>
      </x:c>
      <x:c r="D10" s="51" t="str">
        <x:v>United States</x:v>
      </x:c>
      <x:c r="E10" s="51" t="str">
        <x:v>Frontier AI developer and compute demander</x:v>
      </x:c>
      <x:c r="F10" s="51" t="str"/>
    </x:row>
    <x:row r="11">
      <x:c r="A11" s="51" t="str">
        <x:v>ACT-FOUNDATIONMODELDEVELOPER</x:v>
      </x:c>
      <x:c r="B11" s="51" t="str">
        <x:v>Foundation model developers</x:v>
      </x:c>
      <x:c r="C11" s="51" t="str">
        <x:v>AI company group</x:v>
      </x:c>
      <x:c r="D11" s="51" t="str">
        <x:v>International</x:v>
      </x:c>
      <x:c r="E11" s="51" t="str">
        <x:v>Train and deploy frontier and commercial AI models</x:v>
      </x:c>
      <x:c r="F11" s="51" t="str"/>
    </x:row>
    <x:row r="12">
      <x:c r="A12" s="51" t="str">
        <x:v>ACT-NVIDIABLACKWELLANDRUBINP</x:v>
      </x:c>
      <x:c r="B12" s="51" t="str">
        <x:v>NVIDIA Blackwell and Rubin platforms</x:v>
      </x:c>
      <x:c r="C12" s="51" t="str">
        <x:v>AI compute platform</x:v>
      </x:c>
      <x:c r="D12" s="51" t="str">
        <x:v>International</x:v>
      </x:c>
      <x:c r="E12" s="51" t="str">
        <x:v>Accelerator, CPU, networking and systems roadmap</x:v>
      </x:c>
      <x:c r="F12" s="51" t="str"/>
    </x:row>
    <x:row r="13">
      <x:c r="A13" s="51" t="str">
        <x:v>ACT-IEEECERTIFAIED</x:v>
      </x:c>
      <x:c r="B13" s="51" t="str">
        <x:v>IEEE CertifAIEd</x:v>
      </x:c>
      <x:c r="C13" s="51" t="str">
        <x:v>AI conformity and certification programme</x:v>
      </x:c>
      <x:c r="D13" s="51" t="str">
        <x:v>International</x:v>
      </x:c>
      <x:c r="E13" s="51" t="str">
        <x:v>Certification framework for responsible AI implementation</x:v>
      </x:c>
      <x:c r="F13" s="51" t="str"/>
    </x:row>
    <x:row r="14">
      <x:c r="A14" s="51" t="str">
        <x:v>ACT-SCALEAI</x:v>
      </x:c>
      <x:c r="B14" s="51" t="str">
        <x:v>Scale AI</x:v>
      </x:c>
      <x:c r="C14" s="51" t="str">
        <x:v>AI data and evaluation company</x:v>
      </x:c>
      <x:c r="D14" s="51" t="str">
        <x:v>United States</x:v>
      </x:c>
      <x:c r="E14" s="51" t="str">
        <x:v>Training-data, evaluation and government AI supplier</x:v>
      </x:c>
      <x:c r="F14" s="51" t="str"/>
    </x:row>
    <x:row r="15">
      <x:c r="A15" s="51" t="str">
        <x:v>ACT-ABILENESTARGATECAMPUS</x:v>
      </x:c>
      <x:c r="B15" s="51" t="str">
        <x:v>Abilene Stargate campus</x:v>
      </x:c>
      <x:c r="C15" s="51" t="str">
        <x:v>AI data center campus</x:v>
      </x:c>
      <x:c r="D15" s="51" t="str">
        <x:v>Texas, United States</x:v>
      </x:c>
      <x:c r="E15" s="51" t="str">
        <x:v>Initial large-scale Stargate training and inference site</x:v>
      </x:c>
      <x:c r="F15" s="51" t="str"/>
    </x:row>
    <x:row r="16">
      <x:c r="A16" s="51" t="str">
        <x:v>ACT-IEEE7000SERIES</x:v>
      </x:c>
      <x:c r="B16" s="51" t="str">
        <x:v>IEEE 7000 series</x:v>
      </x:c>
      <x:c r="C16" s="51" t="str">
        <x:v>AI ethics and systems-engineering standards</x:v>
      </x:c>
      <x:c r="D16" s="51" t="str">
        <x:v>International</x:v>
      </x:c>
      <x:c r="E16" s="51" t="str">
        <x:v>Standards for incorporating ethical and societal values into system design</x:v>
      </x:c>
      <x:c r="F16" s="51" t="str"/>
    </x:row>
    <x:row r="17">
      <x:c r="A17" s="51" t="str">
        <x:v>ACT-STARGATEPROJECT</x:v>
      </x:c>
      <x:c r="B17" s="51" t="str">
        <x:v>Stargate Project</x:v>
      </x:c>
      <x:c r="C17" s="51" t="str">
        <x:v>AI infrastructure company / programme</x:v>
      </x:c>
      <x:c r="D17" s="51" t="str">
        <x:v>United States / international</x:v>
      </x:c>
      <x:c r="E17" s="51" t="str">
        <x:v>Large-scale AI data-centre financing and construction platform</x:v>
      </x:c>
      <x:c r="F17" s="51" t="str"/>
    </x:row>
    <x:row r="18">
      <x:c r="A18" s="51" t="str">
        <x:v>ACT-OPENAISTARGATE</x:v>
      </x:c>
      <x:c r="B18" s="51" t="str">
        <x:v>OpenAI Stargate</x:v>
      </x:c>
      <x:c r="C18" s="51" t="str">
        <x:v>AI infrastructure platform</x:v>
      </x:c>
      <x:c r="D18" s="51" t="str">
        <x:v>United States / international</x:v>
      </x:c>
      <x:c r="E18" s="51" t="str">
        <x:v>Coordinates large-scale compute capacity for OpenAI</x:v>
      </x:c>
      <x:c r="F18" s="51" t="str"/>
    </x:row>
    <x:row r="19">
      <x:c r="A19" s="51" t="str">
        <x:v>ACT-STARGATEUAE</x:v>
      </x:c>
      <x:c r="B19" s="51" t="str">
        <x:v>Stargate UAE</x:v>
      </x:c>
      <x:c r="C19" s="51" t="str">
        <x:v>AI infrastructure programme</x:v>
      </x:c>
      <x:c r="D19" s="51" t="str">
        <x:v>United Arab Emirates / United States</x:v>
      </x:c>
      <x:c r="E19" s="51" t="str">
        <x:v>UAE–US AI campus and international Stargate deployment</x:v>
      </x:c>
      <x:c r="F19" s="51" t="str"/>
    </x:row>
    <x:row r="20">
      <x:c r="A20" s="51" t="str">
        <x:v>ACT-CLAUDE</x:v>
      </x:c>
      <x:c r="B20" s="51" t="str">
        <x:v>Claude</x:v>
      </x:c>
      <x:c r="C20" s="51" t="str">
        <x:v>AI model family</x:v>
      </x:c>
      <x:c r="D20" s="51" t="str">
        <x:v>United States</x:v>
      </x:c>
      <x:c r="E20" s="51" t="str">
        <x:v>Language-model analysis and agent capabilities</x:v>
      </x:c>
      <x:c r="F20" s="51" t="str"/>
    </x:row>
    <x:row r="21">
      <x:c r="A21" s="51" t="str">
        <x:v>ACT-ETSISECURINGAISTANDARDS</x:v>
      </x:c>
      <x:c r="B21" s="51" t="str">
        <x:v>ETSI Securing AI standards</x:v>
      </x:c>
      <x:c r="C21" s="51" t="str">
        <x:v>AI security standards set</x:v>
      </x:c>
      <x:c r="D21" s="51" t="str">
        <x:v>Europe / international</x:v>
      </x:c>
      <x:c r="E21" s="51" t="str">
        <x:v>Lifecycle, platform and continuous-compliance security requirements</x:v>
      </x:c>
      <x:c r="F21" s="51" t="str"/>
    </x:row>
    <x:row r="22">
      <x:c r="A22" s="51" t="str">
        <x:v>ACT-ISOIECJTC1SC42</x:v>
      </x:c>
      <x:c r="B22" s="51" t="str">
        <x:v>ISO/IEC JTC 1/SC 42</x:v>
      </x:c>
      <x:c r="C22" s="51" t="str">
        <x:v>AI standards committee</x:v>
      </x:c>
      <x:c r="D22" s="51" t="str">
        <x:v>International</x:v>
      </x:c>
      <x:c r="E22" s="51" t="str">
        <x:v>Focus committee for artificial-intelligence standardisation</x:v>
      </x:c>
      <x:c r="F22" s="51" t="str"/>
    </x:row>
    <x:row r="23">
      <x:c r="A23" s="51" t="str">
        <x:v>ACT-FRONTIERAICOMPANIES</x:v>
      </x:c>
      <x:c r="B23" s="51" t="str">
        <x:v>Frontier AI companies</x:v>
      </x:c>
      <x:c r="C23" s="51" t="str">
        <x:v>Actor group</x:v>
      </x:c>
      <x:c r="D23" s="51" t="str">
        <x:v>United States / international</x:v>
      </x:c>
      <x:c r="E23" s="51" t="str">
        <x:v>Collective category for competing frontier-model laboratories</x:v>
      </x:c>
      <x:c r="F23" s="51" t="str">
        <x:v>Analytical group only; not a legal entity or unified coalition.</x:v>
      </x:c>
    </x:row>
    <x:row r="24">
      <x:c r="A24" s="51" t="str">
        <x:v>ACT-PATENTAPPLICANTSANDASSIG</x:v>
      </x:c>
      <x:c r="B24" s="51" t="str">
        <x:v>Patent applicants and assignees</x:v>
      </x:c>
      <x:c r="C24" s="51" t="str">
        <x:v>Actor group</x:v>
      </x:c>
      <x:c r="D24" s="51" t="str">
        <x:v>International</x:v>
      </x:c>
      <x:c r="E24" s="51" t="str">
        <x:v>Seek exclusionary rights over inventions</x:v>
      </x:c>
      <x:c r="F24" s="51" t="str"/>
    </x:row>
    <x:row r="25">
      <x:c r="A25" s="51" t="str">
        <x:v>ACT-POLITICALADVERTISERS</x:v>
      </x:c>
      <x:c r="B25" s="51" t="str">
        <x:v>Political advertisers</x:v>
      </x:c>
      <x:c r="C25" s="51" t="str">
        <x:v>Actor group</x:v>
      </x:c>
      <x:c r="D25" s="51" t="str">
        <x:v>International</x:v>
      </x:c>
      <x:c r="E25" s="51" t="str">
        <x:v>Campaigns, parties, advocacy organisations and sponsors purchasing political reach</x:v>
      </x:c>
      <x:c r="F25" s="51" t="str"/>
    </x:row>
    <x:row r="26">
      <x:c r="A26" s="51" t="str">
        <x:v>ACT-ARBITRALTRIBUNALS</x:v>
      </x:c>
      <x:c r="B26" s="51" t="str">
        <x:v>Arbitral tribunals</x:v>
      </x:c>
      <x:c r="C26" s="51" t="str">
        <x:v>Adjudicative body group</x:v>
      </x:c>
      <x:c r="D26" s="51" t="str">
        <x:v>International</x:v>
      </x:c>
      <x:c r="E26" s="51" t="str">
        <x:v>Issue awards under consent-based arbitration frameworks</x:v>
      </x:c>
      <x:c r="F26" s="51" t="str"/>
    </x:row>
    <x:row r="27">
      <x:c r="A27" s="51" t="str">
        <x:v>ACT-ZONINGBOARDSOFAPPEALS</x:v>
      </x:c>
      <x:c r="B27" s="51" t="str">
        <x:v>Zoning boards of appeals</x:v>
      </x:c>
      <x:c r="C27" s="51" t="str">
        <x:v>Administrative appeals body group</x:v>
      </x:c>
      <x:c r="D27" s="51" t="str">
        <x:v>United States</x:v>
      </x:c>
      <x:c r="E27" s="51" t="str">
        <x:v>Hear variances and appeals from zoning determinations</x:v>
      </x:c>
      <x:c r="F27" s="51" t="str"/>
    </x:row>
    <x:row r="28">
      <x:c r="A28" s="51" t="str">
        <x:v>ACT-BUILDINGPERMITS</x:v>
      </x:c>
      <x:c r="B28" s="51" t="str">
        <x:v>Building permits</x:v>
      </x:c>
      <x:c r="C28" s="51" t="str">
        <x:v>Administrative development permission</x:v>
      </x:c>
      <x:c r="D28" s="51" t="str">
        <x:v>United States / international</x:v>
      </x:c>
      <x:c r="E28" s="51" t="str">
        <x:v>Authorise defined construction under applicable codes</x:v>
      </x:c>
      <x:c r="F28" s="51" t="str"/>
    </x:row>
    <x:row r="29">
      <x:c r="A29" s="51" t="str">
        <x:v>ACT-CHINASOCIALCREDITSYSTEM</x:v>
      </x:c>
      <x:c r="B29" s="51" t="str">
        <x:v>China social credit system</x:v>
      </x:c>
      <x:c r="C29" s="51" t="str">
        <x:v>Administrative system</x:v>
      </x:c>
      <x:c r="D29" s="51" t="str">
        <x:v>China</x:v>
      </x:c>
      <x:c r="E29" s="51" t="str">
        <x:v>Sector-specific compliance, court and credit records</x:v>
      </x:c>
      <x:c r="F29" s="51" t="str"/>
    </x:row>
    <x:row r="30">
      <x:c r="A30" s="51" t="str">
        <x:v>ACT-IPULSE</x:v>
      </x:c>
      <x:c r="B30" s="51" t="str">
        <x:v>I-Pulse</x:v>
      </x:c>
      <x:c r="C30" s="51" t="str">
        <x:v>Advanced materials technology company</x:v>
      </x:c>
      <x:c r="D30" s="51" t="str">
        <x:v>United States / international</x:v>
      </x:c>
      <x:c r="E30" s="51" t="str">
        <x:v>Recipient of a 2026 CHIPS R&amp;D award</x:v>
      </x:c>
      <x:c r="F30" s="51" t="str"/>
    </x:row>
    <x:row r="31">
      <x:c r="A31" s="51" t="str">
        <x:v>ACT-TSMCCOWOSANDADVANCEDPACK</x:v>
      </x:c>
      <x:c r="B31" s="51" t="str">
        <x:v>TSMC CoWoS and advanced packaging</x:v>
      </x:c>
      <x:c r="C31" s="51" t="str">
        <x:v>Advanced packaging platform</x:v>
      </x:c>
      <x:c r="D31" s="51" t="str">
        <x:v>Taiwan / international</x:v>
      </x:c>
      <x:c r="E31" s="51" t="str">
        <x:v>Integrates accelerators and HBM at high density</x:v>
      </x:c>
      <x:c r="F31" s="51" t="str"/>
    </x:row>
    <x:row r="32">
      <x:c r="A32" s="51" t="str">
        <x:v>ACT-PUBLICISGROUPE</x:v>
      </x:c>
      <x:c r="B32" s="51" t="str">
        <x:v>Publicis Groupe</x:v>
      </x:c>
      <x:c r="C32" s="51" t="str">
        <x:v>Advertising and communications holding company</x:v>
      </x:c>
      <x:c r="D32" s="51" t="str">
        <x:v>France / international</x:v>
      </x:c>
      <x:c r="E32" s="51" t="str">
        <x:v>Agreed to acquire LiveRamp in 2026</x:v>
      </x:c>
      <x:c r="F32" s="51" t="str"/>
    </x:row>
    <x:row r="33">
      <x:c r="A33" s="51" t="str">
        <x:v>ACT-GOOGLEPRIVACYSANDBOX</x:v>
      </x:c>
      <x:c r="B33" s="51" t="str">
        <x:v>Google Privacy Sandbox</x:v>
      </x:c>
      <x:c r="C33" s="51" t="str">
        <x:v>Advertising and privacy API programme</x:v>
      </x:c>
      <x:c r="D33" s="51" t="str">
        <x:v>International</x:v>
      </x:c>
      <x:c r="E33" s="51" t="str">
        <x:v>Provides privacy-focused browser and advertising interfaces</x:v>
      </x:c>
      <x:c r="F33" s="51" t="str"/>
    </x:row>
    <x:row r="34">
      <x:c r="A34" s="51" t="str">
        <x:v>ACT-GOOGLEADS</x:v>
      </x:c>
      <x:c r="B34" s="51" t="str">
        <x:v>Google Ads</x:v>
      </x:c>
      <x:c r="C34" s="51" t="str">
        <x:v>Advertising auction and delivery platform</x:v>
      </x:c>
      <x:c r="D34" s="51" t="str">
        <x:v>International</x:v>
      </x:c>
      <x:c r="E34" s="51" t="str">
        <x:v>Allocates search, video and network advertising</x:v>
      </x:c>
      <x:c r="F34" s="51" t="str"/>
    </x:row>
    <x:row r="35">
      <x:c r="A35" s="51" t="str">
        <x:v>ACT-METAADS</x:v>
      </x:c>
      <x:c r="B35" s="51" t="str">
        <x:v>Meta Ads</x:v>
      </x:c>
      <x:c r="C35" s="51" t="str">
        <x:v>Advertising auction and delivery platform</x:v>
      </x:c>
      <x:c r="D35" s="51" t="str">
        <x:v>International</x:v>
      </x:c>
      <x:c r="E35" s="51" t="str">
        <x:v>Allocates advertising across Meta applications</x:v>
      </x:c>
      <x:c r="F35" s="51" t="str"/>
    </x:row>
    <x:row r="36">
      <x:c r="A36" s="51" t="str">
        <x:v>ACT-AIPAC</x:v>
      </x:c>
      <x:c r="B36" s="51" t="str">
        <x:v>AIPAC</x:v>
      </x:c>
      <x:c r="C36" s="51" t="str">
        <x:v>Advocacy organisation</x:v>
      </x:c>
      <x:c r="D36" s="51" t="str">
        <x:v>United States</x:v>
      </x:c>
      <x:c r="E36" s="51" t="str">
        <x:v>Pro-Israel advocacy and political organisation</x:v>
      </x:c>
      <x:c r="F36" s="51" t="str"/>
    </x:row>
    <x:row r="37">
      <x:c r="A37" s="51" t="str">
        <x:v>ACT-GEAEROSPACE</x:v>
      </x:c>
      <x:c r="B37" s="51" t="str">
        <x:v>GE Aerospace</x:v>
      </x:c>
      <x:c r="C37" s="51" t="str">
        <x:v>Aerospace and defence company</x:v>
      </x:c>
      <x:c r="D37" s="51" t="str">
        <x:v>United States</x:v>
      </x:c>
      <x:c r="E37" s="51" t="str">
        <x:v>Aircraft engine, sustainment and military-readiness systems provider</x:v>
      </x:c>
      <x:c r="F37" s="51" t="str"/>
    </x:row>
    <x:row r="38">
      <x:c r="A38" s="51" t="str">
        <x:v>ACT-SPACEX</x:v>
      </x:c>
      <x:c r="B38" s="51" t="str">
        <x:v>SpaceX</x:v>
      </x:c>
      <x:c r="C38" s="51" t="str">
        <x:v>Aerospace and technology company</x:v>
      </x:c>
      <x:c r="D38" s="51" t="str">
        <x:v>United States</x:v>
      </x:c>
      <x:c r="E38" s="51" t="str">
        <x:v>Government contractor and xAI-related infrastructure actor</x:v>
      </x:c>
      <x:c r="F38" s="51" t="str"/>
    </x:row>
    <x:row r="39">
      <x:c r="A39" s="51" t="str">
        <x:v>ACT-CATASTROPHEEXPOSEDGOVERN</x:v>
      </x:c>
      <x:c r="B39" s="51" t="str">
        <x:v>Catastrophe-exposed governments and firms</x:v>
      </x:c>
      <x:c r="C39" s="51" t="str">
        <x:v>Affected actor group</x:v>
      </x:c>
      <x:c r="D39" s="51" t="str">
        <x:v>International</x:v>
      </x:c>
      <x:c r="E39" s="51" t="str">
        <x:v>Entities seeking capacity against natural and systemic losses</x:v>
      </x:c>
      <x:c r="F39" s="51" t="str"/>
    </x:row>
    <x:row r="40">
      <x:c r="A40" s="51" t="str">
        <x:v>ACT-PLATFORMUSERSANDRESEARCH</x:v>
      </x:c>
      <x:c r="B40" s="51" t="str">
        <x:v>Platform users and researchers</x:v>
      </x:c>
      <x:c r="C40" s="51" t="str">
        <x:v>Affected and oversight population</x:v>
      </x:c>
      <x:c r="D40" s="51" t="str">
        <x:v>International</x:v>
      </x:c>
      <x:c r="E40" s="51" t="str">
        <x:v>Users exposed to ranking systems and researchers seeking independent audit access</x:v>
      </x:c>
      <x:c r="F40" s="51" t="str"/>
    </x:row>
    <x:row r="41">
      <x:c r="A41" s="51" t="str">
        <x:v>ACT-CITIZENSANDLABOUR</x:v>
      </x:c>
      <x:c r="B41" s="51" t="str">
        <x:v>Citizens and labour</x:v>
      </x:c>
      <x:c r="C41" s="51" t="str">
        <x:v>Affected population</x:v>
      </x:c>
      <x:c r="D41" s="51" t="str">
        <x:v>Global</x:v>
      </x:c>
      <x:c r="E41" s="51" t="str">
        <x:v>Workers, savers, taxpayers, voters and rights-holders</x:v>
      </x:c>
      <x:c r="F41" s="51" t="str"/>
    </x:row>
    <x:row r="42">
      <x:c r="A42" s="51" t="str">
        <x:v>ACT-ELECTRICITYRATEPAYERS</x:v>
      </x:c>
      <x:c r="B42" s="51" t="str">
        <x:v>Electricity ratepayers</x:v>
      </x:c>
      <x:c r="C42" s="51" t="str">
        <x:v>Affected population</x:v>
      </x:c>
      <x:c r="D42" s="51" t="str">
        <x:v>United States / international</x:v>
      </x:c>
      <x:c r="E42" s="51" t="str">
        <x:v>Households and businesses sharing grid infrastructure and costs</x:v>
      </x:c>
      <x:c r="F42" s="51" t="str"/>
    </x:row>
    <x:row r="43">
      <x:c r="A43" s="51" t="str">
        <x:v>ACT-UYGHURSANDOTHERTURKICMUS</x:v>
      </x:c>
      <x:c r="B43" s="51" t="str">
        <x:v>Uyghurs and other Turkic Muslim communities in Xinjiang</x:v>
      </x:c>
      <x:c r="C43" s="51" t="str">
        <x:v>Affected population</x:v>
      </x:c>
      <x:c r="D43" s="51" t="str">
        <x:v>China / Xinjiang</x:v>
      </x:c>
      <x:c r="E43" s="51" t="str">
        <x:v>Subjects of documented surveillance and intervention</x:v>
      </x:c>
      <x:c r="F43" s="51" t="str"/>
    </x:row>
    <x:row r="44">
      <x:c r="A44" s="51" t="str">
        <x:v>ACT-UNIFORMMORTGAGEBACKEDSEC</x:v>
      </x:c>
      <x:c r="B44" s="51" t="str">
        <x:v>Uniform Mortgage-Backed Security</x:v>
      </x:c>
      <x:c r="C44" s="51" t="str">
        <x:v>Agency mortgage-backed security</x:v>
      </x:c>
      <x:c r="D44" s="51" t="str">
        <x:v>United States</x:v>
      </x:c>
      <x:c r="E44" s="51" t="str">
        <x:v>Common single-family security issued by Fannie Mae and Freddie Mac</x:v>
      </x:c>
      <x:c r="F44" s="51" t="str"/>
    </x:row>
    <x:row r="45">
      <x:c r="A45" s="51" t="str">
        <x:v>ACT-APOLLOGLOBALMANAGEMENT</x:v>
      </x:c>
      <x:c r="B45" s="51" t="str">
        <x:v>Apollo Global Management</x:v>
      </x:c>
      <x:c r="C45" s="51" t="str">
        <x:v>Alternative asset manager</x:v>
      </x:c>
      <x:c r="D45" s="51" t="str">
        <x:v>United States</x:v>
      </x:c>
      <x:c r="E45" s="51" t="str">
        <x:v>Institution affected by Leon Black–Epstein governance fallout</x:v>
      </x:c>
      <x:c r="F45" s="51" t="str"/>
    </x:row>
    <x:row r="46">
      <x:c r="A46" s="51" t="str">
        <x:v>ACT-KKR</x:v>
      </x:c>
      <x:c r="B46" s="51" t="str">
        <x:v>KKR</x:v>
      </x:c>
      <x:c r="C46" s="51" t="str">
        <x:v>Alternative asset manager</x:v>
      </x:c>
      <x:c r="D46" s="51" t="str">
        <x:v>United States / international</x:v>
      </x:c>
      <x:c r="E46" s="51" t="str">
        <x:v>Private equity, infrastructure and credit investor</x:v>
      </x:c>
      <x:c r="F46" s="51" t="str"/>
    </x:row>
    <x:row r="47">
      <x:c r="A47" s="51" t="str">
        <x:v>ACT-BROOKFIELDASSETMANAGEMEN</x:v>
      </x:c>
      <x:c r="B47" s="51" t="str">
        <x:v>Brookfield Asset Management</x:v>
      </x:c>
      <x:c r="C47" s="51" t="str">
        <x:v>Alternative asset manager / infrastructure investor</x:v>
      </x:c>
      <x:c r="D47" s="51" t="str">
        <x:v>Canada / international</x:v>
      </x:c>
      <x:c r="E47" s="51" t="str">
        <x:v>Large-scale owner and financier of power, data, transport and AI infrastructure</x:v>
      </x:c>
      <x:c r="F47" s="51" t="str"/>
    </x:row>
    <x:row r="48">
      <x:c r="A48" s="51" t="str">
        <x:v>ACT-SUPREMECOURTOFTHEUNITEDS</x:v>
      </x:c>
      <x:c r="B48" s="51" t="str">
        <x:v>Supreme Court of the United States</x:v>
      </x:c>
      <x:c r="C48" s="51" t="str">
        <x:v>Apex federal court</x:v>
      </x:c>
      <x:c r="D48" s="51" t="str">
        <x:v>United States</x:v>
      </x:c>
      <x:c r="E48" s="51" t="str">
        <x:v>Issues final federal appellate judgments and binding precedent within its jurisdiction</x:v>
      </x:c>
      <x:c r="F48" s="51" t="str"/>
    </x:row>
    <x:row r="49">
      <x:c r="A49" s="51" t="str">
        <x:v>ACT-DELAWARESUPREMECOURT</x:v>
      </x:c>
      <x:c r="B49" s="51" t="str">
        <x:v>Delaware Supreme Court</x:v>
      </x:c>
      <x:c r="C49" s="51" t="str">
        <x:v>Appellate court</x:v>
      </x:c>
      <x:c r="D49" s="51" t="str">
        <x:v>Delaware, United States</x:v>
      </x:c>
      <x:c r="E49" s="51" t="str">
        <x:v>Final state appellate authority over Delaware corporate law</x:v>
      </x:c>
      <x:c r="F49" s="51" t="str"/>
    </x:row>
    <x:row r="50">
      <x:c r="A50" s="51" t="str">
        <x:v>ACT-PCAADMINISTEREDTRIBUNALS</x:v>
      </x:c>
      <x:c r="B50" s="51" t="str">
        <x:v>PCA-administered tribunals</x:v>
      </x:c>
      <x:c r="C50" s="51" t="str">
        <x:v>Arbitral tribunal group</x:v>
      </x:c>
      <x:c r="D50" s="51" t="str">
        <x:v>International</x:v>
      </x:c>
      <x:c r="E50" s="51" t="str">
        <x:v>Decide disputes administered by the PCA</x:v>
      </x:c>
      <x:c r="F50" s="51" t="str"/>
    </x:row>
    <x:row r="51">
      <x:c r="A51" s="51" t="str">
        <x:v>ACT-BLACKROCK</x:v>
      </x:c>
      <x:c r="B51" s="51" t="str">
        <x:v>BlackRock</x:v>
      </x:c>
      <x:c r="C51" s="51" t="str">
        <x:v>Asset manager</x:v>
      </x:c>
      <x:c r="D51" s="51" t="str">
        <x:v>United States</x:v>
      </x:c>
      <x:c r="E51" s="51" t="str">
        <x:v>Asset management, stewardship and risk technology</x:v>
      </x:c>
      <x:c r="F51" s="51" t="str"/>
    </x:row>
    <x:row r="52">
      <x:c r="A52" s="51" t="str">
        <x:v>ACT-STATESTREETINVESTMENTMAN</x:v>
      </x:c>
      <x:c r="B52" s="51" t="str">
        <x:v>State Street Investment Management</x:v>
      </x:c>
      <x:c r="C52" s="51" t="str">
        <x:v>Asset manager</x:v>
      </x:c>
      <x:c r="D52" s="51" t="str">
        <x:v>United States</x:v>
      </x:c>
      <x:c r="E52" s="51" t="str">
        <x:v>Fund management and proxy voting</x:v>
      </x:c>
      <x:c r="F52" s="51" t="str"/>
    </x:row>
    <x:row r="53">
      <x:c r="A53" s="51" t="str">
        <x:v>ACT-VANGUARD</x:v>
      </x:c>
      <x:c r="B53" s="51" t="str">
        <x:v>Vanguard</x:v>
      </x:c>
      <x:c r="C53" s="51" t="str">
        <x:v>Asset manager</x:v>
      </x:c>
      <x:c r="D53" s="51" t="str">
        <x:v>United States</x:v>
      </x:c>
      <x:c r="E53" s="51" t="str">
        <x:v>Fund management and proxy voting</x:v>
      </x:c>
      <x:c r="F53" s="51" t="str"/>
    </x:row>
    <x:row r="54">
      <x:c r="A54" s="51" t="str">
        <x:v>ACT-DOJASSETFORFEITUREPROGRA</x:v>
      </x:c>
      <x:c r="B54" s="51" t="str">
        <x:v>DOJ Asset Forfeiture Program</x:v>
      </x:c>
      <x:c r="C54" s="51" t="str">
        <x:v>Asset recovery programme</x:v>
      </x:c>
      <x:c r="D54" s="51" t="str">
        <x:v>United States</x:v>
      </x:c>
      <x:c r="E54" s="51" t="str">
        <x:v>Manages federal seizure, forfeiture and related distributions</x:v>
      </x:c>
      <x:c r="F54" s="51" t="str"/>
    </x:row>
    <x:row r="55">
      <x:c r="A55" s="51" t="str">
        <x:v>ACT-BANKRUPTCYSALEBUYERS</x:v>
      </x:c>
      <x:c r="B55" s="51" t="str">
        <x:v>Bankruptcy sale buyers</x:v>
      </x:c>
      <x:c r="C55" s="51" t="str">
        <x:v>Asset-acquirer group</x:v>
      </x:c>
      <x:c r="D55" s="51" t="str">
        <x:v>International</x:v>
      </x:c>
      <x:c r="E55" s="51" t="str">
        <x:v>Purchase assets through court-approved bankruptcy sales</x:v>
      </x:c>
      <x:c r="F55" s="51" t="str"/>
    </x:row>
    <x:row r="56">
      <x:c r="A56" s="51" t="str">
        <x:v>ACT-GPUBACKEDPROJECTFINANCE</x:v>
      </x:c>
      <x:c r="B56" s="51" t="str">
        <x:v>GPU-backed project finance</x:v>
      </x:c>
      <x:c r="C56" s="51" t="str">
        <x:v>Asset-backed infrastructure finance</x:v>
      </x:c>
      <x:c r="D56" s="51" t="str">
        <x:v>International</x:v>
      </x:c>
      <x:c r="E56" s="51" t="str">
        <x:v>Finances servers, facilities and customer contracts</x:v>
      </x:c>
      <x:c r="F56" s="51" t="str"/>
    </x:row>
    <x:row r="57">
      <x:c r="A57" s="51" t="str">
        <x:v>ACT-MONEYMARKETFUNDSPONSORS</x:v>
      </x:c>
      <x:c r="B57" s="51" t="str">
        <x:v>Money market fund sponsors</x:v>
      </x:c>
      <x:c r="C57" s="51" t="str">
        <x:v>Asset-management organisation group</x:v>
      </x:c>
      <x:c r="D57" s="51" t="str">
        <x:v>United States / international</x:v>
      </x:c>
      <x:c r="E57" s="51" t="str">
        <x:v>Operate, manage and support registered money market funds</x:v>
      </x:c>
      <x:c r="F57" s="51" t="str"/>
    </x:row>
    <x:row r="58">
      <x:c r="A58" s="51" t="str">
        <x:v>ACT-SECURITIESLENDERS</x:v>
      </x:c>
      <x:c r="B58" s="51" t="str">
        <x:v>Securities lenders</x:v>
      </x:c>
      <x:c r="C58" s="51" t="str">
        <x:v>Asset-owner and intermediary group</x:v>
      </x:c>
      <x:c r="D58" s="51" t="str">
        <x:v>International</x:v>
      </x:c>
      <x:c r="E58" s="51" t="str">
        <x:v>Temporarily lend securities in return for collateral and a fee</x:v>
      </x:c>
      <x:c r="F58" s="51" t="str"/>
    </x:row>
    <x:row r="59">
      <x:c r="A59" s="51" t="str">
        <x:v>ACT-FINANCIALREPORTINGCOUNCI</x:v>
      </x:c>
      <x:c r="B59" s="51" t="str">
        <x:v>Financial Reporting Council</x:v>
      </x:c>
      <x:c r="C59" s="51" t="str">
        <x:v>Audit and corporate-reporting regulator</x:v>
      </x:c>
      <x:c r="D59" s="51" t="str">
        <x:v>United Kingdom</x:v>
      </x:c>
      <x:c r="E59" s="51" t="str">
        <x:v>Supervises audit quality and the accountancy profession</x:v>
      </x:c>
      <x:c r="F59" s="51" t="str"/>
    </x:row>
    <x:row r="60">
      <x:c r="A60" s="51" t="str">
        <x:v>ACT-DELOITTE</x:v>
      </x:c>
      <x:c r="B60" s="51" t="str">
        <x:v>Deloitte</x:v>
      </x:c>
      <x:c r="C60" s="51" t="str">
        <x:v>Audit and professional-services network</x:v>
      </x:c>
      <x:c r="D60" s="51" t="str">
        <x:v>International</x:v>
      </x:c>
      <x:c r="E60" s="51" t="str">
        <x:v>Audit, assurance, tax, consulting and risk services</x:v>
      </x:c>
      <x:c r="F60" s="51" t="str"/>
    </x:row>
    <x:row r="61">
      <x:c r="A61" s="51" t="str">
        <x:v>ACT-EY</x:v>
      </x:c>
      <x:c r="B61" s="51" t="str">
        <x:v>EY</x:v>
      </x:c>
      <x:c r="C61" s="51" t="str">
        <x:v>Audit and professional-services network</x:v>
      </x:c>
      <x:c r="D61" s="51" t="str">
        <x:v>International</x:v>
      </x:c>
      <x:c r="E61" s="51" t="str">
        <x:v>Audit, assurance, tax, consulting and strategy services</x:v>
      </x:c>
      <x:c r="F61" s="51" t="str"/>
    </x:row>
    <x:row r="62">
      <x:c r="A62" s="51" t="str">
        <x:v>ACT-KPMG</x:v>
      </x:c>
      <x:c r="B62" s="51" t="str">
        <x:v>KPMG</x:v>
      </x:c>
      <x:c r="C62" s="51" t="str">
        <x:v>Audit and professional-services network</x:v>
      </x:c>
      <x:c r="D62" s="51" t="str">
        <x:v>International</x:v>
      </x:c>
      <x:c r="E62" s="51" t="str">
        <x:v>Audit, assurance, tax and advisory services</x:v>
      </x:c>
      <x:c r="F62" s="51" t="str"/>
    </x:row>
    <x:row r="63">
      <x:c r="A63" s="51" t="str">
        <x:v>ACT-PWC</x:v>
      </x:c>
      <x:c r="B63" s="51" t="str">
        <x:v>PwC</x:v>
      </x:c>
      <x:c r="C63" s="51" t="str">
        <x:v>Audit and professional-services network</x:v>
      </x:c>
      <x:c r="D63" s="51" t="str">
        <x:v>International</x:v>
      </x:c>
      <x:c r="E63" s="51" t="str">
        <x:v>Audit, assurance, tax, consulting and deals services</x:v>
      </x:c>
      <x:c r="F63" s="51" t="str"/>
    </x:row>
    <x:row r="64">
      <x:c r="A64" s="51" t="str">
        <x:v>ACT-GENERALLICENSEBENEFICIAR</x:v>
      </x:c>
      <x:c r="B64" s="51" t="str">
        <x:v>General-license beneficiaries</x:v>
      </x:c>
      <x:c r="C64" s="51" t="str">
        <x:v>Authorised transaction group</x:v>
      </x:c>
      <x:c r="D64" s="51" t="str">
        <x:v>International</x:v>
      </x:c>
      <x:c r="E64" s="51" t="str">
        <x:v>Engage in activities authorised by general licences</x:v>
      </x:c>
      <x:c r="F64" s="51" t="str"/>
    </x:row>
    <x:row r="65">
      <x:c r="A65" s="51" t="str">
        <x:v>ACT-BANKOFAMERICA</x:v>
      </x:c>
      <x:c r="B65" s="51" t="str">
        <x:v>Bank of America</x:v>
      </x:c>
      <x:c r="C65" s="51" t="str">
        <x:v>Bank</x:v>
      </x:c>
      <x:c r="D65" s="51" t="str">
        <x:v>United States</x:v>
      </x:c>
      <x:c r="E65" s="51" t="str">
        <x:v>Bank that settled Epstein accuser claims in 2026</x:v>
      </x:c>
      <x:c r="F65" s="51" t="str"/>
    </x:row>
    <x:row r="66">
      <x:c r="A66" s="51" t="str">
        <x:v>ACT-BARCLAYS</x:v>
      </x:c>
      <x:c r="B66" s="51" t="str">
        <x:v>Barclays</x:v>
      </x:c>
      <x:c r="C66" s="51" t="str">
        <x:v>Bank</x:v>
      </x:c>
      <x:c r="D66" s="51" t="str">
        <x:v>United Kingdom</x:v>
      </x:c>
      <x:c r="E66" s="51" t="str">
        <x:v>Bank led by Jes Staley until his resignation</x:v>
      </x:c>
      <x:c r="F66" s="51" t="str"/>
    </x:row>
    <x:row r="67">
      <x:c r="A67" s="51" t="str">
        <x:v>ACT-DEUTSCHEBANK</x:v>
      </x:c>
      <x:c r="B67" s="51" t="str">
        <x:v>Deutsche Bank</x:v>
      </x:c>
      <x:c r="C67" s="51" t="str">
        <x:v>Bank</x:v>
      </x:c>
      <x:c r="D67" s="51" t="str">
        <x:v>Germany / United States</x:v>
      </x:c>
      <x:c r="E67" s="51" t="str">
        <x:v>Epstein's bank after JPMorgan; settlement and compliance-failure node</x:v>
      </x:c>
      <x:c r="F67" s="51" t="str"/>
    </x:row>
    <x:row r="68">
      <x:c r="A68" s="51" t="str">
        <x:v>ACT-GOLDMANSACHS</x:v>
      </x:c>
      <x:c r="B68" s="51" t="str">
        <x:v>Goldman Sachs</x:v>
      </x:c>
      <x:c r="C68" s="51" t="str">
        <x:v>Bank</x:v>
      </x:c>
      <x:c r="D68" s="51" t="str">
        <x:v>United States</x:v>
      </x:c>
      <x:c r="E68" s="51" t="str">
        <x:v>Institution reported to have held Epstein accounts and employed related figures</x:v>
      </x:c>
      <x:c r="F68" s="51" t="str"/>
    </x:row>
    <x:row r="69">
      <x:c r="A69" s="51" t="str">
        <x:v>ACT-HSBC</x:v>
      </x:c>
      <x:c r="B69" s="51" t="str">
        <x:v>HSBC</x:v>
      </x:c>
      <x:c r="C69" s="51" t="str">
        <x:v>Bank</x:v>
      </x:c>
      <x:c r="D69" s="51" t="str">
        <x:v>United Kingdom / international</x:v>
      </x:c>
      <x:c r="E69" s="51" t="str">
        <x:v>Institution reported to have held Epstein accounts</x:v>
      </x:c>
      <x:c r="F69" s="51" t="str"/>
    </x:row>
    <x:row r="70">
      <x:c r="A70" s="51" t="str">
        <x:v>ACT-JPMORGANCHASE</x:v>
      </x:c>
      <x:c r="B70" s="51" t="str">
        <x:v>JPMorgan Chase</x:v>
      </x:c>
      <x:c r="C70" s="51" t="str">
        <x:v>Bank</x:v>
      </x:c>
      <x:c r="D70" s="51" t="str">
        <x:v>United States</x:v>
      </x:c>
      <x:c r="E70" s="51" t="str">
        <x:v>Epstein's bank until 2013; settlement and institutional-failure node</x:v>
      </x:c>
      <x:c r="F70" s="51" t="str"/>
    </x:row>
    <x:row r="71">
      <x:c r="A71" s="51" t="str">
        <x:v>ACT-PARTICIPATINGFINANCIALIN</x:v>
      </x:c>
      <x:c r="B71" s="51" t="str">
        <x:v>Participating financial institutions</x:v>
      </x:c>
      <x:c r="C71" s="51" t="str">
        <x:v>Bank and credit-union group</x:v>
      </x:c>
      <x:c r="D71" s="51" t="str">
        <x:v>International</x:v>
      </x:c>
      <x:c r="E71" s="51" t="str">
        <x:v>Connect customers to payment systems and settlement accounts</x:v>
      </x:c>
      <x:c r="F71" s="51" t="str"/>
    </x:row>
    <x:row r="72">
      <x:c r="A72" s="51" t="str">
        <x:v>ACT-BANKLOANSANDSECURITIES</x:v>
      </x:c>
      <x:c r="B72" s="51" t="str">
        <x:v>Bank loans and securities</x:v>
      </x:c>
      <x:c r="C72" s="51" t="str">
        <x:v>Bank asset category</x:v>
      </x:c>
      <x:c r="D72" s="51" t="str">
        <x:v>International</x:v>
      </x:c>
      <x:c r="E72" s="51" t="str">
        <x:v>Generate interest and expose banks to credit, duration and market risk</x:v>
      </x:c>
      <x:c r="F72" s="51" t="str"/>
    </x:row>
    <x:row r="73">
      <x:c r="A73" s="51" t="str">
        <x:v>ACT-ACQUIRINGBANKS</x:v>
      </x:c>
      <x:c r="B73" s="51" t="str">
        <x:v>Acquiring banks</x:v>
      </x:c>
      <x:c r="C73" s="51" t="str">
        <x:v>Bank buyer group</x:v>
      </x:c>
      <x:c r="D73" s="51" t="str">
        <x:v>United States</x:v>
      </x:c>
      <x:c r="E73" s="51" t="str">
        <x:v>Acquire deposits, assets or operations of failed banks</x:v>
      </x:c>
      <x:c r="F73" s="51" t="str"/>
    </x:row>
    <x:row r="74">
      <x:c r="A74" s="51" t="str">
        <x:v>ACT-UNINSUREDDEPOSITORS</x:v>
      </x:c>
      <x:c r="B74" s="51" t="str">
        <x:v>Uninsured depositors</x:v>
      </x:c>
      <x:c r="C74" s="51" t="str">
        <x:v>Bank creditor group</x:v>
      </x:c>
      <x:c r="D74" s="51" t="str">
        <x:v>United States</x:v>
      </x:c>
      <x:c r="E74" s="51" t="str">
        <x:v>Hold deposit claims above applicable FDIC insurance limits</x:v>
      </x:c>
      <x:c r="F74" s="51" t="str"/>
    </x:row>
    <x:row r="75">
      <x:c r="A75" s="51" t="str">
        <x:v>ACT-BANKDEPOSITORS</x:v>
      </x:c>
      <x:c r="B75" s="51" t="str">
        <x:v>Bank depositors</x:v>
      </x:c>
      <x:c r="C75" s="51" t="str">
        <x:v>Bank customer group</x:v>
      </x:c>
      <x:c r="D75" s="51" t="str">
        <x:v>International</x:v>
      </x:c>
      <x:c r="E75" s="51" t="str">
        <x:v>Hold claims on commercial banks payable under account terms</x:v>
      </x:c>
      <x:c r="F75" s="51" t="str"/>
    </x:row>
    <x:row r="76">
      <x:c r="A76" s="51" t="str">
        <x:v>ACT-COMMODITYTRADEFINANCEBAN</x:v>
      </x:c>
      <x:c r="B76" s="51" t="str">
        <x:v>Commodity-trade finance banks</x:v>
      </x:c>
      <x:c r="C76" s="51" t="str">
        <x:v>Bank group</x:v>
      </x:c>
      <x:c r="D76" s="51" t="str">
        <x:v>International</x:v>
      </x:c>
      <x:c r="E76" s="51" t="str">
        <x:v>Provide revolving credit, borrowing-base, letter-of-credit and hedging facilities</x:v>
      </x:c>
      <x:c r="F76" s="51" t="str"/>
    </x:row>
    <x:row r="77">
      <x:c r="A77" s="51" t="str">
        <x:v>ACT-FDICINSUREDDEPOSITORYINS</x:v>
      </x:c>
      <x:c r="B77" s="51" t="str">
        <x:v>FDIC-insured depository institutions</x:v>
      </x:c>
      <x:c r="C77" s="51" t="str">
        <x:v>Bank group</x:v>
      </x:c>
      <x:c r="D77" s="51" t="str">
        <x:v>United States</x:v>
      </x:c>
      <x:c r="E77" s="51" t="str">
        <x:v>Pay risk-based assessments and receive deposit-insurance coverage</x:v>
      </x:c>
      <x:c r="F77" s="51" t="str"/>
    </x:row>
    <x:row r="78">
      <x:c r="A78" s="51" t="str">
        <x:v>ACT-BANKDEPOSITS</x:v>
      </x:c>
      <x:c r="B78" s="51" t="str">
        <x:v>Bank deposits</x:v>
      </x:c>
      <x:c r="C78" s="51" t="str">
        <x:v>Bank liability and money category</x:v>
      </x:c>
      <x:c r="D78" s="51" t="str">
        <x:v>International</x:v>
      </x:c>
      <x:c r="E78" s="51" t="str">
        <x:v>Serve as widely used commercial-bank money and bank funding</x:v>
      </x:c>
      <x:c r="F78" s="51" t="str"/>
    </x:row>
    <x:row r="79">
      <x:c r="A79" s="51" t="str">
        <x:v>ACT-COMMERCIALBANKS</x:v>
      </x:c>
      <x:c r="B79" s="51" t="str">
        <x:v>Commercial banks</x:v>
      </x:c>
      <x:c r="C79" s="51" t="str">
        <x:v>Banking institution group</x:v>
      </x:c>
      <x:c r="D79" s="51" t="str">
        <x:v>International</x:v>
      </x:c>
      <x:c r="E79" s="51" t="str">
        <x:v>Create deposit liabilities, extend credit and settle payments</x:v>
      </x:c>
      <x:c r="F79" s="51" t="str"/>
    </x:row>
    <x:row r="80">
      <x:c r="A80" s="51" t="str">
        <x:v>ACT-DEBTORINPOSSESSION</x:v>
      </x:c>
      <x:c r="B80" s="51" t="str">
        <x:v>Debtor in possession</x:v>
      </x:c>
      <x:c r="C80" s="51" t="str">
        <x:v>Bankruptcy estate fiduciary</x:v>
      </x:c>
      <x:c r="D80" s="51" t="str">
        <x:v>United States</x:v>
      </x:c>
      <x:c r="E80" s="51" t="str">
        <x:v>Operates a Chapter 11 debtor while exercising trustee-like powers</x:v>
      </x:c>
      <x:c r="F80" s="51" t="str"/>
    </x:row>
    <x:row r="81">
      <x:c r="A81" s="51" t="str">
        <x:v>ACT-OFFICIALCOMMITTEEOFUNSEC</x:v>
      </x:c>
      <x:c r="B81" s="51" t="str">
        <x:v>Official Committee of Unsecured Creditors</x:v>
      </x:c>
      <x:c r="C81" s="51" t="str">
        <x:v>Bankruptcy governance body</x:v>
      </x:c>
      <x:c r="D81" s="51" t="str">
        <x:v>United States</x:v>
      </x:c>
      <x:c r="E81" s="51" t="str">
        <x:v>Represents unsecured creditor interests in Chapter 11</x:v>
      </x:c>
      <x:c r="F81" s="51" t="str"/>
    </x:row>
    <x:row r="82">
      <x:c r="A82" s="51" t="str">
        <x:v>ACT-USTRUSTEEPROGRAM</x:v>
      </x:c>
      <x:c r="B82" s="51" t="str">
        <x:v>US Trustee Program</x:v>
      </x:c>
      <x:c r="C82" s="51" t="str">
        <x:v>Bankruptcy oversight authority</x:v>
      </x:c>
      <x:c r="D82" s="51" t="str">
        <x:v>United States</x:v>
      </x:c>
      <x:c r="E82" s="51" t="str">
        <x:v>Monitors case integrity and appoints official committees</x:v>
      </x:c>
      <x:c r="F82" s="51" t="str"/>
    </x:row>
    <x:row r="83">
      <x:c r="A83" s="51" t="str">
        <x:v>ACT-RAMONADELLIOTT</x:v>
      </x:c>
      <x:c r="B83" s="51" t="str">
        <x:v>Ramona D. Elliott</x:v>
      </x:c>
      <x:c r="C83" s="51" t="str">
        <x:v>Bankruptcy oversight official</x:v>
      </x:c>
      <x:c r="D83" s="51" t="str">
        <x:v>United States</x:v>
      </x:c>
      <x:c r="E83" s="51" t="str">
        <x:v>Acting Director of the U.S. Trustee Program</x:v>
      </x:c>
      <x:c r="F83" s="51" t="str"/>
    </x:row>
    <x:row r="84">
      <x:c r="A84" s="51" t="str">
        <x:v>ACT-SPECIALPURPOSEREINSURERS</x:v>
      </x:c>
      <x:c r="B84" s="51" t="str">
        <x:v>Special purpose reinsurers</x:v>
      </x:c>
      <x:c r="C84" s="51" t="str">
        <x:v>Bankruptcy-remote risk-transfer vehicles</x:v>
      </x:c>
      <x:c r="D84" s="51" t="str">
        <x:v>International</x:v>
      </x:c>
      <x:c r="E84" s="51" t="str">
        <x:v>Issue insurance-linked securities and collateralise reinsurance obligations</x:v>
      </x:c>
      <x:c r="F84" s="51" t="str"/>
    </x:row>
    <x:row r="85">
      <x:c r="A85" s="51" t="str">
        <x:v>ACT-ICEBENCHMARKADMINISTRATI</x:v>
      </x:c>
      <x:c r="B85" s="51" t="str">
        <x:v>ICE Benchmark Administration</x:v>
      </x:c>
      <x:c r="C85" s="51" t="str">
        <x:v>Benchmark administrator</x:v>
      </x:c>
      <x:c r="D85" s="51" t="str">
        <x:v>United Kingdom / international</x:v>
      </x:c>
      <x:c r="E85" s="51" t="str">
        <x:v>Administrator of regulated financial and commodity benchmarks</x:v>
      </x:c>
      <x:c r="F85" s="51" t="str"/>
    </x:row>
    <x:row r="86">
      <x:c r="A86" s="51" t="str">
        <x:v>ACT-AMERICANBITCOIN</x:v>
      </x:c>
      <x:c r="B86" s="51" t="str">
        <x:v>American Bitcoin</x:v>
      </x:c>
      <x:c r="C86" s="51" t="str">
        <x:v>Bitcoin-mining company</x:v>
      </x:c>
      <x:c r="D86" s="51" t="str">
        <x:v>United States</x:v>
      </x:c>
      <x:c r="E86" s="51" t="str">
        <x:v>Trump-family-linked Bitcoin mining and accumulation company</x:v>
      </x:c>
      <x:c r="F86" s="51" t="str"/>
    </x:row>
    <x:row r="87">
      <x:c r="A87" s="51" t="str">
        <x:v>ACT-HUT8</x:v>
      </x:c>
      <x:c r="B87" s="51" t="str">
        <x:v>Hut 8</x:v>
      </x:c>
      <x:c r="C87" s="51" t="str">
        <x:v>Bitcoin-mining company</x:v>
      </x:c>
      <x:c r="D87" s="51" t="str">
        <x:v>Canada / United States</x:v>
      </x:c>
      <x:c r="E87" s="51" t="str">
        <x:v>American Bitcoin partner and shareholder</x:v>
      </x:c>
      <x:c r="F87" s="51" t="str"/>
    </x:row>
    <x:row r="88">
      <x:c r="A88" s="51" t="str">
        <x:v>ACT-COLLECTIVEACTIONCLAUSES</x:v>
      </x:c>
      <x:c r="B88" s="51" t="str">
        <x:v>Collective action clauses</x:v>
      </x:c>
      <x:c r="C88" s="51" t="str">
        <x:v>Bond-contract mechanism</x:v>
      </x:c>
      <x:c r="D88" s="51" t="str">
        <x:v>International</x:v>
      </x:c>
      <x:c r="E88" s="51" t="str">
        <x:v>Permit supermajority-approved restructuring to bind minorities</x:v>
      </x:c>
      <x:c r="F88" s="51" t="str"/>
    </x:row>
    <x:row r="89">
      <x:c r="A89" s="51" t="str">
        <x:v>ACT-USCUSTOMSANDBORDERPROTEC</x:v>
      </x:c>
      <x:c r="B89" s="51" t="str">
        <x:v>U.S. Customs and Border Protection</x:v>
      </x:c>
      <x:c r="C89" s="51" t="str">
        <x:v>Border enforcement agency</x:v>
      </x:c>
      <x:c r="D89" s="51" t="str">
        <x:v>United States</x:v>
      </x:c>
      <x:c r="E89" s="51" t="str">
        <x:v>Implements USITC exclusion orders at the border</x:v>
      </x:c>
      <x:c r="F89" s="51" t="str"/>
    </x:row>
    <x:row r="90">
      <x:c r="A90" s="51" t="str">
        <x:v>ACT-PRIMEBROKERS</x:v>
      </x:c>
      <x:c r="B90" s="51" t="str">
        <x:v>Prime brokers</x:v>
      </x:c>
      <x:c r="C90" s="51" t="str">
        <x:v>Broker-dealer service group</x:v>
      </x:c>
      <x:c r="D90" s="51" t="str">
        <x:v>International</x:v>
      </x:c>
      <x:c r="E90" s="51" t="str">
        <x:v>Provide financing, custody, securities lending and execution to hedge funds</x:v>
      </x:c>
      <x:c r="F90" s="51" t="str"/>
    </x:row>
    <x:row r="91">
      <x:c r="A91" s="51" t="str">
        <x:v>ACT-FEDERALCREDITSUBSIDYCOST</x:v>
      </x:c>
      <x:c r="B91" s="51" t="str">
        <x:v>Federal credit subsidy cost</x:v>
      </x:c>
      <x:c r="C91" s="51" t="str">
        <x:v>Budget accounting measure</x:v>
      </x:c>
      <x:c r="D91" s="51" t="str">
        <x:v>United States</x:v>
      </x:c>
      <x:c r="E91" s="51" t="str">
        <x:v>Present-value estimate of expected government cost</x:v>
      </x:c>
      <x:c r="F91" s="51" t="str"/>
    </x:row>
    <x:row r="92">
      <x:c r="A92" s="51" t="str">
        <x:v>ACT-MICHAELBLOOMBERG</x:v>
      </x:c>
      <x:c r="B92" s="51" t="str">
        <x:v>Michael Bloomberg</x:v>
      </x:c>
      <x:c r="C92" s="51" t="str">
        <x:v>Business founder, philanthropist and former public official</x:v>
      </x:c>
      <x:c r="D92" s="51" t="str">
        <x:v>United States</x:v>
      </x:c>
      <x:c r="E92" s="51" t="str">
        <x:v>Founder of Bloomberg L.P. and Bloomberg Philanthropies</x:v>
      </x:c>
      <x:c r="F92" s="51" t="str"/>
    </x:row>
    <x:row r="93">
      <x:c r="A93" s="51" t="str">
        <x:v>ACT-COMMERCIALCONTRACTINGPAR</x:v>
      </x:c>
      <x:c r="B93" s="51" t="str">
        <x:v>Commercial contracting parties</x:v>
      </x:c>
      <x:c r="C93" s="51" t="str">
        <x:v>Business party group</x:v>
      </x:c>
      <x:c r="D93" s="51" t="str">
        <x:v>International</x:v>
      </x:c>
      <x:c r="E93" s="51" t="str">
        <x:v>Choose governing law, forum and arbitration clauses</x:v>
      </x:c>
      <x:c r="F93" s="51" t="str"/>
    </x:row>
    <x:row r="94">
      <x:c r="A94" s="51" t="str">
        <x:v>ACT-INSURANCELINKEDSECURITIE</x:v>
      </x:c>
      <x:c r="B94" s="51" t="str">
        <x:v>Insurance-linked securities investors</x:v>
      </x:c>
      <x:c r="C94" s="51" t="str">
        <x:v>Capital-market investor group</x:v>
      </x:c>
      <x:c r="D94" s="51" t="str">
        <x:v>International</x:v>
      </x:c>
      <x:c r="E94" s="51" t="str">
        <x:v>Provide collateralised risk capital in return for spread and principal-at-risk exposure</x:v>
      </x:c>
      <x:c r="F94" s="51" t="str"/>
    </x:row>
    <x:row r="95">
      <x:c r="A95" s="51" t="str">
        <x:v>ACT-MORTGAGEBACKEDSECURITIES</x:v>
      </x:c>
      <x:c r="B95" s="51" t="str">
        <x:v>Mortgage-backed securities investors</x:v>
      </x:c>
      <x:c r="C95" s="51" t="str">
        <x:v>Capital-market investor group</x:v>
      </x:c>
      <x:c r="D95" s="51" t="str">
        <x:v>International</x:v>
      </x:c>
      <x:c r="E95" s="51" t="str">
        <x:v>Purchase agency and private mortgage-backed securities</x:v>
      </x:c>
      <x:c r="F95" s="51" t="str"/>
    </x:row>
    <x:row r="96">
      <x:c r="A96" s="51" t="str">
        <x:v>ACT-LITIGATIONFINANCEINVESTO</x:v>
      </x:c>
      <x:c r="B96" s="51" t="str">
        <x:v>Litigation-finance investors</x:v>
      </x:c>
      <x:c r="C96" s="51" t="str">
        <x:v>Capital-provider group</x:v>
      </x:c>
      <x:c r="D96" s="51" t="str">
        <x:v>International</x:v>
      </x:c>
      <x:c r="E96" s="51" t="str">
        <x:v>Provide capital to litigation funders or dedicated legal-asset vehicles</x:v>
      </x:c>
      <x:c r="F96" s="51" t="str"/>
    </x:row>
    <x:row r="97">
      <x:c r="A97" s="51" t="str">
        <x:v>ACT-BANCONACIONALDEANGOLA</x:v>
      </x:c>
      <x:c r="B97" s="51" t="str">
        <x:v>Banco Nacional de Angola</x:v>
      </x:c>
      <x:c r="C97" s="51" t="str">
        <x:v>Central bank</x:v>
      </x:c>
      <x:c r="D97" s="51" t="str">
        <x:v>Angola</x:v>
      </x:c>
      <x:c r="E97" s="51" t="str">
        <x:v>Reserve and currency authority</x:v>
      </x:c>
      <x:c r="F97" s="51" t="str"/>
    </x:row>
    <x:row r="98">
      <x:c r="A98" s="51" t="str">
        <x:v>ACT-BANKOFCANADA</x:v>
      </x:c>
      <x:c r="B98" s="51" t="str">
        <x:v>Bank of Canada</x:v>
      </x:c>
      <x:c r="C98" s="51" t="str">
        <x:v>Central bank</x:v>
      </x:c>
      <x:c r="D98" s="51" t="str">
        <x:v>Canada</x:v>
      </x:c>
      <x:c r="E98" s="51" t="str">
        <x:v>Standing dollar swap-line counterparty</x:v>
      </x:c>
      <x:c r="F98" s="51" t="str"/>
    </x:row>
    <x:row r="99">
      <x:c r="A99" s="51" t="str">
        <x:v>ACT-BANKOFENGLAND</x:v>
      </x:c>
      <x:c r="B99" s="51" t="str">
        <x:v>Bank of England</x:v>
      </x:c>
      <x:c r="C99" s="51" t="str">
        <x:v>Central bank</x:v>
      </x:c>
      <x:c r="D99" s="51" t="str">
        <x:v>United Kingdom</x:v>
      </x:c>
      <x:c r="E99" s="51" t="str">
        <x:v>Standing dollar swap-line counterparty</x:v>
      </x:c>
      <x:c r="F99" s="51" t="str"/>
    </x:row>
    <x:row r="100">
      <x:c r="A100" s="51" t="str">
        <x:v>ACT-BANKOFJAPAN</x:v>
      </x:c>
      <x:c r="B100" s="51" t="str">
        <x:v>Bank of Japan</x:v>
      </x:c>
      <x:c r="C100" s="51" t="str">
        <x:v>Central bank</x:v>
      </x:c>
      <x:c r="D100" s="51" t="str">
        <x:v>Japan</x:v>
      </x:c>
      <x:c r="E100" s="51" t="str">
        <x:v>Standing dollar swap-line counterparty</x:v>
      </x:c>
      <x:c r="F100" s="51" t="str"/>
    </x:row>
    <x:row r="101">
      <x:c r="A101" s="51" t="str">
        <x:v>ACT-CENTRALBANKOFRUSSIA</x:v>
      </x:c>
      <x:c r="B101" s="51" t="str">
        <x:v>Central Bank of Russia</x:v>
      </x:c>
      <x:c r="C101" s="51" t="str">
        <x:v>Central bank</x:v>
      </x:c>
      <x:c r="D101" s="51" t="str">
        <x:v>Russia</x:v>
      </x:c>
      <x:c r="E101" s="51" t="str">
        <x:v>Owner of reserves immobilised at Western financial infrastructures</x:v>
      </x:c>
      <x:c r="F101" s="51" t="str"/>
    </x:row>
    <x:row r="102">
      <x:c r="A102" s="51" t="str">
        <x:v>ACT-EUROPEANCENTRALBANK</x:v>
      </x:c>
      <x:c r="B102" s="51" t="str">
        <x:v>European Central Bank</x:v>
      </x:c>
      <x:c r="C102" s="51" t="str">
        <x:v>Central bank</x:v>
      </x:c>
      <x:c r="D102" s="51" t="str">
        <x:v>European Union</x:v>
      </x:c>
      <x:c r="E102" s="51" t="str">
        <x:v>Standing dollar swap-line counterparty</x:v>
      </x:c>
      <x:c r="F102" s="51" t="str"/>
    </x:row>
    <x:row r="103">
      <x:c r="A103" s="51" t="str">
        <x:v>ACT-FEDERALRESERVEBOARD</x:v>
      </x:c>
      <x:c r="B103" s="51" t="str">
        <x:v>Federal Reserve Board</x:v>
      </x:c>
      <x:c r="C103" s="51" t="str">
        <x:v>Central bank</x:v>
      </x:c>
      <x:c r="D103" s="51" t="str">
        <x:v>United States</x:v>
      </x:c>
      <x:c r="E103" s="51" t="str">
        <x:v>Issuer and selected global dollar-liquidity backstop</x:v>
      </x:c>
      <x:c r="F103" s="51" t="str"/>
    </x:row>
    <x:row r="104">
      <x:c r="A104" s="51" t="str">
        <x:v>ACT-PEOPLESBANKOFCHINA</x:v>
      </x:c>
      <x:c r="B104" s="51" t="str">
        <x:v>People's Bank of China</x:v>
      </x:c>
      <x:c r="C104" s="51" t="str">
        <x:v>Central bank</x:v>
      </x:c>
      <x:c r="D104" s="51" t="str">
        <x:v>China</x:v>
      </x:c>
      <x:c r="E104" s="51" t="str">
        <x:v>RMB monetary authority and CIPS sponsor</x:v>
      </x:c>
      <x:c r="F104" s="51" t="str"/>
    </x:row>
    <x:row r="105">
      <x:c r="A105" s="51" t="str">
        <x:v>ACT-SWISSNATIONALBANK</x:v>
      </x:c>
      <x:c r="B105" s="51" t="str">
        <x:v>Swiss National Bank</x:v>
      </x:c>
      <x:c r="C105" s="51" t="str">
        <x:v>Central bank</x:v>
      </x:c>
      <x:c r="D105" s="51" t="str">
        <x:v>Switzerland</x:v>
      </x:c>
      <x:c r="E105" s="51" t="str">
        <x:v>Standing dollar swap-line counterparty</x:v>
      </x:c>
      <x:c r="F105" s="51" t="str"/>
    </x:row>
    <x:row r="106">
      <x:c r="A106" s="51" t="str">
        <x:v>ACT-DISCOUNTWINDOW</x:v>
      </x:c>
      <x:c r="B106" s="51" t="str">
        <x:v>Discount Window</x:v>
      </x:c>
      <x:c r="C106" s="51" t="str">
        <x:v>Central bank liquidity facility</x:v>
      </x:c>
      <x:c r="D106" s="51" t="str">
        <x:v>United States</x:v>
      </x:c>
      <x:c r="E106" s="51" t="str">
        <x:v>Provides collateralised backup funding to eligible depository institutions</x:v>
      </x:c>
      <x:c r="F106" s="51" t="str"/>
    </x:row>
    <x:row r="107">
      <x:c r="A107" s="51" t="str">
        <x:v>ACT-STANDINGREPOFACILITY</x:v>
      </x:c>
      <x:c r="B107" s="51" t="str">
        <x:v>Standing Repo Facility</x:v>
      </x:c>
      <x:c r="C107" s="51" t="str">
        <x:v>Central bank liquidity facility</x:v>
      </x:c>
      <x:c r="D107" s="51" t="str">
        <x:v>United States</x:v>
      </x:c>
      <x:c r="E107" s="51" t="str">
        <x:v>Offers standing overnight repo funding to eligible counterparties</x:v>
      </x:c>
      <x:c r="F107" s="51" t="str"/>
    </x:row>
    <x:row r="108">
      <x:c r="A108" s="51" t="str">
        <x:v>ACT-FEDERALRESERVEBANKS</x:v>
      </x:c>
      <x:c r="B108" s="51" t="str">
        <x:v>Federal Reserve Banks</x:v>
      </x:c>
      <x:c r="C108" s="51" t="str">
        <x:v>Central bank operating institutions</x:v>
      </x:c>
      <x:c r="D108" s="51" t="str">
        <x:v>United States</x:v>
      </x:c>
      <x:c r="E108" s="51" t="str">
        <x:v>Extend collateralised credit and conduct repo operations</x:v>
      </x:c>
      <x:c r="F108" s="51" t="str"/>
    </x:row>
    <x:row r="109">
      <x:c r="A109" s="51" t="str">
        <x:v>ACT-ECBCLIMATEFACTOR</x:v>
      </x:c>
      <x:c r="B109" s="51" t="str">
        <x:v>ECB climate factor</x:v>
      </x:c>
      <x:c r="C109" s="51" t="str">
        <x:v>Central bank risk-control adjustment</x:v>
      </x:c>
      <x:c r="D109" s="51" t="str">
        <x:v>Euro area</x:v>
      </x:c>
      <x:c r="E109" s="51" t="str">
        <x:v>Adjusts collateral values for climate-transition risk</x:v>
      </x:c>
      <x:c r="F109" s="51" t="str"/>
    </x:row>
    <x:row r="110">
      <x:c r="A110" s="51" t="str">
        <x:v>ACT-EUROSYSTEM</x:v>
      </x:c>
      <x:c r="B110" s="51" t="str">
        <x:v>Eurosystem</x:v>
      </x:c>
      <x:c r="C110" s="51" t="str">
        <x:v>Central bank system</x:v>
      </x:c>
      <x:c r="D110" s="51" t="str">
        <x:v>Euro area</x:v>
      </x:c>
      <x:c r="E110" s="51" t="str">
        <x:v>Provides monetary-policy credit against eligible collateral</x:v>
      </x:c>
      <x:c r="F110" s="51" t="str"/>
    </x:row>
    <x:row r="111">
      <x:c r="A111" s="51" t="str">
        <x:v>ACT-FEDERALRESERVESYSTEM</x:v>
      </x:c>
      <x:c r="B111" s="51" t="str">
        <x:v>Federal Reserve System</x:v>
      </x:c>
      <x:c r="C111" s="51" t="str">
        <x:v>Central bank system</x:v>
      </x:c>
      <x:c r="D111" s="51" t="str">
        <x:v>United States</x:v>
      </x:c>
      <x:c r="E111" s="51" t="str">
        <x:v>Provides monetary policy, payments and lender-of-last-resort facilities</x:v>
      </x:c>
      <x:c r="F111" s="51" t="str"/>
    </x:row>
    <x:row r="112">
      <x:c r="A112" s="51" t="str">
        <x:v>ACT-CMECLEARING</x:v>
      </x:c>
      <x:c r="B112" s="51" t="str">
        <x:v>CME Clearing</x:v>
      </x:c>
      <x:c r="C112" s="51" t="str">
        <x:v>Central counterparty</x:v>
      </x:c>
      <x:c r="D112" s="51" t="str">
        <x:v>United States</x:v>
      </x:c>
      <x:c r="E112" s="51" t="str">
        <x:v>Clears CME Group derivatives and operates financial safeguards waterfalls</x:v>
      </x:c>
      <x:c r="F112" s="51" t="str"/>
    </x:row>
    <x:row r="113">
      <x:c r="A113" s="51" t="str">
        <x:v>ACT-FIXEDINCOMECLEARINGCORPO</x:v>
      </x:c>
      <x:c r="B113" s="51" t="str">
        <x:v>Fixed Income Clearing Corporation</x:v>
      </x:c>
      <x:c r="C113" s="51" t="str">
        <x:v>Central counterparty</x:v>
      </x:c>
      <x:c r="D113" s="51" t="str">
        <x:v>United States</x:v>
      </x:c>
      <x:c r="E113" s="51" t="str">
        <x:v>Clears U.S. government securities and mortgage-backed securities transactions</x:v>
      </x:c>
      <x:c r="F113" s="51" t="str"/>
    </x:row>
    <x:row r="114">
      <x:c r="A114" s="51" t="str">
        <x:v>ACT-ICECLEARCREDIT</x:v>
      </x:c>
      <x:c r="B114" s="51" t="str">
        <x:v>ICE Clear Credit</x:v>
      </x:c>
      <x:c r="C114" s="51" t="str">
        <x:v>Central counterparty</x:v>
      </x:c>
      <x:c r="D114" s="51" t="str">
        <x:v>United States / international</x:v>
      </x:c>
      <x:c r="E114" s="51" t="str">
        <x:v>Clears credit default swaps and developing U.S. Treasury clearing services</x:v>
      </x:c>
      <x:c r="F114" s="51" t="str"/>
    </x:row>
    <x:row r="115">
      <x:c r="A115" s="51" t="str">
        <x:v>ACT-LCHLIMITED</x:v>
      </x:c>
      <x:c r="B115" s="51" t="str">
        <x:v>LCH Limited</x:v>
      </x:c>
      <x:c r="C115" s="51" t="str">
        <x:v>Central counterparty</x:v>
      </x:c>
      <x:c r="D115" s="51" t="str">
        <x:v>United Kingdom / international</x:v>
      </x:c>
      <x:c r="E115" s="51" t="str">
        <x:v>Clears rates, equities, repos, FX and other products</x:v>
      </x:c>
      <x:c r="F115" s="51" t="str"/>
    </x:row>
    <x:row r="116">
      <x:c r="A116" s="51" t="str">
        <x:v>ACT-THEDEPOSITORYTRUSTCOMPAN</x:v>
      </x:c>
      <x:c r="B116" s="51" t="str">
        <x:v>The Depository Trust Company</x:v>
      </x:c>
      <x:c r="C116" s="51" t="str">
        <x:v>Central securities depository</x:v>
      </x:c>
      <x:c r="D116" s="51" t="str">
        <x:v>United States</x:v>
      </x:c>
      <x:c r="E116" s="51" t="str">
        <x:v>Holds securities in fungible bulk and processes corporate actions</x:v>
      </x:c>
      <x:c r="F116" s="51" t="str"/>
    </x:row>
    <x:row r="117">
      <x:c r="A117" s="51" t="str">
        <x:v>ACT-EUROCLEAR</x:v>
      </x:c>
      <x:c r="B117" s="51" t="str">
        <x:v>Euroclear</x:v>
      </x:c>
      <x:c r="C117" s="51" t="str">
        <x:v>Central securities depository / settlement infrastructure</x:v>
      </x:c>
      <x:c r="D117" s="51" t="str">
        <x:v>Belgium / international</x:v>
      </x:c>
      <x:c r="E117" s="51" t="str">
        <x:v>Global securities custody, settlement and sanctioned-asset holder</x:v>
      </x:c>
      <x:c r="F117" s="51" t="str"/>
    </x:row>
    <x:row r="118">
      <x:c r="A118" s="51" t="str">
        <x:v>ACT-FIMAREPOFACILITY</x:v>
      </x:c>
      <x:c r="B118" s="51" t="str">
        <x:v>FIMA Repo Facility</x:v>
      </x:c>
      <x:c r="C118" s="51" t="str">
        <x:v>Central-bank foreign-official facility</x:v>
      </x:c>
      <x:c r="D118" s="51" t="str">
        <x:v>United States / international</x:v>
      </x:c>
      <x:c r="E118" s="51" t="str">
        <x:v>Provides dollar liquidity against U.S. Treasury securities to foreign official institutions</x:v>
      </x:c>
      <x:c r="F118" s="51" t="str"/>
    </x:row>
    <x:row r="119">
      <x:c r="A119" s="51" t="str">
        <x:v>ACT-TARGETINSTANTPAYMENTSETT</x:v>
      </x:c>
      <x:c r="B119" s="51" t="str">
        <x:v>TARGET Instant Payment Settlement (TIPS)</x:v>
      </x:c>
      <x:c r="C119" s="51" t="str">
        <x:v>Central-bank instant settlement platform</x:v>
      </x:c>
      <x:c r="D119" s="51" t="str">
        <x:v>Euro area / Europe</x:v>
      </x:c>
      <x:c r="E119" s="51" t="str">
        <x:v>Settles instant payments in central-bank money</x:v>
      </x:c>
      <x:c r="F119" s="51" t="str"/>
    </x:row>
    <x:row r="120">
      <x:c r="A120" s="51" t="str">
        <x:v>ACT-CENTRALBANKRESERVES</x:v>
      </x:c>
      <x:c r="B120" s="51" t="str">
        <x:v>Central bank reserves</x:v>
      </x:c>
      <x:c r="C120" s="51" t="str">
        <x:v>Central-bank liability category</x:v>
      </x:c>
      <x:c r="D120" s="51" t="str">
        <x:v>International</x:v>
      </x:c>
      <x:c r="E120" s="51" t="str">
        <x:v>Settle obligations among eligible depository institutions</x:v>
      </x:c>
      <x:c r="F120" s="51" t="str"/>
    </x:row>
    <x:row r="121">
      <x:c r="A121" s="51" t="str">
        <x:v>ACT-OVERNIGHTREVERSEREPURCHA</x:v>
      </x:c>
      <x:c r="B121" s="51" t="str">
        <x:v>Overnight Reverse Repurchase Agreement Facility</x:v>
      </x:c>
      <x:c r="C121" s="51" t="str">
        <x:v>Central-bank liability facility</x:v>
      </x:c>
      <x:c r="D121" s="51" t="str">
        <x:v>United States</x:v>
      </x:c>
      <x:c r="E121" s="51" t="str">
        <x:v>Accepts overnight cash from eligible counterparties against Treasury collateral</x:v>
      </x:c>
      <x:c r="F121" s="51" t="str"/>
    </x:row>
    <x:row r="122">
      <x:c r="A122" s="51" t="str">
        <x:v>ACT-FEDERALRESERVEFINANCIALS</x:v>
      </x:c>
      <x:c r="B122" s="51" t="str">
        <x:v>Federal Reserve Financial Services</x:v>
      </x:c>
      <x:c r="C122" s="51" t="str">
        <x:v>Central-bank service operator</x:v>
      </x:c>
      <x:c r="D122" s="51" t="str">
        <x:v>United States</x:v>
      </x:c>
      <x:c r="E122" s="51" t="str">
        <x:v>Operator of Fedwire and other Federal Reserve payment services</x:v>
      </x:c>
      <x:c r="F122" s="51" t="str"/>
    </x:row>
    <x:row r="123">
      <x:c r="A123" s="51" t="str">
        <x:v>ACT-PLAINTIFFS</x:v>
      </x:c>
      <x:c r="B123" s="51" t="str">
        <x:v>Plaintiffs</x:v>
      </x:c>
      <x:c r="C123" s="51" t="str">
        <x:v>Claimant group</x:v>
      </x:c>
      <x:c r="D123" s="51" t="str">
        <x:v>International</x:v>
      </x:c>
      <x:c r="E123" s="51" t="str">
        <x:v>Assert legal causes of action and seek remedies</x:v>
      </x:c>
      <x:c r="F123" s="51" t="str"/>
    </x:row>
    <x:row r="124">
      <x:c r="A124" s="51" t="str">
        <x:v>ACT-VICTIMSANDLEGITIMATETHIR</x:v>
      </x:c>
      <x:c r="B124" s="51" t="str">
        <x:v>Victims and legitimate third parties</x:v>
      </x:c>
      <x:c r="C124" s="51" t="str">
        <x:v>Claimant group</x:v>
      </x:c>
      <x:c r="D124" s="51" t="str">
        <x:v>International</x:v>
      </x:c>
      <x:c r="E124" s="51" t="str">
        <x:v>May receive restitution, remission or returned property</x:v>
      </x:c>
      <x:c r="F124" s="51" t="str"/>
    </x:row>
    <x:row r="125">
      <x:c r="A125" s="51" t="str">
        <x:v>ACT-DERIVATIVESCLEARINGORGAN</x:v>
      </x:c>
      <x:c r="B125" s="51" t="str">
        <x:v>Derivatives clearing organizations</x:v>
      </x:c>
      <x:c r="C125" s="51" t="str">
        <x:v>Clearing institution group</x:v>
      </x:c>
      <x:c r="D125" s="51" t="str">
        <x:v>United States</x:v>
      </x:c>
      <x:c r="E125" s="51" t="str">
        <x:v>Clear futures, options and swaps under CFTC registration</x:v>
      </x:c>
      <x:c r="F125" s="51" t="str"/>
    </x:row>
    <x:row r="126">
      <x:c r="A126" s="51" t="str">
        <x:v>ACT-MICHAELINTRATOR</x:v>
      </x:c>
      <x:c r="B126" s="51" t="str">
        <x:v>Michael Intrator</x:v>
      </x:c>
      <x:c r="C126" s="51" t="str">
        <x:v>Cloud infrastructure executive</x:v>
      </x:c>
      <x:c r="D126" s="51" t="str">
        <x:v>United States</x:v>
      </x:c>
      <x:c r="E126" s="51" t="str">
        <x:v>Co-founder, chairman and CEO of CoreWeave</x:v>
      </x:c>
      <x:c r="F126" s="51" t="str"/>
    </x:row>
    <x:row r="127">
      <x:c r="A127" s="51" t="str">
        <x:v>ACT-GPUCLOUDPROVIDERS</x:v>
      </x:c>
      <x:c r="B127" s="51" t="str">
        <x:v>GPU cloud providers</x:v>
      </x:c>
      <x:c r="C127" s="51" t="str">
        <x:v>Cloud infrastructure group</x:v>
      </x:c>
      <x:c r="D127" s="51" t="str">
        <x:v>International</x:v>
      </x:c>
      <x:c r="E127" s="51" t="str">
        <x:v>Lease accelerated compute through specialised AI clouds</x:v>
      </x:c>
      <x:c r="F127" s="51" t="str"/>
    </x:row>
    <x:row r="128">
      <x:c r="A128" s="51" t="str">
        <x:v>ACT-HYPERSCALECLOUDPROVIDERS</x:v>
      </x:c>
      <x:c r="B128" s="51" t="str">
        <x:v>Hyperscale cloud providers</x:v>
      </x:c>
      <x:c r="C128" s="51" t="str">
        <x:v>Cloud infrastructure group</x:v>
      </x:c>
      <x:c r="D128" s="51" t="str">
        <x:v>International</x:v>
      </x:c>
      <x:c r="E128" s="51" t="str">
        <x:v>Operate global cloud, data-center and AI service platforms</x:v>
      </x:c>
      <x:c r="F128" s="51" t="str"/>
    </x:row>
    <x:row r="129">
      <x:c r="A129" s="51" t="str">
        <x:v>ACT-EUROSYSTEMELIGIBLECOLLAT</x:v>
      </x:c>
      <x:c r="B129" s="51" t="str">
        <x:v>Eurosystem eligible collateral</x:v>
      </x:c>
      <x:c r="C129" s="51" t="str">
        <x:v>Collateral asset pool</x:v>
      </x:c>
      <x:c r="D129" s="51" t="str">
        <x:v>Euro area</x:v>
      </x:c>
      <x:c r="E129" s="51" t="str">
        <x:v>Assets accepted in Eurosystem credit operations</x:v>
      </x:c>
      <x:c r="F129" s="51" t="str"/>
    </x:row>
    <x:row r="130">
      <x:c r="A130" s="51" t="str">
        <x:v>ACT-INITIALMARGINCOLLATERAL</x:v>
      </x:c>
      <x:c r="B130" s="51" t="str">
        <x:v>Initial margin collateral</x:v>
      </x:c>
      <x:c r="C130" s="51" t="str">
        <x:v>Collateral pool</x:v>
      </x:c>
      <x:c r="D130" s="51" t="str">
        <x:v>International</x:v>
      </x:c>
      <x:c r="E130" s="51" t="str">
        <x:v>Resources collected to cover potential future exposure during close-out</x:v>
      </x:c>
      <x:c r="F130" s="51" t="str"/>
    </x:row>
    <x:row r="131">
      <x:c r="A131" s="51" t="str">
        <x:v>ACT-TRIPARTYREPOMARKET</x:v>
      </x:c>
      <x:c r="B131" s="51" t="str">
        <x:v>Tri-party repo market</x:v>
      </x:c>
      <x:c r="C131" s="51" t="str">
        <x:v>Collateralised funding venue</x:v>
      </x:c>
      <x:c r="D131" s="51" t="str">
        <x:v>United States</x:v>
      </x:c>
      <x:c r="E131" s="51" t="str">
        <x:v>Uses a third-party clearing bank for settlement and collateral management</x:v>
      </x:c>
      <x:c r="F131" s="51" t="str"/>
    </x:row>
    <x:row r="132">
      <x:c r="A132" s="51" t="str">
        <x:v>ACT-ICCARBITRATIONPARTIES</x:v>
      </x:c>
      <x:c r="B132" s="51" t="str">
        <x:v>ICC arbitration parties</x:v>
      </x:c>
      <x:c r="C132" s="51" t="str">
        <x:v>Commercial and state party group</x:v>
      </x:c>
      <x:c r="D132" s="51" t="str">
        <x:v>International</x:v>
      </x:c>
      <x:c r="E132" s="51" t="str">
        <x:v>Submit disputes to ICC arbitration by agreement</x:v>
      </x:c>
      <x:c r="F132" s="51" t="str"/>
    </x:row>
    <x:row r="133">
      <x:c r="A133" s="51" t="str">
        <x:v>ACT-ICCINTERNATIONALCOURTOFA</x:v>
      </x:c>
      <x:c r="B133" s="51" t="str">
        <x:v>ICC International Court of Arbitration</x:v>
      </x:c>
      <x:c r="C133" s="51" t="str">
        <x:v>Commercial arbitral institution</x:v>
      </x:c>
      <x:c r="D133" s="51" t="str">
        <x:v>International</x:v>
      </x:c>
      <x:c r="E133" s="51" t="str">
        <x:v>Administers cross-border commercial arbitration</x:v>
      </x:c>
      <x:c r="F133" s="51" t="str"/>
    </x:row>
    <x:row r="134">
      <x:c r="A134" s="51" t="str">
        <x:v>ACT-BANCODEFOMENTOANGOLA</x:v>
      </x:c>
      <x:c r="B134" s="51" t="str">
        <x:v>Banco de Fomento Angola</x:v>
      </x:c>
      <x:c r="C134" s="51" t="str">
        <x:v>Commercial bank</x:v>
      </x:c>
      <x:c r="D134" s="51" t="str">
        <x:v>Angola</x:v>
      </x:c>
      <x:c r="E134" s="51" t="str">
        <x:v>Commercial banking and planned CIPS participation</x:v>
      </x:c>
      <x:c r="F134" s="51" t="str"/>
    </x:row>
    <x:row r="135">
      <x:c r="A135" s="51" t="str">
        <x:v>ACT-DOMESTICINDUSTRIESASSERT</x:v>
      </x:c>
      <x:c r="B135" s="51" t="str">
        <x:v>Domestic industries asserting Section 337 rights</x:v>
      </x:c>
      <x:c r="C135" s="51" t="str">
        <x:v>Commercial complainant group</x:v>
      </x:c>
      <x:c r="D135" s="51" t="str">
        <x:v>United States</x:v>
      </x:c>
      <x:c r="E135" s="51" t="str">
        <x:v>Seek exclusionary relief against unfair or infringing imports</x:v>
      </x:c>
      <x:c r="F135" s="51" t="str"/>
    </x:row>
    <x:row r="136">
      <x:c r="A136" s="51" t="str">
        <x:v>ACT-DATACENTERCUSTOMERSANDTE</x:v>
      </x:c>
      <x:c r="B136" s="51" t="str">
        <x:v>Data center customers and tenants</x:v>
      </x:c>
      <x:c r="C136" s="51" t="str">
        <x:v>Commercial customer group</x:v>
      </x:c>
      <x:c r="D136" s="51" t="str">
        <x:v>International</x:v>
      </x:c>
      <x:c r="E136" s="51" t="str">
        <x:v>Contract for cloud, colocation or dedicated AI capacity</x:v>
      </x:c>
      <x:c r="F136" s="51" t="str"/>
    </x:row>
    <x:row r="137">
      <x:c r="A137" s="51" t="str">
        <x:v>ACT-THIRDPARTYDATAPROVIDERS</x:v>
      </x:c>
      <x:c r="B137" s="51" t="str">
        <x:v>Third-party data providers</x:v>
      </x:c>
      <x:c r="C137" s="51" t="str">
        <x:v>Commercial data-supply group</x:v>
      </x:c>
      <x:c r="D137" s="51" t="str">
        <x:v>International</x:v>
      </x:c>
      <x:c r="E137" s="51" t="str">
        <x:v>Provide audience, transaction and attribute data</x:v>
      </x:c>
      <x:c r="F137" s="51" t="str"/>
    </x:row>
    <x:row r="138">
      <x:c r="A138" s="51" t="str">
        <x:v>ACT-ADVERTISERS</x:v>
      </x:c>
      <x:c r="B138" s="51" t="str">
        <x:v>Advertisers</x:v>
      </x:c>
      <x:c r="C138" s="51" t="str">
        <x:v>Commercial demand group</x:v>
      </x:c>
      <x:c r="D138" s="51" t="str">
        <x:v>International</x:v>
      </x:c>
      <x:c r="E138" s="51" t="str">
        <x:v>Bid for user attention and conversion opportunities</x:v>
      </x:c>
      <x:c r="F138" s="51" t="str"/>
    </x:row>
    <x:row r="139">
      <x:c r="A139" s="51" t="str">
        <x:v>ACT-MARINEANDCARGOINSUREDS</x:v>
      </x:c>
      <x:c r="B139" s="51" t="str">
        <x:v>Marine and cargo insureds</x:v>
      </x:c>
      <x:c r="C139" s="51" t="str">
        <x:v>Commercial insurance buyer group</x:v>
      </x:c>
      <x:c r="D139" s="51" t="str">
        <x:v>International</x:v>
      </x:c>
      <x:c r="E139" s="51" t="str">
        <x:v>Purchase hull, cargo and war-risk protection</x:v>
      </x:c>
      <x:c r="F139" s="51" t="str"/>
    </x:row>
    <x:row r="140">
      <x:c r="A140" s="51" t="str">
        <x:v>ACT-IMPORTERSANDRESPONDENTSI</x:v>
      </x:c>
      <x:c r="B140" s="51" t="str">
        <x:v>Importers and respondents in Section 337 cases</x:v>
      </x:c>
      <x:c r="C140" s="51" t="str">
        <x:v>Commercial respondent group</x:v>
      </x:c>
      <x:c r="D140" s="51" t="str">
        <x:v>International</x:v>
      </x:c>
      <x:c r="E140" s="51" t="str">
        <x:v>Defend against allegations of unfair importation or IP infringement</x:v>
      </x:c>
      <x:c r="F140" s="51" t="str"/>
    </x:row>
    <x:row r="141">
      <x:c r="A141" s="51" t="str">
        <x:v>ACT-COMMERCIALHEDGERS</x:v>
      </x:c>
      <x:c r="B141" s="51" t="str">
        <x:v>Commercial hedgers</x:v>
      </x:c>
      <x:c r="C141" s="51" t="str">
        <x:v>Commercial risk-management group</x:v>
      </x:c>
      <x:c r="D141" s="51" t="str">
        <x:v>International</x:v>
      </x:c>
      <x:c r="E141" s="51" t="str">
        <x:v>Use derivatives to offset commodity, interest-rate, currency or credit exposures</x:v>
      </x:c>
      <x:c r="F141" s="51" t="str"/>
    </x:row>
    <x:row r="142">
      <x:c r="A142" s="51" t="str">
        <x:v>ACT-MERCHANTSANDPLATFORMS</x:v>
      </x:c>
      <x:c r="B142" s="51" t="str">
        <x:v>Merchants and platforms</x:v>
      </x:c>
      <x:c r="C142" s="51" t="str">
        <x:v>Commercial seller group</x:v>
      </x:c>
      <x:c r="D142" s="51" t="str">
        <x:v>International</x:v>
      </x:c>
      <x:c r="E142" s="51" t="str">
        <x:v>Accept payments and generate transaction data</x:v>
      </x:c>
      <x:c r="F142" s="51" t="str"/>
    </x:row>
    <x:row r="143">
      <x:c r="A143" s="51" t="str">
        <x:v>ACT-PATENTLICENSEESANDTECHNO</x:v>
      </x:c>
      <x:c r="B143" s="51" t="str">
        <x:v>Patent licensees and technology implementers</x:v>
      </x:c>
      <x:c r="C143" s="51" t="str">
        <x:v>Commercial user group</x:v>
      </x:c>
      <x:c r="D143" s="51" t="str">
        <x:v>International</x:v>
      </x:c>
      <x:c r="E143" s="51" t="str">
        <x:v>Use patented technology under licence or infringement risk</x:v>
      </x:c>
      <x:c r="F143" s="51" t="str"/>
    </x:row>
    <x:row r="144">
      <x:c r="A144" s="51" t="str">
        <x:v>ACT-ICEBRENTINDEX</x:v>
      </x:c>
      <x:c r="B144" s="51" t="str">
        <x:v>ICE Brent Index</x:v>
      </x:c>
      <x:c r="C144" s="51" t="str">
        <x:v>Commodity benchmark</x:v>
      </x:c>
      <x:c r="D144" s="51" t="str">
        <x:v>United Kingdom / international</x:v>
      </x:c>
      <x:c r="E144" s="51" t="str">
        <x:v>Reference benchmark for seaborne crude and derivative settlement</x:v>
      </x:c>
      <x:c r="F144" s="51" t="str"/>
    </x:row>
    <x:row r="145">
      <x:c r="A145" s="51" t="str">
        <x:v>ACT-LBMAPRECIOUSMETALSPRICES</x:v>
      </x:c>
      <x:c r="B145" s="51" t="str">
        <x:v>LBMA Precious Metals Prices</x:v>
      </x:c>
      <x:c r="C145" s="51" t="str">
        <x:v>Commodity benchmark set</x:v>
      </x:c>
      <x:c r="D145" s="51" t="str">
        <x:v>United Kingdom / international</x:v>
      </x:c>
      <x:c r="E145" s="51" t="str">
        <x:v>Reference prices for gold, silver, platinum and palladium</x:v>
      </x:c>
      <x:c r="F145" s="51" t="str"/>
    </x:row>
    <x:row r="146">
      <x:c r="A146" s="51" t="str">
        <x:v>ACT-GLENCORE</x:v>
      </x:c>
      <x:c r="B146" s="51" t="str">
        <x:v>Glencore</x:v>
      </x:c>
      <x:c r="C146" s="51" t="str">
        <x:v>Commodity producer and trader</x:v>
      </x:c>
      <x:c r="D146" s="51" t="str">
        <x:v>Switzerland / international</x:v>
      </x:c>
      <x:c r="E146" s="51" t="str">
        <x:v>Integrated mining, energy production and commodity trading group</x:v>
      </x:c>
      <x:c r="F146" s="51" t="str"/>
    </x:row>
    <x:row r="147">
      <x:c r="A147" s="51" t="str">
        <x:v>ACT-LMELICENSEDWAREHOUSES</x:v>
      </x:c>
      <x:c r="B147" s="51" t="str">
        <x:v>LME licensed warehouses</x:v>
      </x:c>
      <x:c r="C147" s="51" t="str">
        <x:v>Commodity storage network</x:v>
      </x:c>
      <x:c r="D147" s="51" t="str">
        <x:v>International</x:v>
      </x:c>
      <x:c r="E147" s="51" t="str">
        <x:v>Store exchange-deliverable metal and issue warehouse warrants</x:v>
      </x:c>
      <x:c r="F147" s="51" t="str"/>
    </x:row>
    <x:row r="148">
      <x:c r="A148" s="51" t="str">
        <x:v>ACT-LMEWARRANTHOLDERS</x:v>
      </x:c>
      <x:c r="B148" s="51" t="str">
        <x:v>LME warrant holders</x:v>
      </x:c>
      <x:c r="C148" s="51" t="str">
        <x:v>Commodity title-holder group</x:v>
      </x:c>
      <x:c r="D148" s="51" t="str">
        <x:v>International</x:v>
      </x:c>
      <x:c r="E148" s="51" t="str">
        <x:v>Hold exchange-recognised title to metal in licensed warehouses</x:v>
      </x:c>
      <x:c r="F148" s="51" t="str"/>
    </x:row>
    <x:row r="149">
      <x:c r="A149" s="51" t="str">
        <x:v>ACT-GUNVOR</x:v>
      </x:c>
      <x:c r="B149" s="51" t="str">
        <x:v>Gunvor</x:v>
      </x:c>
      <x:c r="C149" s="51" t="str">
        <x:v>Commodity trading company</x:v>
      </x:c>
      <x:c r="D149" s="51" t="str">
        <x:v>Switzerland / international</x:v>
      </x:c>
      <x:c r="E149" s="51" t="str">
        <x:v>Global energy trading and logistics company</x:v>
      </x:c>
      <x:c r="F149" s="51" t="str"/>
    </x:row>
    <x:row r="150">
      <x:c r="A150" s="51" t="str">
        <x:v>ACT-MERCURIA</x:v>
      </x:c>
      <x:c r="B150" s="51" t="str">
        <x:v>Mercuria</x:v>
      </x:c>
      <x:c r="C150" s="51" t="str">
        <x:v>Commodity trading company</x:v>
      </x:c>
      <x:c r="D150" s="51" t="str">
        <x:v>Switzerland / international</x:v>
      </x:c>
      <x:c r="E150" s="51" t="str">
        <x:v>Global energy and commodity trader</x:v>
      </x:c>
      <x:c r="F150" s="51" t="str"/>
    </x:row>
    <x:row r="151">
      <x:c r="A151" s="51" t="str">
        <x:v>ACT-TRAFIGURA</x:v>
      </x:c>
      <x:c r="B151" s="51" t="str">
        <x:v>Trafigura</x:v>
      </x:c>
      <x:c r="C151" s="51" t="str">
        <x:v>Commodity trading company</x:v>
      </x:c>
      <x:c r="D151" s="51" t="str">
        <x:v>Singapore / Switzerland / international</x:v>
      </x:c>
      <x:c r="E151" s="51" t="str">
        <x:v>Global energy, metals and logistics trader</x:v>
      </x:c>
      <x:c r="F151" s="51" t="str"/>
    </x:row>
    <x:row r="152">
      <x:c r="A152" s="51" t="str">
        <x:v>ACT-VITOL</x:v>
      </x:c>
      <x:c r="B152" s="51" t="str">
        <x:v>Vitol</x:v>
      </x:c>
      <x:c r="C152" s="51" t="str">
        <x:v>Commodity trading company</x:v>
      </x:c>
      <x:c r="D152" s="51" t="str">
        <x:v>Switzerland / international</x:v>
      </x:c>
      <x:c r="E152" s="51" t="str">
        <x:v>Largest independent energy trader and major physical oil/LNG intermediary</x:v>
      </x:c>
      <x:c r="F152" s="51" t="str"/>
    </x:row>
    <x:row r="153">
      <x:c r="A153" s="51" t="str">
        <x:v>ACT-FEDERALCOMMUNICATIONSCOM</x:v>
      </x:c>
      <x:c r="B153" s="51" t="str">
        <x:v>Federal Communications Commission</x:v>
      </x:c>
      <x:c r="C153" s="51" t="str">
        <x:v>Communications regulator</x:v>
      </x:c>
      <x:c r="D153" s="51" t="str">
        <x:v>United States</x:v>
      </x:c>
      <x:c r="E153" s="51" t="str">
        <x:v>Licenses US cable landings and communications infrastructure</x:v>
      </x:c>
      <x:c r="F153" s="51" t="str"/>
    </x:row>
    <x:row r="154">
      <x:c r="A154" s="51" t="str">
        <x:v>ACT-NAIRRPRIVATESECTORPARTNE</x:v>
      </x:c>
      <x:c r="B154" s="51" t="str">
        <x:v>NAIRR private-sector partners</x:v>
      </x:c>
      <x:c r="C154" s="51" t="str">
        <x:v>Company and nonprofit group</x:v>
      </x:c>
      <x:c r="D154" s="51" t="str">
        <x:v>United States / international</x:v>
      </x:c>
      <x:c r="E154" s="51" t="str">
        <x:v>Contribute compute, models, data and expertise to NAIRR</x:v>
      </x:c>
      <x:c r="F154" s="51" t="str"/>
    </x:row>
    <x:row r="155">
      <x:c r="A155" s="51" t="str">
        <x:v>ACT-LEGALPERSONS</x:v>
      </x:c>
      <x:c r="B155" s="51" t="str">
        <x:v>Legal persons</x:v>
      </x:c>
      <x:c r="C155" s="51" t="str">
        <x:v>Company and organisation group</x:v>
      </x:c>
      <x:c r="D155" s="51" t="str">
        <x:v>International</x:v>
      </x:c>
      <x:c r="E155" s="51" t="str">
        <x:v>Hold legal rights and obligations distinct from natural persons</x:v>
      </x:c>
      <x:c r="F155" s="51" t="str"/>
    </x:row>
    <x:row r="156">
      <x:c r="A156" s="51" t="str">
        <x:v>ACT-FEDERALCONTRACTORS</x:v>
      </x:c>
      <x:c r="B156" s="51" t="str">
        <x:v>Federal contractors</x:v>
      </x:c>
      <x:c r="C156" s="51" t="str">
        <x:v>Company group</x:v>
      </x:c>
      <x:c r="D156" s="51" t="str">
        <x:v>United States / international</x:v>
      </x:c>
      <x:c r="E156" s="51" t="str">
        <x:v>Supply goods and services under federal awards</x:v>
      </x:c>
      <x:c r="F156" s="51" t="str"/>
    </x:row>
    <x:row r="157">
      <x:c r="A157" s="51" t="str">
        <x:v>ACT-VALORCOMPUTEINFRASTRUCTU</x:v>
      </x:c>
      <x:c r="B157" s="51" t="str">
        <x:v>Valor Compute Infrastructure</x:v>
      </x:c>
      <x:c r="C157" s="51" t="str">
        <x:v>Compute infrastructure fund / owner</x:v>
      </x:c>
      <x:c r="D157" s="51" t="str">
        <x:v>United States</x:v>
      </x:c>
      <x:c r="E157" s="51" t="str">
        <x:v>Acquirer and lessor of GPU infrastructure to xAI</x:v>
      </x:c>
      <x:c r="F157" s="51" t="str"/>
    </x:row>
    <x:row r="158">
      <x:c r="A158" s="51" t="str">
        <x:v>ACT-PAYMENTACCOUNTHOLDERS</x:v>
      </x:c>
      <x:c r="B158" s="51" t="str">
        <x:v>Payment account holders</x:v>
      </x:c>
      <x:c r="C158" s="51" t="str">
        <x:v>Consumer and business group</x:v>
      </x:c>
      <x:c r="D158" s="51" t="str">
        <x:v>International</x:v>
      </x:c>
      <x:c r="E158" s="51" t="str">
        <x:v>Authorise payments through cards, accounts or wallets</x:v>
      </x:c>
      <x:c r="F158" s="51" t="str"/>
    </x:row>
    <x:row r="159">
      <x:c r="A159" s="51" t="str">
        <x:v>ACT-REGULATIONZ</x:v>
      </x:c>
      <x:c r="B159" s="51" t="str">
        <x:v>Regulation Z</x:v>
      </x:c>
      <x:c r="C159" s="51" t="str">
        <x:v>Consumer credit disclosure rule</x:v>
      </x:c>
      <x:c r="D159" s="51" t="str">
        <x:v>United States</x:v>
      </x:c>
      <x:c r="E159" s="51" t="str">
        <x:v>Implements Truth in Lending requirements for mortgage credit</x:v>
      </x:c>
      <x:c r="F159" s="51" t="str"/>
    </x:row>
    <x:row r="160">
      <x:c r="A160" s="51" t="str">
        <x:v>ACT-CONSUMERFINANCIALPROTECT</x:v>
      </x:c>
      <x:c r="B160" s="51" t="str">
        <x:v>Consumer Financial Protection Bureau</x:v>
      </x:c>
      <x:c r="C160" s="51" t="str">
        <x:v>Consumer financial regulator</x:v>
      </x:c>
      <x:c r="D160" s="51" t="str">
        <x:v>United States</x:v>
      </x:c>
      <x:c r="E160" s="51" t="str">
        <x:v>Administers federal mortgage disclosure, servicing and fair-lending data rules</x:v>
      </x:c>
      <x:c r="F160" s="51" t="str"/>
    </x:row>
    <x:row r="161">
      <x:c r="A161" s="51" t="str">
        <x:v>ACT-MOBILEOPERATINGSYSTEMUSE</x:v>
      </x:c>
      <x:c r="B161" s="51" t="str">
        <x:v>Mobile operating-system users</x:v>
      </x:c>
      <x:c r="C161" s="51" t="str">
        <x:v>Consumer group</x:v>
      </x:c>
      <x:c r="D161" s="51" t="str">
        <x:v>International</x:v>
      </x:c>
      <x:c r="E161" s="51" t="str">
        <x:v>Access apps through devices, stores and platform identities</x:v>
      </x:c>
      <x:c r="F161" s="51" t="str"/>
    </x:row>
    <x:row r="162">
      <x:c r="A162" s="51" t="str">
        <x:v>ACT-MAERSK</x:v>
      </x:c>
      <x:c r="B162" s="51" t="str">
        <x:v>Maersk</x:v>
      </x:c>
      <x:c r="C162" s="51" t="str">
        <x:v>Container shipping and logistics company</x:v>
      </x:c>
      <x:c r="D162" s="51" t="str">
        <x:v>Denmark / international</x:v>
      </x:c>
      <x:c r="E162" s="51" t="str">
        <x:v>Global ocean shipping and logistics network</x:v>
      </x:c>
      <x:c r="F162" s="51" t="str"/>
    </x:row>
    <x:row r="163">
      <x:c r="A163" s="51" t="str">
        <x:v>ACT-GLOBALSOVEREIGNDEBTROUND</x:v>
      </x:c>
      <x:c r="B163" s="51" t="str">
        <x:v>Global Sovereign Debt Roundtable</x:v>
      </x:c>
      <x:c r="C163" s="51" t="str">
        <x:v>Coordination forum</x:v>
      </x:c>
      <x:c r="D163" s="51" t="str">
        <x:v>International</x:v>
      </x:c>
      <x:c r="E163" s="51" t="str">
        <x:v>Brings debtors, official creditors, private creditors, IMF and World Bank together</x:v>
      </x:c>
      <x:c r="F163" s="51" t="str"/>
    </x:row>
    <x:row r="164">
      <x:c r="A164" s="51" t="str">
        <x:v>ACT-REORGANISINGDEBTORS</x:v>
      </x:c>
      <x:c r="B164" s="51" t="str">
        <x:v>Reorganising debtors</x:v>
      </x:c>
      <x:c r="C164" s="51" t="str">
        <x:v>Corporate and individual debtor group</x:v>
      </x:c>
      <x:c r="D164" s="51" t="str">
        <x:v>United States</x:v>
      </x:c>
      <x:c r="E164" s="51" t="str">
        <x:v>Seek restructuring through bankruptcy proceedings</x:v>
      </x:c>
      <x:c r="F164" s="51" t="str"/>
    </x:row>
    <x:row r="165">
      <x:c r="A165" s="51" t="str">
        <x:v>ACT-RELATEDPARTYENTITIES</x:v>
      </x:c>
      <x:c r="B165" s="51" t="str">
        <x:v>Related-party entities</x:v>
      </x:c>
      <x:c r="C165" s="51" t="str">
        <x:v>Corporate entity group</x:v>
      </x:c>
      <x:c r="D165" s="51" t="str">
        <x:v>International</x:v>
      </x:c>
      <x:c r="E165" s="51" t="str">
        <x:v>Entities conducting transactions under common ownership or control</x:v>
      </x:c>
      <x:c r="F165" s="51" t="str"/>
    </x:row>
    <x:row r="166">
      <x:c r="A166" s="51" t="str">
        <x:v>ACT-AIINFRASTRUCTUREBRIDGELO</x:v>
      </x:c>
      <x:c r="B166" s="51" t="str">
        <x:v>AI infrastructure bridge loans</x:v>
      </x:c>
      <x:c r="C166" s="51" t="str">
        <x:v>Corporate financing instrument group</x:v>
      </x:c>
      <x:c r="D166" s="51" t="str">
        <x:v>International</x:v>
      </x:c>
      <x:c r="E166" s="51" t="str">
        <x:v>Provides interim financing for AI investments and buildout</x:v>
      </x:c>
      <x:c r="F166" s="51" t="str"/>
    </x:row>
    <x:row r="167">
      <x:c r="A167" s="51" t="str">
        <x:v>ACT-LARGEMULTINATIONALENTERP</x:v>
      </x:c>
      <x:c r="B167" s="51" t="str">
        <x:v>Large multinational enterprise groups</x:v>
      </x:c>
      <x:c r="C167" s="51" t="str">
        <x:v>Corporate group</x:v>
      </x:c>
      <x:c r="D167" s="51" t="str">
        <x:v>International</x:v>
      </x:c>
      <x:c r="E167" s="51" t="str">
        <x:v>Groups subject to transfer-pricing and country-reporting regimes</x:v>
      </x:c>
      <x:c r="F167" s="51" t="str"/>
    </x:row>
    <x:row r="168">
      <x:c r="A168" s="51" t="str">
        <x:v>ACT-DELAWAREDIVISIONOFCORPOR</x:v>
      </x:c>
      <x:c r="B168" s="51" t="str">
        <x:v>Delaware Division of Corporations</x:v>
      </x:c>
      <x:c r="C168" s="51" t="str">
        <x:v>Corporate registry and filing authority</x:v>
      </x:c>
      <x:c r="D168" s="51" t="str">
        <x:v>Delaware, United States</x:v>
      </x:c>
      <x:c r="E168" s="51" t="str">
        <x:v>Forms and maintains legal entities and records UCC filings</x:v>
      </x:c>
      <x:c r="F168" s="51" t="str"/>
    </x:row>
    <x:row r="169">
      <x:c r="A169" s="51" t="str">
        <x:v>ACT-DELAWAREGENERALCORPORATI</x:v>
      </x:c>
      <x:c r="B169" s="51" t="str">
        <x:v>Delaware General Corporation Law</x:v>
      </x:c>
      <x:c r="C169" s="51" t="str">
        <x:v>Corporate-law framework</x:v>
      </x:c>
      <x:c r="D169" s="51" t="str">
        <x:v>Delaware, United States</x:v>
      </x:c>
      <x:c r="E169" s="51" t="str">
        <x:v>Allocates authority among corporations, boards, officers and stockholders</x:v>
      </x:c>
      <x:c r="F169" s="51" t="str"/>
    </x:row>
    <x:row r="170">
      <x:c r="A170" s="51" t="str">
        <x:v>ACT-ANGOLA</x:v>
      </x:c>
      <x:c r="B170" s="51" t="str">
        <x:v>Angola</x:v>
      </x:c>
      <x:c r="C170" s="51" t="str">
        <x:v>Country</x:v>
      </x:c>
      <x:c r="D170" s="51" t="str">
        <x:v>Angola</x:v>
      </x:c>
      <x:c r="E170" s="51" t="str">
        <x:v>Oil exporter and emerging RMB-settlement participant</x:v>
      </x:c>
      <x:c r="F170" s="51" t="str"/>
    </x:row>
    <x:row r="171">
      <x:c r="A171" s="51" t="str">
        <x:v>ACT-NETHERLANDS</x:v>
      </x:c>
      <x:c r="B171" s="51" t="str">
        <x:v>Netherlands</x:v>
      </x:c>
      <x:c r="C171" s="51" t="str">
        <x:v>Country</x:v>
      </x:c>
      <x:c r="D171" s="51" t="str">
        <x:v>Netherlands</x:v>
      </x:c>
      <x:c r="E171" s="51" t="str">
        <x:v>Advanced lithography jurisdiction</x:v>
      </x:c>
      <x:c r="F171" s="51" t="str"/>
    </x:row>
    <x:row r="172">
      <x:c r="A172" s="51" t="str">
        <x:v>ACT-PEOPLESREPUBLICOFCHINA</x:v>
      </x:c>
      <x:c r="B172" s="51" t="str">
        <x:v>People's Republic of China</x:v>
      </x:c>
      <x:c r="C172" s="51" t="str">
        <x:v>Country</x:v>
      </x:c>
      <x:c r="D172" s="51" t="str">
        <x:v>China</x:v>
      </x:c>
      <x:c r="E172" s="51" t="str">
        <x:v>Industrial, material, financial and cybernetic counter-stack</x:v>
      </x:c>
      <x:c r="F172" s="51" t="str"/>
    </x:row>
    <x:row r="173">
      <x:c r="A173" s="51" t="str">
        <x:v>ACT-QATAR</x:v>
      </x:c>
      <x:c r="B173" s="51" t="str">
        <x:v>Qatar</x:v>
      </x:c>
      <x:c r="C173" s="51" t="str">
        <x:v>Country</x:v>
      </x:c>
      <x:c r="D173" s="51" t="str">
        <x:v>Qatar</x:v>
      </x:c>
      <x:c r="E173" s="51" t="str">
        <x:v>LNG exporter and sovereign-capital allocator</x:v>
      </x:c>
      <x:c r="F173" s="51" t="str"/>
    </x:row>
    <x:row r="174">
      <x:c r="A174" s="51" t="str">
        <x:v>ACT-SAUDIARABIA</x:v>
      </x:c>
      <x:c r="B174" s="51" t="str">
        <x:v>Saudi Arabia</x:v>
      </x:c>
      <x:c r="C174" s="51" t="str">
        <x:v>Country</x:v>
      </x:c>
      <x:c r="D174" s="51" t="str">
        <x:v>Saudi Arabia</x:v>
      </x:c>
      <x:c r="E174" s="51" t="str">
        <x:v>Energy exporter and sovereign-capital allocator</x:v>
      </x:c>
      <x:c r="F174" s="51" t="str"/>
    </x:row>
    <x:row r="175">
      <x:c r="A175" s="51" t="str">
        <x:v>ACT-SOUTHKOREA</x:v>
      </x:c>
      <x:c r="B175" s="51" t="str">
        <x:v>South Korea</x:v>
      </x:c>
      <x:c r="C175" s="51" t="str">
        <x:v>Country</x:v>
      </x:c>
      <x:c r="D175" s="51" t="str">
        <x:v>South Korea</x:v>
      </x:c>
      <x:c r="E175" s="51" t="str">
        <x:v>Advanced semiconductor node</x:v>
      </x:c>
      <x:c r="F175" s="51" t="str"/>
    </x:row>
    <x:row r="176">
      <x:c r="A176" s="51" t="str">
        <x:v>ACT-STATEOFISRAEL</x:v>
      </x:c>
      <x:c r="B176" s="51" t="str">
        <x:v>State of Israel</x:v>
      </x:c>
      <x:c r="C176" s="51" t="str">
        <x:v>Country</x:v>
      </x:c>
      <x:c r="D176" s="51" t="str">
        <x:v>Israel</x:v>
      </x:c>
      <x:c r="E176" s="51" t="str">
        <x:v>Security-technology and military deployment node</x:v>
      </x:c>
      <x:c r="F176" s="51" t="str"/>
    </x:row>
    <x:row r="177">
      <x:c r="A177" s="51" t="str">
        <x:v>ACT-UKRAINE</x:v>
      </x:c>
      <x:c r="B177" s="51" t="str">
        <x:v>Ukraine</x:v>
      </x:c>
      <x:c r="C177" s="51" t="str">
        <x:v>Country</x:v>
      </x:c>
      <x:c r="D177" s="51" t="str">
        <x:v>Ukraine</x:v>
      </x:c>
      <x:c r="E177" s="51" t="str">
        <x:v>Recipient of support partly funded by sanctioned-asset income</x:v>
      </x:c>
      <x:c r="F177" s="51" t="str"/>
    </x:row>
    <x:row r="178">
      <x:c r="A178" s="51" t="str">
        <x:v>ACT-UNITEDARABEMIRATES</x:v>
      </x:c>
      <x:c r="B178" s="51" t="str">
        <x:v>United Arab Emirates</x:v>
      </x:c>
      <x:c r="C178" s="51" t="str">
        <x:v>Country</x:v>
      </x:c>
      <x:c r="D178" s="51" t="str">
        <x:v>United Arab Emirates</x:v>
      </x:c>
      <x:c r="E178" s="51" t="str">
        <x:v>Energy-capital-compute hub</x:v>
      </x:c>
      <x:c r="F178" s="51" t="str"/>
    </x:row>
    <x:row r="179">
      <x:c r="A179" s="51" t="str">
        <x:v>ACT-UNITEDSTATES</x:v>
      </x:c>
      <x:c r="B179" s="51" t="str">
        <x:v>United States</x:v>
      </x:c>
      <x:c r="C179" s="51" t="str">
        <x:v>Country</x:v>
      </x:c>
      <x:c r="D179" s="51" t="str">
        <x:v>United States</x:v>
      </x:c>
      <x:c r="E179" s="51" t="str">
        <x:v>Reserve-currency issuer, military and legal power</x:v>
      </x:c>
      <x:c r="F179" s="51" t="str"/>
    </x:row>
    <x:row r="180">
      <x:c r="A180" s="51" t="str">
        <x:v>ACT-VENEZUELA</x:v>
      </x:c>
      <x:c r="B180" s="51" t="str">
        <x:v>Venezuela</x:v>
      </x:c>
      <x:c r="C180" s="51" t="str">
        <x:v>Country</x:v>
      </x:c>
      <x:c r="D180" s="51" t="str">
        <x:v>Venezuela</x:v>
      </x:c>
      <x:c r="E180" s="51" t="str">
        <x:v>Site of reported US military operation involving AI</x:v>
      </x:c>
      <x:c r="F180" s="51" t="str"/>
    </x:row>
    <x:row r="181">
      <x:c r="A181" s="51" t="str">
        <x:v>ACT-TAIWAN</x:v>
      </x:c>
      <x:c r="B181" s="51" t="str">
        <x:v>Taiwan</x:v>
      </x:c>
      <x:c r="C181" s="51" t="str">
        <x:v>Country / territory</x:v>
      </x:c>
      <x:c r="D181" s="51" t="str">
        <x:v>Taiwan</x:v>
      </x:c>
      <x:c r="E181" s="51" t="str">
        <x:v>Advanced semiconductor fabrication node</x:v>
      </x:c>
      <x:c r="F181" s="51" t="str"/>
    </x:row>
    <x:row r="182">
      <x:c r="A182" s="51" t="str">
        <x:v>ACT-LOWANDMIDDLEINCOMECOUNTR</x:v>
      </x:c>
      <x:c r="B182" s="51" t="str">
        <x:v>Low- and middle-income countries</x:v>
      </x:c>
      <x:c r="C182" s="51" t="str">
        <x:v>Country group</x:v>
      </x:c>
      <x:c r="D182" s="51" t="str">
        <x:v>Global South</x:v>
      </x:c>
      <x:c r="E182" s="51" t="str">
        <x:v>Borrowers in the international debt system</x:v>
      </x:c>
      <x:c r="F182" s="51" t="str"/>
    </x:row>
    <x:row r="183">
      <x:c r="A183" s="51" t="str">
        <x:v>ACT-DELAWARECOURTOFCHANCERY</x:v>
      </x:c>
      <x:c r="B183" s="51" t="str">
        <x:v>Delaware Court of Chancery</x:v>
      </x:c>
      <x:c r="C183" s="51" t="str">
        <x:v>Court of equity and business law</x:v>
      </x:c>
      <x:c r="D183" s="51" t="str">
        <x:v>Delaware, United States</x:v>
      </x:c>
      <x:c r="E183" s="51" t="str">
        <x:v>Resolves internal-affairs, fiduciary and corporate-control disputes</x:v>
      </x:c>
      <x:c r="F183" s="51" t="str"/>
    </x:row>
    <x:row r="184">
      <x:c r="A184" s="51" t="str">
        <x:v>ACT-EQUIFAX</x:v>
      </x:c>
      <x:c r="B184" s="51" t="str">
        <x:v>Equifax</x:v>
      </x:c>
      <x:c r="C184" s="51" t="str">
        <x:v>Credit bureau / data broker</x:v>
      </x:c>
      <x:c r="D184" s="51" t="str">
        <x:v>United States / international</x:v>
      </x:c>
      <x:c r="E184" s="51" t="str">
        <x:v>Credit reporting, identity and risk analytics</x:v>
      </x:c>
      <x:c r="F184" s="51" t="str"/>
    </x:row>
    <x:row r="185">
      <x:c r="A185" s="51" t="str">
        <x:v>ACT-EXPERIAN</x:v>
      </x:c>
      <x:c r="B185" s="51" t="str">
        <x:v>Experian</x:v>
      </x:c>
      <x:c r="C185" s="51" t="str">
        <x:v>Credit bureau / data broker</x:v>
      </x:c>
      <x:c r="D185" s="51" t="str">
        <x:v>Ireland / international</x:v>
      </x:c>
      <x:c r="E185" s="51" t="str">
        <x:v>Credit reporting, identity, marketing and risk analytics</x:v>
      </x:c>
      <x:c r="F185" s="51" t="str"/>
    </x:row>
    <x:row r="186">
      <x:c r="A186" s="51" t="str">
        <x:v>ACT-TRANSUNION</x:v>
      </x:c>
      <x:c r="B186" s="51" t="str">
        <x:v>TransUnion</x:v>
      </x:c>
      <x:c r="C186" s="51" t="str">
        <x:v>Credit bureau / data broker</x:v>
      </x:c>
      <x:c r="D186" s="51" t="str">
        <x:v>United States / international</x:v>
      </x:c>
      <x:c r="E186" s="51" t="str">
        <x:v>Credit reporting, identity and consumer-data intermediary</x:v>
      </x:c>
      <x:c r="F186" s="51" t="str"/>
    </x:row>
    <x:row r="187">
      <x:c r="A187" s="51" t="str">
        <x:v>ACT-MORTGAGEBROKERS</x:v>
      </x:c>
      <x:c r="B187" s="51" t="str">
        <x:v>Mortgage brokers</x:v>
      </x:c>
      <x:c r="C187" s="51" t="str">
        <x:v>Credit intermediary group</x:v>
      </x:c>
      <x:c r="D187" s="51" t="str">
        <x:v>United States</x:v>
      </x:c>
      <x:c r="E187" s="51" t="str">
        <x:v>Match borrowers with mortgage products and lenders</x:v>
      </x:c>
      <x:c r="F187" s="51" t="str"/>
    </x:row>
    <x:row r="188">
      <x:c r="A188" s="51" t="str">
        <x:v>ACT-FITCHRATINGS</x:v>
      </x:c>
      <x:c r="B188" s="51" t="str">
        <x:v>Fitch Ratings</x:v>
      </x:c>
      <x:c r="C188" s="51" t="str">
        <x:v>Credit rating agency</x:v>
      </x:c>
      <x:c r="D188" s="51" t="str">
        <x:v>United States / international</x:v>
      </x:c>
      <x:c r="E188" s="51" t="str">
        <x:v>Sovereign, corporate and financial credit-rating institution</x:v>
      </x:c>
      <x:c r="F188" s="51" t="str"/>
    </x:row>
    <x:row r="189">
      <x:c r="A189" s="51" t="str">
        <x:v>ACT-MOODYSRATINGS</x:v>
      </x:c>
      <x:c r="B189" s="51" t="str">
        <x:v>Moodys Ratings</x:v>
      </x:c>
      <x:c r="C189" s="51" t="str">
        <x:v>Credit rating agency</x:v>
      </x:c>
      <x:c r="D189" s="51" t="str">
        <x:v>United States / international</x:v>
      </x:c>
      <x:c r="E189" s="51" t="str">
        <x:v>Issuer, sovereign and structured-finance rating institution</x:v>
      </x:c>
      <x:c r="F189" s="51" t="str"/>
    </x:row>
    <x:row r="190">
      <x:c r="A190" s="51" t="str">
        <x:v>ACT-SPGLOBALRATINGS</x:v>
      </x:c>
      <x:c r="B190" s="51" t="str">
        <x:v>S&amp;P Global Ratings</x:v>
      </x:c>
      <x:c r="C190" s="51" t="str">
        <x:v>Credit rating agency</x:v>
      </x:c>
      <x:c r="D190" s="51" t="str">
        <x:v>United States / international</x:v>
      </x:c>
      <x:c r="E190" s="51" t="str">
        <x:v>Issuer and sovereign credit-rating institution</x:v>
      </x:c>
      <x:c r="F190" s="51" t="str"/>
    </x:row>
    <x:row r="191">
      <x:c r="A191" s="51" t="str">
        <x:v>ACT-CONNECTICUTAVENUESECURIT</x:v>
      </x:c>
      <x:c r="B191" s="51" t="str">
        <x:v>Connecticut Avenue Securities investors</x:v>
      </x:c>
      <x:c r="C191" s="51" t="str">
        <x:v>Credit-risk investor group</x:v>
      </x:c>
      <x:c r="D191" s="51" t="str">
        <x:v>International</x:v>
      </x:c>
      <x:c r="E191" s="51" t="str">
        <x:v>Absorb defined portions of Fannie Mae mortgage credit risk</x:v>
      </x:c>
      <x:c r="F191" s="51" t="str"/>
    </x:row>
    <x:row r="192">
      <x:c r="A192" s="51" t="str">
        <x:v>ACT-BANKUNSECUREDCREDITORS</x:v>
      </x:c>
      <x:c r="B192" s="51" t="str">
        <x:v>Bank unsecured creditors</x:v>
      </x:c>
      <x:c r="C192" s="51" t="str">
        <x:v>Creditor group</x:v>
      </x:c>
      <x:c r="D192" s="51" t="str">
        <x:v>International</x:v>
      </x:c>
      <x:c r="E192" s="51" t="str">
        <x:v>Provide non-deposit unsecured funding subject to insolvency and resolution hierarchy</x:v>
      </x:c>
      <x:c r="F192" s="51" t="str"/>
    </x:row>
    <x:row r="193">
      <x:c r="A193" s="51" t="str">
        <x:v>ACT-PREPETITIONSECUREDLENDER</x:v>
      </x:c>
      <x:c r="B193" s="51" t="str">
        <x:v>Prepetition secured lenders</x:v>
      </x:c>
      <x:c r="C193" s="51" t="str">
        <x:v>Creditor group</x:v>
      </x:c>
      <x:c r="D193" s="51" t="str">
        <x:v>International</x:v>
      </x:c>
      <x:c r="E193" s="51" t="str">
        <x:v>Hold liens and cash-collateral rights before bankruptcy</x:v>
      </x:c>
      <x:c r="F193" s="51" t="str"/>
    </x:row>
    <x:row r="194">
      <x:c r="A194" s="51" t="str">
        <x:v>ACT-PRIVATESOVEREIGNBONDHOLD</x:v>
      </x:c>
      <x:c r="B194" s="51" t="str">
        <x:v>Private sovereign bondholders</x:v>
      </x:c>
      <x:c r="C194" s="51" t="str">
        <x:v>Creditor group</x:v>
      </x:c>
      <x:c r="D194" s="51" t="str">
        <x:v>International</x:v>
      </x:c>
      <x:c r="E194" s="51" t="str">
        <x:v>Hold tradable sovereign bonds</x:v>
      </x:c>
      <x:c r="F194" s="51" t="str"/>
    </x:row>
    <x:row r="195">
      <x:c r="A195" s="51" t="str">
        <x:v>ACT-SECUREDCREDITORS</x:v>
      </x:c>
      <x:c r="B195" s="51" t="str">
        <x:v>Secured creditors</x:v>
      </x:c>
      <x:c r="C195" s="51" t="str">
        <x:v>Creditor group</x:v>
      </x:c>
      <x:c r="D195" s="51" t="str">
        <x:v>International</x:v>
      </x:c>
      <x:c r="E195" s="51" t="str">
        <x:v>Hold collateral-backed claims and priority rights</x:v>
      </x:c>
      <x:c r="F195" s="51" t="str"/>
    </x:row>
    <x:row r="196">
      <x:c r="A196" s="51" t="str">
        <x:v>ACT-UNSECUREDCREDITORS</x:v>
      </x:c>
      <x:c r="B196" s="51" t="str">
        <x:v>Unsecured creditors</x:v>
      </x:c>
      <x:c r="C196" s="51" t="str">
        <x:v>Creditor group</x:v>
      </x:c>
      <x:c r="D196" s="51" t="str">
        <x:v>International</x:v>
      </x:c>
      <x:c r="E196" s="51" t="str">
        <x:v>Hold claims without specific collateral priority</x:v>
      </x:c>
      <x:c r="F196" s="51" t="str"/>
    </x:row>
    <x:row r="197">
      <x:c r="A197" s="51" t="str">
        <x:v>ACT-CREDITORSCOMMITTEESANDAD</x:v>
      </x:c>
      <x:c r="B197" s="51" t="str">
        <x:v>Creditors' committees and advisers</x:v>
      </x:c>
      <x:c r="C197" s="51" t="str">
        <x:v>Creditor-governance group</x:v>
      </x:c>
      <x:c r="D197" s="51" t="str">
        <x:v>United States</x:v>
      </x:c>
      <x:c r="E197" s="51" t="str">
        <x:v>Represent unsecured creditor interests in Chapter 11</x:v>
      </x:c>
      <x:c r="F197" s="51" t="str"/>
    </x:row>
    <x:row r="198">
      <x:c r="A198" s="51" t="str">
        <x:v>ACT-DNSROOTSERVEROPERATORS</x:v>
      </x:c>
      <x:c r="B198" s="51" t="str">
        <x:v>DNS root server operators</x:v>
      </x:c>
      <x:c r="C198" s="51" t="str">
        <x:v>Critical DNS operator group</x:v>
      </x:c>
      <x:c r="D198" s="51" t="str">
        <x:v>International</x:v>
      </x:c>
      <x:c r="E198" s="51" t="str">
        <x:v>Operate logical root-server identities and distributed instances</x:v>
      </x:c>
      <x:c r="F198" s="51" t="str"/>
    </x:row>
    <x:row r="199">
      <x:c r="A199" s="51" t="str">
        <x:v>ACT-WESTTEXASINTERMEDIATEFUT</x:v>
      </x:c>
      <x:c r="B199" s="51" t="str">
        <x:v>West Texas Intermediate futures</x:v>
      </x:c>
      <x:c r="C199" s="51" t="str">
        <x:v>Crude oil derivatives benchmark</x:v>
      </x:c>
      <x:c r="D199" s="51" t="str">
        <x:v>International</x:v>
      </x:c>
      <x:c r="E199" s="51" t="str">
        <x:v>Standardised futures contract linked to US physical oil infrastructure</x:v>
      </x:c>
      <x:c r="F199" s="51" t="str"/>
    </x:row>
    <x:row r="200">
      <x:c r="A200" s="51" t="str">
        <x:v>ACT-WORLDLIBERTYFINANCIAL</x:v>
      </x:c>
      <x:c r="B200" s="51" t="str">
        <x:v>World Liberty Financial</x:v>
      </x:c>
      <x:c r="C200" s="51" t="str">
        <x:v>Crypto / financial company</x:v>
      </x:c>
      <x:c r="D200" s="51" t="str">
        <x:v>United States / international</x:v>
      </x:c>
      <x:c r="E200" s="51" t="str">
        <x:v>Trump-family-linked crypto and stablecoin venture</x:v>
      </x:c>
      <x:c r="F200" s="51" t="str"/>
    </x:row>
    <x:row r="201">
      <x:c r="A201" s="51" t="str">
        <x:v>ACT-BINANCE</x:v>
      </x:c>
      <x:c r="B201" s="51" t="str">
        <x:v>Binance</x:v>
      </x:c>
      <x:c r="C201" s="51" t="str">
        <x:v>Crypto exchange</x:v>
      </x:c>
      <x:c r="D201" s="51" t="str">
        <x:v>International</x:v>
      </x:c>
      <x:c r="E201" s="51" t="str">
        <x:v>Large crypto exchange and recipient of MGX investment</x:v>
      </x:c>
      <x:c r="F201" s="51" t="str"/>
    </x:row>
    <x:row r="202">
      <x:c r="A202" s="51" t="str">
        <x:v>ACT-FINANCIALCUSTODIANSANDPR</x:v>
      </x:c>
      <x:c r="B202" s="51" t="str">
        <x:v>Financial custodians and property holders</x:v>
      </x:c>
      <x:c r="C202" s="51" t="str">
        <x:v>Custody and reporting group</x:v>
      </x:c>
      <x:c r="D202" s="51" t="str">
        <x:v>International</x:v>
      </x:c>
      <x:c r="E202" s="51" t="str">
        <x:v>Hold or control property that may become blocked</x:v>
      </x:c>
      <x:c r="F202" s="51" t="str"/>
    </x:row>
    <x:row r="203">
      <x:c r="A203" s="51" t="str">
        <x:v>ACT-AWSTRAINIUM</x:v>
      </x:c>
      <x:c r="B203" s="51" t="str">
        <x:v>AWS Trainium</x:v>
      </x:c>
      <x:c r="C203" s="51" t="str">
        <x:v>Custom AI accelerator platform</x:v>
      </x:c>
      <x:c r="D203" s="51" t="str">
        <x:v>International</x:v>
      </x:c>
      <x:c r="E203" s="51" t="str">
        <x:v>Amazon-designed accelerators for AI training and inference</x:v>
      </x:c>
      <x:c r="F203" s="51" t="str"/>
    </x:row>
    <x:row r="204">
      <x:c r="A204" s="51" t="str">
        <x:v>ACT-GOOGLETPUS</x:v>
      </x:c>
      <x:c r="B204" s="51" t="str">
        <x:v>Google TPUs</x:v>
      </x:c>
      <x:c r="C204" s="51" t="str">
        <x:v>Custom AI accelerator platform</x:v>
      </x:c>
      <x:c r="D204" s="51" t="str">
        <x:v>International</x:v>
      </x:c>
      <x:c r="E204" s="51" t="str">
        <x:v>Google-designed accelerators used internally and by cloud customers</x:v>
      </x:c>
      <x:c r="F204" s="51" t="str"/>
    </x:row>
    <x:row r="205">
      <x:c r="A205" s="51" t="str">
        <x:v>ACT-OPENAIJALAPEOINFERENCECH</x:v>
      </x:c>
      <x:c r="B205" s="51" t="str">
        <x:v>OpenAI Jalapeño inference chip</x:v>
      </x:c>
      <x:c r="C205" s="51" t="str">
        <x:v>Custom AI inference accelerator</x:v>
      </x:c>
      <x:c r="D205" s="51" t="str">
        <x:v>United States</x:v>
      </x:c>
      <x:c r="E205" s="51" t="str">
        <x:v>OpenAI and Broadcom custom chip for inference workloads</x:v>
      </x:c>
      <x:c r="F205" s="51" t="str"/>
    </x:row>
    <x:row r="206">
      <x:c r="A206" s="51" t="str">
        <x:v>ACT-SATELLITEUSERTERMINALS</x:v>
      </x:c>
      <x:c r="B206" s="51" t="str">
        <x:v>Satellite user terminals</x:v>
      </x:c>
      <x:c r="C206" s="51" t="str">
        <x:v>Customer equipment group</x:v>
      </x:c>
      <x:c r="D206" s="51" t="str">
        <x:v>International</x:v>
      </x:c>
      <x:c r="E206" s="51" t="str">
        <x:v>Convert radio links into local Internet or private-network access</x:v>
      </x:c>
      <x:c r="F206" s="51" t="str"/>
    </x:row>
    <x:row r="207">
      <x:c r="A207" s="51" t="str">
        <x:v>ACT-ADVANCEDCOMPUTINGCUSTOME</x:v>
      </x:c>
      <x:c r="B207" s="51" t="str">
        <x:v>Advanced computing customers in China</x:v>
      </x:c>
      <x:c r="C207" s="51" t="str">
        <x:v>Customer group</x:v>
      </x:c>
      <x:c r="D207" s="51" t="str">
        <x:v>China</x:v>
      </x:c>
      <x:c r="E207" s="51" t="str">
        <x:v>Potential recipients of controlled chips, equipment and EDA tools</x:v>
      </x:c>
      <x:c r="F207" s="51" t="str"/>
    </x:row>
    <x:row r="208">
      <x:c r="A208" s="51" t="str">
        <x:v>ACT-1111PUBLICDNSRESOLVER</x:v>
      </x:c>
      <x:c r="B208" s="51" t="str">
        <x:v>1.1.1.1 Public DNS Resolver</x:v>
      </x:c>
      <x:c r="C208" s="51" t="str">
        <x:v>DNS resolver</x:v>
      </x:c>
      <x:c r="D208" s="51" t="str">
        <x:v>International</x:v>
      </x:c>
      <x:c r="E208" s="51" t="str">
        <x:v>Cloudflare-operated public recursive DNS service</x:v>
      </x:c>
      <x:c r="F208" s="51" t="str"/>
    </x:row>
    <x:row r="209">
      <x:c r="A209" s="51" t="str">
        <x:v>ACT-PALANTIRTECHNOLOGIES</x:v>
      </x:c>
      <x:c r="B209" s="51" t="str">
        <x:v>Palantir Technologies</x:v>
      </x:c>
      <x:c r="C209" s="51" t="str">
        <x:v>Data / defence technology company</x:v>
      </x:c>
      <x:c r="D209" s="51" t="str">
        <x:v>United States</x:v>
      </x:c>
      <x:c r="E209" s="51" t="str">
        <x:v>Data integration, ontology and operational software</x:v>
      </x:c>
      <x:c r="F209" s="51" t="str"/>
    </x:row>
    <x:row r="210">
      <x:c r="A210" s="51" t="str">
        <x:v>ACT-LEXISNEXISRISKSOLUTIONS</x:v>
      </x:c>
      <x:c r="B210" s="51" t="str">
        <x:v>LexisNexis Risk Solutions</x:v>
      </x:c>
      <x:c r="C210" s="51" t="str">
        <x:v>Data broker / analytics company</x:v>
      </x:c>
      <x:c r="D210" s="51" t="str">
        <x:v>United States / international</x:v>
      </x:c>
      <x:c r="E210" s="51" t="str">
        <x:v>Identity linking, risk, fraud and government analytics provider</x:v>
      </x:c>
      <x:c r="F210" s="51" t="str"/>
    </x:row>
    <x:row r="211">
      <x:c r="A211" s="51" t="str">
        <x:v>ACT-STARGATEDATACENTEROPERAT</x:v>
      </x:c>
      <x:c r="B211" s="51" t="str">
        <x:v>Stargate data center operators</x:v>
      </x:c>
      <x:c r="C211" s="51" t="str">
        <x:v>Data center operator group</x:v>
      </x:c>
      <x:c r="D211" s="51" t="str">
        <x:v>United States</x:v>
      </x:c>
      <x:c r="E211" s="51" t="str">
        <x:v>Develop and operate Stargate campuses</x:v>
      </x:c>
      <x:c r="F211" s="51" t="str"/>
    </x:row>
    <x:row r="212">
      <x:c r="A212" s="51" t="str">
        <x:v>ACT-LIVERAMP</x:v>
      </x:c>
      <x:c r="B212" s="51" t="str">
        <x:v>LiveRamp</x:v>
      </x:c>
      <x:c r="C212" s="51" t="str">
        <x:v>Data collaboration and identity-resolution company</x:v>
      </x:c>
      <x:c r="D212" s="51" t="str">
        <x:v>United States / international</x:v>
      </x:c>
      <x:c r="E212" s="51" t="str">
        <x:v>Connects first-, second- and third-party data through identity infrastructure</x:v>
      </x:c>
      <x:c r="F212" s="51" t="str"/>
    </x:row>
    <x:row r="213">
      <x:c r="A213" s="51" t="str">
        <x:v>ACT-ALIGNEDDATACENTERS</x:v>
      </x:c>
      <x:c r="B213" s="51" t="str">
        <x:v>Aligned Data Centers</x:v>
      </x:c>
      <x:c r="C213" s="51" t="str">
        <x:v>Data-centre operator</x:v>
      </x:c>
      <x:c r="D213" s="51" t="str">
        <x:v>Americas</x:v>
      </x:c>
      <x:c r="E213" s="51" t="str">
        <x:v>Compute and data-centre capacity</x:v>
      </x:c>
      <x:c r="F213" s="51" t="str"/>
    </x:row>
    <x:row r="214">
      <x:c r="A214" s="51" t="str">
        <x:v>ACT-CHIEFDIGITALANDARTIFICIA</x:v>
      </x:c>
      <x:c r="B214" s="51" t="str">
        <x:v>Chief Digital and Artificial Intelligence Office</x:v>
      </x:c>
      <x:c r="C214" s="51" t="str">
        <x:v>Defence AI office</x:v>
      </x:c>
      <x:c r="D214" s="51" t="str">
        <x:v>United States</x:v>
      </x:c>
      <x:c r="E214" s="51" t="str">
        <x:v>DoD digital and AI coordination</x:v>
      </x:c>
      <x:c r="F214" s="51" t="str"/>
    </x:row>
    <x:row r="215">
      <x:c r="A215" s="51" t="str">
        <x:v>ACT-JOINTWARFIGHTINGCLOUDCAP</x:v>
      </x:c>
      <x:c r="B215" s="51" t="str">
        <x:v>Joint Warfighting Cloud Capability</x:v>
      </x:c>
      <x:c r="C215" s="51" t="str">
        <x:v>Defence cloud contract vehicle</x:v>
      </x:c>
      <x:c r="D215" s="51" t="str">
        <x:v>United States</x:v>
      </x:c>
      <x:c r="E215" s="51" t="str">
        <x:v>Multi-vendor classified and tactical-edge cloud procurement</x:v>
      </x:c>
      <x:c r="F215" s="51" t="str"/>
    </x:row>
    <x:row r="216">
      <x:c r="A216" s="51" t="str">
        <x:v>ACT-ISRAELIMINISTRYOFDEFENSE</x:v>
      </x:c>
      <x:c r="B216" s="51" t="str">
        <x:v>Israeli Ministry of Defense</x:v>
      </x:c>
      <x:c r="C216" s="51" t="str">
        <x:v>Defence ministry</x:v>
      </x:c>
      <x:c r="D216" s="51" t="str">
        <x:v>Israel</x:v>
      </x:c>
      <x:c r="E216" s="51" t="str">
        <x:v>Military procurement and authority</x:v>
      </x:c>
      <x:c r="F216" s="51" t="str"/>
    </x:row>
    <x:row r="217">
      <x:c r="A217" s="51" t="str">
        <x:v>ACT-USDEPARTMENTOFDEFENSE</x:v>
      </x:c>
      <x:c r="B217" s="51" t="str">
        <x:v>US Department of Defense</x:v>
      </x:c>
      <x:c r="C217" s="51" t="str">
        <x:v>Defence ministry</x:v>
      </x:c>
      <x:c r="D217" s="51" t="str">
        <x:v>United States</x:v>
      </x:c>
      <x:c r="E217" s="51" t="str">
        <x:v>Military procurement and operational authority</x:v>
      </x:c>
      <x:c r="F217" s="51" t="str"/>
    </x:row>
    <x:row r="218">
      <x:c r="A218" s="51" t="str">
        <x:v>ACT-BOEINGDEFENSE</x:v>
      </x:c>
      <x:c r="B218" s="51" t="str">
        <x:v>Boeing Defense</x:v>
      </x:c>
      <x:c r="C218" s="51" t="str">
        <x:v>Defence prime</x:v>
      </x:c>
      <x:c r="D218" s="51" t="str">
        <x:v>United States</x:v>
      </x:c>
      <x:c r="E218" s="51" t="str">
        <x:v>Military aircraft and autonomous combat-aircraft competitor</x:v>
      </x:c>
      <x:c r="F218" s="51" t="str"/>
    </x:row>
    <x:row r="219">
      <x:c r="A219" s="51" t="str">
        <x:v>ACT-LOCKHEEDMARTIN</x:v>
      </x:c>
      <x:c r="B219" s="51" t="str">
        <x:v>Lockheed Martin</x:v>
      </x:c>
      <x:c r="C219" s="51" t="str">
        <x:v>Defence prime</x:v>
      </x:c>
      <x:c r="D219" s="51" t="str">
        <x:v>United States</x:v>
      </x:c>
      <x:c r="E219" s="51" t="str">
        <x:v>Major military systems integrator and Aegis contractor</x:v>
      </x:c>
      <x:c r="F219" s="51" t="str"/>
    </x:row>
    <x:row r="220">
      <x:c r="A220" s="51" t="str">
        <x:v>ACT-DARPA</x:v>
      </x:c>
      <x:c r="B220" s="51" t="str">
        <x:v>DARPA</x:v>
      </x:c>
      <x:c r="C220" s="51" t="str">
        <x:v>Defence research agency</x:v>
      </x:c>
      <x:c r="D220" s="51" t="str">
        <x:v>United States</x:v>
      </x:c>
      <x:c r="E220" s="51" t="str">
        <x:v>Funds high-risk research for national-security missions</x:v>
      </x:c>
      <x:c r="F220" s="51" t="str"/>
    </x:row>
    <x:row r="221">
      <x:c r="A221" s="51" t="str">
        <x:v>ACT-ANDURIL</x:v>
      </x:c>
      <x:c r="B221" s="51" t="str">
        <x:v>Anduril</x:v>
      </x:c>
      <x:c r="C221" s="51" t="str">
        <x:v>Defence technology company</x:v>
      </x:c>
      <x:c r="D221" s="51" t="str">
        <x:v>United States</x:v>
      </x:c>
      <x:c r="E221" s="51" t="str">
        <x:v>Military autonomous and sensor systems company</x:v>
      </x:c>
      <x:c r="F221" s="51" t="str"/>
    </x:row>
    <x:row r="222">
      <x:c r="A222" s="51" t="str">
        <x:v>ACT-GENERALATOMICS</x:v>
      </x:c>
      <x:c r="B222" s="51" t="str">
        <x:v>General Atomics</x:v>
      </x:c>
      <x:c r="C222" s="51" t="str">
        <x:v>Defence technology company</x:v>
      </x:c>
      <x:c r="D222" s="51" t="str">
        <x:v>United States</x:v>
      </x:c>
      <x:c r="E222" s="51" t="str">
        <x:v>Uncrewed aircraft and autonomous combat-aircraft competitor</x:v>
      </x:c>
      <x:c r="F222" s="51" t="str"/>
    </x:row>
    <x:row r="223">
      <x:c r="A223" s="51" t="str">
        <x:v>ACT-FEDERALDEPOSITINSURANCEC</x:v>
      </x:c>
      <x:c r="B223" s="51" t="str">
        <x:v>Federal Deposit Insurance Corporation</x:v>
      </x:c>
      <x:c r="C223" s="51" t="str">
        <x:v>Deposit insurer and resolution authority</x:v>
      </x:c>
      <x:c r="D223" s="51" t="str">
        <x:v>United States</x:v>
      </x:c>
      <x:c r="E223" s="51" t="str">
        <x:v>Insures deposits and resolves failed insured institutions</x:v>
      </x:c>
      <x:c r="F223" s="51" t="str"/>
    </x:row>
    <x:row r="224">
      <x:c r="A224" s="51" t="str">
        <x:v>ACT-INSUREDDEPOSITORS</x:v>
      </x:c>
      <x:c r="B224" s="51" t="str">
        <x:v>Insured depositors</x:v>
      </x:c>
      <x:c r="C224" s="51" t="str">
        <x:v>Depositor group</x:v>
      </x:c>
      <x:c r="D224" s="51" t="str">
        <x:v>United States</x:v>
      </x:c>
      <x:c r="E224" s="51" t="str">
        <x:v>Hold deposits protected within statutory insurance limits</x:v>
      </x:c>
      <x:c r="F224" s="51" t="str"/>
    </x:row>
    <x:row r="225">
      <x:c r="A225" s="51" t="str">
        <x:v>ACT-ISDAMASTERAGREEMENT</x:v>
      </x:c>
      <x:c r="B225" s="51" t="str">
        <x:v>ISDA Master Agreement</x:v>
      </x:c>
      <x:c r="C225" s="51" t="str">
        <x:v>Derivatives contractual framework</x:v>
      </x:c>
      <x:c r="D225" s="51" t="str">
        <x:v>International</x:v>
      </x:c>
      <x:c r="E225" s="51" t="str">
        <x:v>Standardises bilateral OTC derivatives documentation</x:v>
      </x:c>
      <x:c r="F225" s="51" t="str"/>
    </x:row>
    <x:row r="226">
      <x:c r="A226" s="51" t="str">
        <x:v>ACT-SWAPDEALERS</x:v>
      </x:c>
      <x:c r="B226" s="51" t="str">
        <x:v>Swap dealers</x:v>
      </x:c>
      <x:c r="C226" s="51" t="str">
        <x:v>Derivatives dealer group</x:v>
      </x:c>
      <x:c r="D226" s="51" t="str">
        <x:v>International</x:v>
      </x:c>
      <x:c r="E226" s="51" t="str">
        <x:v>Make markets and intermediate OTC derivatives</x:v>
      </x:c>
      <x:c r="F226" s="51" t="str"/>
    </x:row>
    <x:row r="227">
      <x:c r="A227" s="51" t="str">
        <x:v>ACT-ICEFUTURESEUROPE</x:v>
      </x:c>
      <x:c r="B227" s="51" t="str">
        <x:v>ICE Futures Europe</x:v>
      </x:c>
      <x:c r="C227" s="51" t="str">
        <x:v>Derivatives exchange</x:v>
      </x:c>
      <x:c r="D227" s="51" t="str">
        <x:v>United Kingdom / international</x:v>
      </x:c>
      <x:c r="E227" s="51" t="str">
        <x:v>Lists Brent crude futures and publishes the ICE Brent Index</x:v>
      </x:c>
      <x:c r="F227" s="51" t="str"/>
    </x:row>
    <x:row r="228">
      <x:c r="A228" s="51" t="str">
        <x:v>ACT-CMEGROUPNYMEX</x:v>
      </x:c>
      <x:c r="B228" s="51" t="str">
        <x:v>CME Group / NYMEX</x:v>
      </x:c>
      <x:c r="C228" s="51" t="str">
        <x:v>Derivatives exchange group</x:v>
      </x:c>
      <x:c r="D228" s="51" t="str">
        <x:v>United States / international</x:v>
      </x:c>
      <x:c r="E228" s="51" t="str">
        <x:v>Lists WTI crude futures and options</x:v>
      </x:c>
      <x:c r="F228" s="51" t="str"/>
    </x:row>
    <x:row r="229">
      <x:c r="A229" s="51" t="str">
        <x:v>ACT-ISDA</x:v>
      </x:c>
      <x:c r="B229" s="51" t="str">
        <x:v>ISDA</x:v>
      </x:c>
      <x:c r="C229" s="51" t="str">
        <x:v>Derivatives industry association</x:v>
      </x:c>
      <x:c r="D229" s="51" t="str">
        <x:v>International</x:v>
      </x:c>
      <x:c r="E229" s="51" t="str">
        <x:v>Publishes master agreements, definitions and netting opinions</x:v>
      </x:c>
      <x:c r="F229" s="51" t="str"/>
    </x:row>
    <x:row r="230">
      <x:c r="A230" s="51" t="str">
        <x:v>ACT-COMMODITYFUTURESTRADINGC</x:v>
      </x:c>
      <x:c r="B230" s="51" t="str">
        <x:v>Commodity Futures Trading Commission</x:v>
      </x:c>
      <x:c r="C230" s="51" t="str">
        <x:v>Derivatives regulator</x:v>
      </x:c>
      <x:c r="D230" s="51" t="str">
        <x:v>United States</x:v>
      </x:c>
      <x:c r="E230" s="51" t="str">
        <x:v>Regulates U.S. futures, options and swaps markets</x:v>
      </x:c>
      <x:c r="F230" s="51" t="str"/>
    </x:row>
    <x:row r="231">
      <x:c r="A231" s="51" t="str">
        <x:v>ACT-MOBILEAPPLICATIONDEVELOP</x:v>
      </x:c>
      <x:c r="B231" s="51" t="str">
        <x:v>Mobile application developers</x:v>
      </x:c>
      <x:c r="C231" s="51" t="str">
        <x:v>Developer group</x:v>
      </x:c>
      <x:c r="D231" s="51" t="str">
        <x:v>International</x:v>
      </x:c>
      <x:c r="E231" s="51" t="str">
        <x:v>Creators dependent to varying degrees on platform distribution and billing</x:v>
      </x:c>
      <x:c r="F231" s="51" t="str"/>
    </x:row>
    <x:row r="232">
      <x:c r="A232" s="51" t="str">
        <x:v>ACT-USINTERNATIONALDEVELOPME</x:v>
      </x:c>
      <x:c r="B232" s="51" t="str">
        <x:v>US International Development Finance Corporation</x:v>
      </x:c>
      <x:c r="C232" s="51" t="str">
        <x:v>Development finance institution</x:v>
      </x:c>
      <x:c r="D232" s="51" t="str">
        <x:v>United States</x:v>
      </x:c>
      <x:c r="E232" s="51" t="str">
        <x:v>Provides loans, guarantees, political-risk insurance and equity for overseas projects</x:v>
      </x:c>
      <x:c r="F232" s="51" t="str"/>
    </x:row>
    <x:row r="233">
      <x:c r="A233" s="51" t="str">
        <x:v>ACT-EUDIGITALIDENTITYWALLET</x:v>
      </x:c>
      <x:c r="B233" s="51" t="str">
        <x:v>EU Digital Identity Wallet</x:v>
      </x:c>
      <x:c r="C233" s="51" t="str">
        <x:v>Digital credential wallet system</x:v>
      </x:c>
      <x:c r="D233" s="51" t="str">
        <x:v>European Union</x:v>
      </x:c>
      <x:c r="E233" s="51" t="str">
        <x:v>Stores and presents person and organisation credentials</x:v>
      </x:c>
      <x:c r="F233" s="51" t="str"/>
    </x:row>
    <x:row r="234">
      <x:c r="A234" s="51" t="str">
        <x:v>ACT-AXONEVIDENCE</x:v>
      </x:c>
      <x:c r="B234" s="51" t="str">
        <x:v>Axon Evidence</x:v>
      </x:c>
      <x:c r="C234" s="51" t="str">
        <x:v>Digital evidence-management platform</x:v>
      </x:c>
      <x:c r="D234" s="51" t="str">
        <x:v>International</x:v>
      </x:c>
      <x:c r="E234" s="51" t="str">
        <x:v>Stores, manages and shares public-safety digital evidence</x:v>
      </x:c>
      <x:c r="F234" s="51" t="str"/>
    </x:row>
    <x:row r="235">
      <x:c r="A235" s="51" t="str">
        <x:v>ACT-IDENTITYVERIFICATIONPROV</x:v>
      </x:c>
      <x:c r="B235" s="51" t="str">
        <x:v>Identity verification providers</x:v>
      </x:c>
      <x:c r="C235" s="51" t="str">
        <x:v>Digital identity service group</x:v>
      </x:c>
      <x:c r="D235" s="51" t="str">
        <x:v>International</x:v>
      </x:c>
      <x:c r="E235" s="51" t="str">
        <x:v>Verify documents, biometrics and identity claims</x:v>
      </x:c>
      <x:c r="F235" s="51" t="str"/>
    </x:row>
    <x:row r="236">
      <x:c r="A236" s="51" t="str">
        <x:v>ACT-NATIONALONLINEIDENTITYAU</x:v>
      </x:c>
      <x:c r="B236" s="51" t="str">
        <x:v>National Online Identity Authentication Public Service</x:v>
      </x:c>
      <x:c r="C236" s="51" t="str">
        <x:v>Digital identity system</x:v>
      </x:c>
      <x:c r="D236" s="51" t="str">
        <x:v>China</x:v>
      </x:c>
      <x:c r="E236" s="51" t="str">
        <x:v>State-operated identity authentication layer</x:v>
      </x:c>
      <x:c r="F236" s="51" t="str"/>
    </x:row>
    <x:row r="237">
      <x:c r="A237" s="51" t="str">
        <x:v>ACT-SUBMARINECABLELANDINGSTA</x:v>
      </x:c>
      <x:c r="B237" s="51" t="str">
        <x:v>Submarine cable landing stations</x:v>
      </x:c>
      <x:c r="C237" s="51" t="str">
        <x:v>Digital infrastructure</x:v>
      </x:c>
      <x:c r="D237" s="51" t="str">
        <x:v>International</x:v>
      </x:c>
      <x:c r="E237" s="51" t="str">
        <x:v>Physical shore interfaces connecting subsea fibres to terrestrial networks</x:v>
      </x:c>
      <x:c r="F237" s="51" t="str"/>
    </x:row>
    <x:row r="238">
      <x:c r="A238" s="51" t="str">
        <x:v>ACT-DATACENTERDEVELOPERSANDO</x:v>
      </x:c>
      <x:c r="B238" s="51" t="str">
        <x:v>Data center developers and operators</x:v>
      </x:c>
      <x:c r="C238" s="51" t="str">
        <x:v>Digital infrastructure group</x:v>
      </x:c>
      <x:c r="D238" s="51" t="str">
        <x:v>International</x:v>
      </x:c>
      <x:c r="E238" s="51" t="str">
        <x:v>Build and operate powered shells, campuses and technical facilities</x:v>
      </x:c>
      <x:c r="F238" s="51" t="str"/>
    </x:row>
    <x:row r="239">
      <x:c r="A239" s="51" t="str">
        <x:v>ACT-CONTENTANDAPPLICATIONPRO</x:v>
      </x:c>
      <x:c r="B239" s="51" t="str">
        <x:v>Content and application providers</x:v>
      </x:c>
      <x:c r="C239" s="51" t="str">
        <x:v>Digital service group</x:v>
      </x:c>
      <x:c r="D239" s="51" t="str">
        <x:v>International</x:v>
      </x:c>
      <x:c r="E239" s="51" t="str">
        <x:v>Publish websites, streaming, apps and online services</x:v>
      </x:c>
      <x:c r="F239" s="51" t="str"/>
    </x:row>
    <x:row r="240">
      <x:c r="A240" s="51" t="str">
        <x:v>ACT-CRYPTOASSETSERVICEPROVID</x:v>
      </x:c>
      <x:c r="B240" s="51" t="str">
        <x:v>Crypto-asset service providers</x:v>
      </x:c>
      <x:c r="C240" s="51" t="str">
        <x:v>Digital-asset intermediary group</x:v>
      </x:c>
      <x:c r="D240" s="51" t="str">
        <x:v>International</x:v>
      </x:c>
      <x:c r="E240" s="51" t="str">
        <x:v>Report covered crypto-asset transactions under CARF implementations</x:v>
      </x:c>
      <x:c r="F240" s="51" t="str"/>
    </x:row>
    <x:row r="241">
      <x:c r="A241" s="51" t="str">
        <x:v>ACT-INTERNATIONALENTREPRENEU</x:v>
      </x:c>
      <x:c r="B241" s="51" t="str">
        <x:v>International Entrepreneur Parole</x:v>
      </x:c>
      <x:c r="C241" s="51" t="str">
        <x:v>Discretionary immigration pathway</x:v>
      </x:c>
      <x:c r="D241" s="51" t="str">
        <x:v>United States</x:v>
      </x:c>
      <x:c r="E241" s="51" t="str">
        <x:v>Temporary entry pathway for qualifying startup founders</x:v>
      </x:c>
      <x:c r="F241" s="51" t="str"/>
    </x:row>
    <x:row r="242">
      <x:c r="A242" s="51" t="str">
        <x:v>ACT-DEBTORINPOSSESSIONLENDER</x:v>
      </x:c>
      <x:c r="B242" s="51" t="str">
        <x:v>Debtor-in-possession lenders</x:v>
      </x:c>
      <x:c r="C242" s="51" t="str">
        <x:v>Distress-finance creditor group</x:v>
      </x:c>
      <x:c r="D242" s="51" t="str">
        <x:v>United States / international</x:v>
      </x:c>
      <x:c r="E242" s="51" t="str">
        <x:v>Provide court-approved post-petition financing</x:v>
      </x:c>
      <x:c r="F242" s="51" t="str"/>
    </x:row>
    <x:row r="243">
      <x:c r="A243" s="51" t="str">
        <x:v>ACT-UCP600</x:v>
      </x:c>
      <x:c r="B243" s="51" t="str">
        <x:v>UCP 600</x:v>
      </x:c>
      <x:c r="C243" s="51" t="str">
        <x:v>Documentary credit rules</x:v>
      </x:c>
      <x:c r="D243" s="51" t="str">
        <x:v>International</x:v>
      </x:c>
      <x:c r="E243" s="51" t="str">
        <x:v>Standardises bank obligations for documentary credits</x:v>
      </x:c>
      <x:c r="F243" s="51" t="str"/>
    </x:row>
    <x:row r="244">
      <x:c r="A244" s="51" t="str">
        <x:v>ACT-TOPLEVELDOMAINREGISTRYOP</x:v>
      </x:c>
      <x:c r="B244" s="51" t="str">
        <x:v>Top-level domain registry operators</x:v>
      </x:c>
      <x:c r="C244" s="51" t="str">
        <x:v>Domain registry group</x:v>
      </x:c>
      <x:c r="D244" s="51" t="str">
        <x:v>International</x:v>
      </x:c>
      <x:c r="E244" s="51" t="str">
        <x:v>Maintain authoritative databases for top-level domains</x:v>
      </x:c>
      <x:c r="F244" s="51" t="str"/>
    </x:row>
    <x:row r="245">
      <x:c r="A245" s="51" t="str">
        <x:v>ACT-ICANNACCREDITEDREGISTRAR</x:v>
      </x:c>
      <x:c r="B245" s="51" t="str">
        <x:v>ICANN-accredited registrars</x:v>
      </x:c>
      <x:c r="C245" s="51" t="str">
        <x:v>Domain retail intermediary group</x:v>
      </x:c>
      <x:c r="D245" s="51" t="str">
        <x:v>International</x:v>
      </x:c>
      <x:c r="E245" s="51" t="str">
        <x:v>Register domain names for customers under registry and ICANN rules</x:v>
      </x:c>
      <x:c r="F245" s="51" t="str"/>
    </x:row>
    <x:row r="246">
      <x:c r="A246" s="51" t="str">
        <x:v>ACT-DOMESTICUSLEGALENTITIES</x:v>
      </x:c>
      <x:c r="B246" s="51" t="str">
        <x:v>Domestic U.S. legal entities</x:v>
      </x:c>
      <x:c r="C246" s="51" t="str">
        <x:v>Domestic company group</x:v>
      </x:c>
      <x:c r="D246" s="51" t="str">
        <x:v>United States</x:v>
      </x:c>
      <x:c r="E246" s="51" t="str">
        <x:v>Entities created under U.S. state or tribal law</x:v>
      </x:c>
      <x:c r="F246" s="51" t="str"/>
    </x:row>
    <x:row r="247">
      <x:c r="A247" s="51" t="str">
        <x:v>ACT-AKAMAITECHNOLOGIES</x:v>
      </x:c>
      <x:c r="B247" s="51" t="str">
        <x:v>Akamai Technologies</x:v>
      </x:c>
      <x:c r="C247" s="51" t="str">
        <x:v>Edge, cloud and security company</x:v>
      </x:c>
      <x:c r="D247" s="51" t="str">
        <x:v>United States / international</x:v>
      </x:c>
      <x:c r="E247" s="51" t="str">
        <x:v>Operates distributed content, security and cloud infrastructure</x:v>
      </x:c>
      <x:c r="F247" s="51" t="str"/>
    </x:row>
    <x:row r="248">
      <x:c r="A248" s="51" t="str">
        <x:v>ACT-LARGEDATACENTRELOADS</x:v>
      </x:c>
      <x:c r="B248" s="51" t="str">
        <x:v>Large data-centre loads</x:v>
      </x:c>
      <x:c r="C248" s="51" t="str">
        <x:v>Electricity customer group</x:v>
      </x:c>
      <x:c r="D248" s="51" t="str">
        <x:v>United States / international</x:v>
      </x:c>
      <x:c r="E248" s="51" t="str">
        <x:v>Hyperscale and AI loads seeking grid interconnection</x:v>
      </x:c>
      <x:c r="F248" s="51" t="str"/>
    </x:row>
    <x:row r="249">
      <x:c r="A249" s="51" t="str">
        <x:v>ACT-SIEMENSEDA</x:v>
      </x:c>
      <x:c r="B249" s="51" t="str">
        <x:v>Siemens EDA</x:v>
      </x:c>
      <x:c r="C249" s="51" t="str">
        <x:v>Electronic design automation business</x:v>
      </x:c>
      <x:c r="D249" s="51" t="str">
        <x:v>United States / Germany</x:v>
      </x:c>
      <x:c r="E249" s="51" t="str">
        <x:v>Chip and system design software supplier</x:v>
      </x:c>
      <x:c r="F249" s="51" t="str"/>
    </x:row>
    <x:row r="250">
      <x:c r="A250" s="51" t="str">
        <x:v>ACT-CADENCEDESIGNSYSTEMS</x:v>
      </x:c>
      <x:c r="B250" s="51" t="str">
        <x:v>Cadence Design Systems</x:v>
      </x:c>
      <x:c r="C250" s="51" t="str">
        <x:v>Electronic design automation company</x:v>
      </x:c>
      <x:c r="D250" s="51" t="str">
        <x:v>United States</x:v>
      </x:c>
      <x:c r="E250" s="51" t="str">
        <x:v>Chip-design software and IP supplier</x:v>
      </x:c>
      <x:c r="F250" s="51" t="str"/>
    </x:row>
    <x:row r="251">
      <x:c r="A251" s="51" t="str">
        <x:v>ACT-MERSEREGISTRY</x:v>
      </x:c>
      <x:c r="B251" s="51" t="str">
        <x:v>MERS eRegistry</x:v>
      </x:c>
      <x:c r="C251" s="51" t="str">
        <x:v>Electronic note registry</x:v>
      </x:c>
      <x:c r="D251" s="51" t="str">
        <x:v>United States</x:v>
      </x:c>
      <x:c r="E251" s="51" t="str">
        <x:v>Identifies controller and location of authoritative electronic mortgage notes</x:v>
      </x:c>
      <x:c r="F251" s="51" t="str"/>
    </x:row>
    <x:row r="252">
      <x:c r="A252" s="51" t="str">
        <x:v>ACT-CARBYNE</x:v>
      </x:c>
      <x:c r="B252" s="51" t="str">
        <x:v>Carbyne</x:v>
      </x:c>
      <x:c r="C252" s="51" t="str">
        <x:v>Emergency / public-safety technology company</x:v>
      </x:c>
      <x:c r="D252" s="51" t="str">
        <x:v>Israel / United States</x:v>
      </x:c>
      <x:c r="E252" s="51" t="str">
        <x:v>Emergency communications and public-safety data integration</x:v>
      </x:c>
      <x:c r="F252" s="51" t="str"/>
    </x:row>
    <x:row r="253">
      <x:c r="A253" s="51" t="str">
        <x:v>ACT-F1STEMOPT</x:v>
      </x:c>
      <x:c r="B253" s="51" t="str">
        <x:v>F-1 STEM OPT</x:v>
      </x:c>
      <x:c r="C253" s="51" t="str">
        <x:v>Employment authorisation pathway</x:v>
      </x:c>
      <x:c r="D253" s="51" t="str">
        <x:v>United States</x:v>
      </x:c>
      <x:c r="E253" s="51" t="str">
        <x:v>Post-study practical training extension for eligible STEM graduates</x:v>
      </x:c>
      <x:c r="F253" s="51" t="str"/>
    </x:row>
    <x:row r="254">
      <x:c r="A254" s="51" t="str">
        <x:v>ACT-H1BPROGRAMME</x:v>
      </x:c>
      <x:c r="B254" s="51" t="str">
        <x:v>H-1B programme</x:v>
      </x:c>
      <x:c r="C254" s="51" t="str">
        <x:v>Employment visa framework</x:v>
      </x:c>
      <x:c r="D254" s="51" t="str">
        <x:v>United States</x:v>
      </x:c>
      <x:c r="E254" s="51" t="str">
        <x:v>Employer-sponsored specialty-occupation pathway</x:v>
      </x:c>
      <x:c r="F254" s="51" t="str"/>
    </x:row>
    <x:row r="255">
      <x:c r="A255" s="51" t="str">
        <x:v>ACT-O1AEXTRAORDINARYABILITYP</x:v>
      </x:c>
      <x:c r="B255" s="51" t="str">
        <x:v>O-1A extraordinary ability pathway</x:v>
      </x:c>
      <x:c r="C255" s="51" t="str">
        <x:v>Employment visa framework</x:v>
      </x:c>
      <x:c r="D255" s="51" t="str">
        <x:v>United States</x:v>
      </x:c>
      <x:c r="E255" s="51" t="str">
        <x:v>Pathway for individuals with extraordinary ability in science, business and related fields</x:v>
      </x:c>
      <x:c r="F255" s="51" t="str"/>
    </x:row>
    <x:row r="256">
      <x:c r="A256" s="51" t="str">
        <x:v>ACT-SBENERGY</x:v>
      </x:c>
      <x:c r="B256" s="51" t="str">
        <x:v>SB Energy</x:v>
      </x:c>
      <x:c r="C256" s="51" t="str">
        <x:v>Energy and infrastructure developer</x:v>
      </x:c>
      <x:c r="D256" s="51" t="str">
        <x:v>United States / SoftBank-linked</x:v>
      </x:c>
      <x:c r="E256" s="51" t="str">
        <x:v>Developer of large power and data-centre projects</x:v>
      </x:c>
      <x:c r="F256" s="51" t="str"/>
    </x:row>
    <x:row r="257">
      <x:c r="A257" s="51" t="str">
        <x:v>ACT-GUNVORGROUP</x:v>
      </x:c>
      <x:c r="B257" s="51" t="str">
        <x:v>Gunvor Group</x:v>
      </x:c>
      <x:c r="C257" s="51" t="str">
        <x:v>Energy commodity merchant</x:v>
      </x:c>
      <x:c r="D257" s="51" t="str">
        <x:v>Cyprus / Switzerland / international</x:v>
      </x:c>
      <x:c r="E257" s="51" t="str">
        <x:v>Trades and transports oil, gas, LNG and related products</x:v>
      </x:c>
      <x:c r="F257" s="51" t="str"/>
    </x:row>
    <x:row r="258">
      <x:c r="A258" s="51" t="str">
        <x:v>ACT-ELECTRICUTILITIESANDGRID</x:v>
      </x:c>
      <x:c r="B258" s="51" t="str">
        <x:v>Electric utilities and grid operators</x:v>
      </x:c>
      <x:c r="C258" s="51" t="str">
        <x:v>Energy infrastructure group</x:v>
      </x:c>
      <x:c r="D258" s="51" t="str">
        <x:v>International</x:v>
      </x:c>
      <x:c r="E258" s="51" t="str">
        <x:v>Connect and serve large data-center loads</x:v>
      </x:c>
      <x:c r="F258" s="51" t="str"/>
    </x:row>
    <x:row r="259">
      <x:c r="A259" s="51" t="str">
        <x:v>ACT-ENERGYCAPITALPARTNERS</x:v>
      </x:c>
      <x:c r="B259" s="51" t="str">
        <x:v>Energy Capital Partners</x:v>
      </x:c>
      <x:c r="C259" s="51" t="str">
        <x:v>Energy infrastructure investor</x:v>
      </x:c>
      <x:c r="D259" s="51" t="str">
        <x:v>United States</x:v>
      </x:c>
      <x:c r="E259" s="51" t="str">
        <x:v>Power-generation and data-centre infrastructure investor</x:v>
      </x:c>
      <x:c r="F259" s="51" t="str"/>
    </x:row>
    <x:row r="260">
      <x:c r="A260" s="51" t="str">
        <x:v>ACT-ADNOCLOGISTICSSERVICES</x:v>
      </x:c>
      <x:c r="B260" s="51" t="str">
        <x:v>ADNOC Logistics &amp; Services</x:v>
      </x:c>
      <x:c r="C260" s="51" t="str">
        <x:v>Energy maritime logistics company</x:v>
      </x:c>
      <x:c r="D260" s="51" t="str">
        <x:v>United Arab Emirates</x:v>
      </x:c>
      <x:c r="E260" s="51" t="str">
        <x:v>Owns and operates shipping and logistics assets</x:v>
      </x:c>
      <x:c r="F260" s="51" t="str"/>
    </x:row>
    <x:row r="261">
      <x:c r="A261" s="51" t="str">
        <x:v>ACT-DATACENTERPOWERSUPPLIERS</x:v>
      </x:c>
      <x:c r="B261" s="51" t="str">
        <x:v>Data center power suppliers</x:v>
      </x:c>
      <x:c r="C261" s="51" t="str">
        <x:v>Energy project group</x:v>
      </x:c>
      <x:c r="D261" s="51" t="str">
        <x:v>International</x:v>
      </x:c>
      <x:c r="E261" s="51" t="str">
        <x:v>Supply dedicated, contracted or on-site generation for compute campuses</x:v>
      </x:c>
      <x:c r="F261" s="51" t="str"/>
    </x:row>
    <x:row r="262">
      <x:c r="A262" s="51" t="str">
        <x:v>ACT-LNGBUYERSANDUTILITIES</x:v>
      </x:c>
      <x:c r="B262" s="51" t="str">
        <x:v>LNG buyers and utilities</x:v>
      </x:c>
      <x:c r="C262" s="51" t="str">
        <x:v>Energy purchaser group</x:v>
      </x:c>
      <x:c r="D262" s="51" t="str">
        <x:v>International</x:v>
      </x:c>
      <x:c r="E262" s="51" t="str">
        <x:v>Purchase LNG under spot, medium-term and long-term contracts</x:v>
      </x:c>
      <x:c r="F262" s="51" t="str"/>
    </x:row>
    <x:row r="263">
      <x:c r="A263" s="51" t="str">
        <x:v>ACT-FEDERALENERGYREGULATORYC</x:v>
      </x:c>
      <x:c r="B263" s="51" t="str">
        <x:v>Federal Energy Regulatory Commission</x:v>
      </x:c>
      <x:c r="C263" s="51" t="str">
        <x:v>Energy regulator</x:v>
      </x:c>
      <x:c r="D263" s="51" t="str">
        <x:v>United States</x:v>
      </x:c>
      <x:c r="E263" s="51" t="str">
        <x:v>Regulates interstate transmission and regional grid tariffs</x:v>
      </x:c>
      <x:c r="F263" s="51" t="str"/>
    </x:row>
    <x:row r="264">
      <x:c r="A264" s="51" t="str">
        <x:v>ACT-ADNOCTRADING</x:v>
      </x:c>
      <x:c r="B264" s="51" t="str">
        <x:v>ADNOC Trading</x:v>
      </x:c>
      <x:c r="C264" s="51" t="str">
        <x:v>Energy trading company</x:v>
      </x:c>
      <x:c r="D264" s="51" t="str">
        <x:v>United Arab Emirates</x:v>
      </x:c>
      <x:c r="E264" s="51" t="str">
        <x:v>Markets and trades crude, products, gas and LNG</x:v>
      </x:c>
      <x:c r="F264" s="51" t="str"/>
    </x:row>
    <x:row r="265">
      <x:c r="A265" s="51" t="str">
        <x:v>ACT-FORECLOSURETRUSTEESANDCO</x:v>
      </x:c>
      <x:c r="B265" s="51" t="str">
        <x:v>Foreclosure trustees and courts</x:v>
      </x:c>
      <x:c r="C265" s="51" t="str">
        <x:v>Enforcement institution group</x:v>
      </x:c>
      <x:c r="D265" s="51" t="str">
        <x:v>United States</x:v>
      </x:c>
      <x:c r="E265" s="51" t="str">
        <x:v>Administer nonjudicial or judicial foreclosure processes</x:v>
      </x:c>
      <x:c r="F265" s="51" t="str"/>
    </x:row>
    <x:row r="266">
      <x:c r="A266" s="51" t="str">
        <x:v>ACT-ANSYS</x:v>
      </x:c>
      <x:c r="B266" s="51" t="str">
        <x:v>Ansys</x:v>
      </x:c>
      <x:c r="C266" s="51" t="str">
        <x:v>Engineering simulation software company</x:v>
      </x:c>
      <x:c r="D266" s="51" t="str">
        <x:v>United States</x:v>
      </x:c>
      <x:c r="E266" s="51" t="str">
        <x:v>Physics simulation and system-engineering software platform</x:v>
      </x:c>
      <x:c r="F266" s="51" t="str"/>
    </x:row>
    <x:row r="267">
      <x:c r="A267" s="51" t="str">
        <x:v>ACT-ANIRUDHDEVGAN</x:v>
      </x:c>
      <x:c r="B267" s="51" t="str">
        <x:v>Anirudh Devgan</x:v>
      </x:c>
      <x:c r="C267" s="51" t="str">
        <x:v>Engineering software executive</x:v>
      </x:c>
      <x:c r="D267" s="51" t="str">
        <x:v>United States</x:v>
      </x:c>
      <x:c r="E267" s="51" t="str">
        <x:v>President and CEO of Cadence</x:v>
      </x:c>
      <x:c r="F267" s="51" t="str"/>
    </x:row>
    <x:row r="268">
      <x:c r="A268" s="51" t="str">
        <x:v>ACT-SASSINEGHAZI</x:v>
      </x:c>
      <x:c r="B268" s="51" t="str">
        <x:v>Sassine Ghazi</x:v>
      </x:c>
      <x:c r="C268" s="51" t="str">
        <x:v>Engineering software executive</x:v>
      </x:c>
      <x:c r="D268" s="51" t="str">
        <x:v>United States</x:v>
      </x:c>
      <x:c r="E268" s="51" t="str">
        <x:v>President and CEO of Synopsys</x:v>
      </x:c>
      <x:c r="F268" s="51" t="str"/>
    </x:row>
    <x:row r="269">
      <x:c r="A269" s="51" t="str">
        <x:v>ACT-ELECTRONICDESIGNAUTOMATI</x:v>
      </x:c>
      <x:c r="B269" s="51" t="str">
        <x:v>Electronic design automation vendors</x:v>
      </x:c>
      <x:c r="C269" s="51" t="str">
        <x:v>Engineering software group</x:v>
      </x:c>
      <x:c r="D269" s="51" t="str">
        <x:v>International</x:v>
      </x:c>
      <x:c r="E269" s="51" t="str">
        <x:v>Provide design, verification, simulation and packaging tools</x:v>
      </x:c>
      <x:c r="F269" s="51" t="str"/>
    </x:row>
    <x:row r="270">
      <x:c r="A270" s="51" t="str">
        <x:v>ACT-OPENAIFRONTIER</x:v>
      </x:c>
      <x:c r="B270" s="51" t="str">
        <x:v>OpenAI Frontier</x:v>
      </x:c>
      <x:c r="C270" s="51" t="str">
        <x:v>Enterprise AI agent platform</x:v>
      </x:c>
      <x:c r="D270" s="51" t="str">
        <x:v>United States</x:v>
      </x:c>
      <x:c r="E270" s="51" t="str">
        <x:v>OpenAI agent-deployment platform with AWS relationship</x:v>
      </x:c>
      <x:c r="F270" s="51" t="str"/>
    </x:row>
    <x:row r="271">
      <x:c r="A271" s="51" t="str">
        <x:v>ACT-COMMERCIALCUSTOMERS</x:v>
      </x:c>
      <x:c r="B271" s="51" t="str">
        <x:v>Commercial customers</x:v>
      </x:c>
      <x:c r="C271" s="51" t="str">
        <x:v>Enterprise customer group</x:v>
      </x:c>
      <x:c r="D271" s="51" t="str">
        <x:v>International</x:v>
      </x:c>
      <x:c r="E271" s="51" t="str">
        <x:v>Use operational software and analytics for private-sector workflows</x:v>
      </x:c>
      <x:c r="F271" s="51" t="str"/>
    </x:row>
    <x:row r="272">
      <x:c r="A272" s="51" t="str">
        <x:v>ACT-BANKSHAREHOLDERS</x:v>
      </x:c>
      <x:c r="B272" s="51" t="str">
        <x:v>Bank shareholders</x:v>
      </x:c>
      <x:c r="C272" s="51" t="str">
        <x:v>Equity-holder group</x:v>
      </x:c>
      <x:c r="D272" s="51" t="str">
        <x:v>International</x:v>
      </x:c>
      <x:c r="E272" s="51" t="str">
        <x:v>Provide residual bank capital and absorb losses before creditors</x:v>
      </x:c>
      <x:c r="F272" s="51" t="str"/>
    </x:row>
    <x:row r="273">
      <x:c r="A273" s="51" t="str">
        <x:v>ACT-AMLA</x:v>
      </x:c>
      <x:c r="B273" s="51" t="str">
        <x:v>AMLA</x:v>
      </x:c>
      <x:c r="C273" s="51" t="str">
        <x:v>European AML/CFT authority</x:v>
      </x:c>
      <x:c r="D273" s="51" t="str">
        <x:v>European Union</x:v>
      </x:c>
      <x:c r="E273" s="51" t="str">
        <x:v>Coordinates EU AML supervision and future direct supervision</x:v>
      </x:c>
      <x:c r="F273" s="51" t="str"/>
    </x:row>
    <x:row r="274">
      <x:c r="A274" s="51" t="str">
        <x:v>ACT-BRUNASZEGO</x:v>
      </x:c>
      <x:c r="B274" s="51" t="str">
        <x:v>Bruna Szego</x:v>
      </x:c>
      <x:c r="C274" s="51" t="str">
        <x:v>European regulatory official</x:v>
      </x:c>
      <x:c r="D274" s="51" t="str">
        <x:v>European Union</x:v>
      </x:c>
      <x:c r="E274" s="51" t="str">
        <x:v>First Chair of AMLA</x:v>
      </x:c>
      <x:c r="F274" s="51" t="str"/>
    </x:row>
    <x:row r="275">
      <x:c r="A275" s="51" t="str">
        <x:v>ACT-OFFICEOFMANAGEMENTANDBUD</x:v>
      </x:c>
      <x:c r="B275" s="51" t="str">
        <x:v>Office of Management and Budget</x:v>
      </x:c>
      <x:c r="C275" s="51" t="str">
        <x:v>Executive budget authority</x:v>
      </x:c>
      <x:c r="D275" s="51" t="str">
        <x:v>United States</x:v>
      </x:c>
      <x:c r="E275" s="51" t="str">
        <x:v>Reviews credit programmes, subsidy estimates and federal budget presentation</x:v>
      </x:c>
      <x:c r="F275" s="51" t="str"/>
    </x:row>
    <x:row r="276">
      <x:c r="A276" s="51" t="str">
        <x:v>ACT-USDEPARTMENTOFCOMMERCE</x:v>
      </x:c>
      <x:c r="B276" s="51" t="str">
        <x:v>US Department of Commerce</x:v>
      </x:c>
      <x:c r="C276" s="51" t="str">
        <x:v>Executive department</x:v>
      </x:c>
      <x:c r="D276" s="51" t="str">
        <x:v>United States</x:v>
      </x:c>
      <x:c r="E276" s="51" t="str">
        <x:v>Parent authority for export controls and industrial policy</x:v>
      </x:c>
      <x:c r="F276" s="51" t="str"/>
    </x:row>
    <x:row r="277">
      <x:c r="A277" s="51" t="str">
        <x:v>ACT-USDEPARTMENTOFTHETREASU2</x:v>
      </x:c>
      <x:c r="B277" s="51" t="str">
        <x:v>US Department of the Treasury</x:v>
      </x:c>
      <x:c r="C277" s="51" t="str">
        <x:v>Executive department</x:v>
      </x:c>
      <x:c r="D277" s="51" t="str">
        <x:v>United States</x:v>
      </x:c>
      <x:c r="E277" s="51" t="str">
        <x:v>Administers tax, public credit and financial policy</x:v>
      </x:c>
      <x:c r="F277" s="51" t="str"/>
    </x:row>
    <x:row r="278">
      <x:c r="A278" s="51" t="str">
        <x:v>ACT-USTREASURY</x:v>
      </x:c>
      <x:c r="B278" s="51" t="str">
        <x:v>US Treasury</x:v>
      </x:c>
      <x:c r="C278" s="51" t="str">
        <x:v>Executive department / financial authority</x:v>
      </x:c>
      <x:c r="D278" s="51" t="str">
        <x:v>United States</x:v>
      </x:c>
      <x:c r="E278" s="51" t="str">
        <x:v>Fiscal authority, debt manager and financial-regulatory institution</x:v>
      </x:c>
      <x:c r="F278" s="51" t="str"/>
    </x:row>
    <x:row r="279">
      <x:c r="A279" s="51" t="str">
        <x:v>ACT-STATECOUNCILOFCHINA</x:v>
      </x:c>
      <x:c r="B279" s="51" t="str">
        <x:v>State Council of China</x:v>
      </x:c>
      <x:c r="C279" s="51" t="str">
        <x:v>Executive institution</x:v>
      </x:c>
      <x:c r="D279" s="51" t="str">
        <x:v>China</x:v>
      </x:c>
      <x:c r="E279" s="51" t="str">
        <x:v>Central policy authority</x:v>
      </x:c>
      <x:c r="F279" s="51" t="str"/>
    </x:row>
    <x:row r="280">
      <x:c r="A280" s="51" t="str">
        <x:v>ACT-WHITEHOUSEOFFICEOFSCIENC</x:v>
      </x:c>
      <x:c r="B280" s="51" t="str">
        <x:v>White House Office of Science and Technology Policy</x:v>
      </x:c>
      <x:c r="C280" s="51" t="str">
        <x:v>Executive policy office</x:v>
      </x:c>
      <x:c r="D280" s="51" t="str">
        <x:v>United States</x:v>
      </x:c>
      <x:c r="E280" s="51" t="str">
        <x:v>Coordinates federal science and technology policy</x:v>
      </x:c>
      <x:c r="F280" s="51" t="str"/>
    </x:row>
    <x:row r="281">
      <x:c r="A281" s="51" t="str">
        <x:v>ACT-EXPORTIMPORTBANKOFTHEUNI</x:v>
      </x:c>
      <x:c r="B281" s="51" t="str">
        <x:v>Export-Import Bank of the United States</x:v>
      </x:c>
      <x:c r="C281" s="51" t="str">
        <x:v>Export credit agency</x:v>
      </x:c>
      <x:c r="D281" s="51" t="str">
        <x:v>United States</x:v>
      </x:c>
      <x:c r="E281" s="51" t="str">
        <x:v>Provides loans, guarantees and insurance supporting US exports</x:v>
      </x:c>
      <x:c r="F281" s="51" t="str"/>
    </x:row>
    <x:row r="282">
      <x:c r="A282" s="51" t="str">
        <x:v>ACT-USBUREAUOFINDUSTRYANDSEC</x:v>
      </x:c>
      <x:c r="B282" s="51" t="str">
        <x:v>US Bureau of Industry and Security</x:v>
      </x:c>
      <x:c r="C282" s="51" t="str">
        <x:v>Export-control authority</x:v>
      </x:c>
      <x:c r="D282" s="51" t="str">
        <x:v>United States</x:v>
      </x:c>
      <x:c r="E282" s="51" t="str">
        <x:v>Licenses and restricts advanced computing, chip, equipment and software exports</x:v>
      </x:c>
      <x:c r="F282" s="51" t="str"/>
    </x:row>
    <x:row r="283">
      <x:c r="A283" s="51" t="str">
        <x:v>ACT-SPONSOREDMEMBERS</x:v>
      </x:c>
      <x:c r="B283" s="51" t="str">
        <x:v>Sponsored members</x:v>
      </x:c>
      <x:c r="C283" s="51" t="str">
        <x:v>FICC client group</x:v>
      </x:c>
      <x:c r="D283" s="51" t="str">
        <x:v>International</x:v>
      </x:c>
      <x:c r="E283" s="51" t="str">
        <x:v>Access sponsored Treasury repo clearing through a sponsoring member</x:v>
      </x:c>
      <x:c r="F283" s="51" t="str"/>
    </x:row>
    <x:row r="284">
      <x:c r="A284" s="51" t="str">
        <x:v>ACT-SPONSORINGCLEARINGMEMBER</x:v>
      </x:c>
      <x:c r="B284" s="51" t="str">
        <x:v>Sponsoring clearing members</x:v>
      </x:c>
      <x:c r="C284" s="51" t="str">
        <x:v>FICC member group</x:v>
      </x:c>
      <x:c r="D284" s="51" t="str">
        <x:v>United States</x:v>
      </x:c>
      <x:c r="E284" s="51" t="str">
        <x:v>Sponsor non-member institutions into FICC's repo clearing services</x:v>
      </x:c>
      <x:c r="F284" s="51" t="str"/>
    </x:row>
    <x:row r="285">
      <x:c r="A285" s="51" t="str">
        <x:v>ACT-CLSSETTLEMENT</x:v>
      </x:c>
      <x:c r="B285" s="51" t="str">
        <x:v>CLSSettlement</x:v>
      </x:c>
      <x:c r="C285" s="51" t="str">
        <x:v>FX settlement system</x:v>
      </x:c>
      <x:c r="D285" s="51" t="str">
        <x:v>International</x:v>
      </x:c>
      <x:c r="E285" s="51" t="str">
        <x:v>Payment-versus-payment settlement in major currencies</x:v>
      </x:c>
      <x:c r="F285" s="51" t="str"/>
    </x:row>
    <x:row r="286">
      <x:c r="A286" s="51" t="str">
        <x:v>ACT-DEFAULTINGCLEARINGMEMBER</x:v>
      </x:c>
      <x:c r="B286" s="51" t="str">
        <x:v>Defaulting clearing member</x:v>
      </x:c>
      <x:c r="C286" s="51" t="str">
        <x:v>Failed market participant state</x:v>
      </x:c>
      <x:c r="D286" s="51" t="str">
        <x:v>International</x:v>
      </x:c>
      <x:c r="E286" s="51" t="str">
        <x:v>Clearing member unable to meet obligations</x:v>
      </x:c>
      <x:c r="F286" s="51" t="str"/>
    </x:row>
    <x:row r="287">
      <x:c r="A287" s="51" t="str">
        <x:v>ACT-LGCFAMILYTRUSTS</x:v>
      </x:c>
      <x:c r="B287" s="51" t="str">
        <x:v>LGC family trusts</x:v>
      </x:c>
      <x:c r="C287" s="51" t="str">
        <x:v>Family voting-control trusts</x:v>
      </x:c>
      <x:c r="D287" s="51" t="str">
        <x:v>United States</x:v>
      </x:c>
      <x:c r="E287" s="51" t="str">
        <x:v>Hold voting interests associated with the Murdoch family settlement</x:v>
      </x:c>
      <x:c r="F287" s="51" t="str"/>
    </x:row>
    <x:row r="288">
      <x:c r="A288" s="51" t="str">
        <x:v>ACT-USCOURTSOFAPPEALS</x:v>
      </x:c>
      <x:c r="B288" s="51" t="str">
        <x:v>U.S. courts of appeals</x:v>
      </x:c>
      <x:c r="C288" s="51" t="str">
        <x:v>Federal appellate court group</x:v>
      </x:c>
      <x:c r="D288" s="51" t="str">
        <x:v>United States</x:v>
      </x:c>
      <x:c r="E288" s="51" t="str">
        <x:v>Review district-court and selected agency decisions</x:v>
      </x:c>
      <x:c r="F288" s="51" t="str"/>
    </x:row>
    <x:row r="289">
      <x:c r="A289" s="51" t="str">
        <x:v>ACT-USBANKRUPTCYCOURTS</x:v>
      </x:c>
      <x:c r="B289" s="51" t="str">
        <x:v>US Bankruptcy Courts</x:v>
      </x:c>
      <x:c r="C289" s="51" t="str">
        <x:v>Federal court system</x:v>
      </x:c>
      <x:c r="D289" s="51" t="str">
        <x:v>United States</x:v>
      </x:c>
      <x:c r="E289" s="51" t="str">
        <x:v>Administer bankruptcy cases and approve restructuring actions</x:v>
      </x:c>
      <x:c r="F289" s="51" t="str"/>
    </x:row>
    <x:row r="290">
      <x:c r="A290" s="51" t="str">
        <x:v>ACT-DOELOANPROGRAMSOFFICE</x:v>
      </x:c>
      <x:c r="B290" s="51" t="str">
        <x:v>DOE Loan Programs Office</x:v>
      </x:c>
      <x:c r="C290" s="51" t="str">
        <x:v>Federal credit programme office</x:v>
      </x:c>
      <x:c r="D290" s="51" t="str">
        <x:v>United States</x:v>
      </x:c>
      <x:c r="E290" s="51" t="str">
        <x:v>Provides direct loans and loan guarantees for energy and industrial projects</x:v>
      </x:c>
      <x:c r="F290" s="51" t="str"/>
    </x:row>
    <x:row r="291">
      <x:c r="A291" s="51" t="str">
        <x:v>ACT-FEDERALCANDIDATES</x:v>
      </x:c>
      <x:c r="B291" s="51" t="str">
        <x:v>Federal candidates</x:v>
      </x:c>
      <x:c r="C291" s="51" t="str">
        <x:v>Federal electoral candidate group</x:v>
      </x:c>
      <x:c r="D291" s="51" t="str">
        <x:v>United States</x:v>
      </x:c>
      <x:c r="E291" s="51" t="str">
        <x:v>Run for federal office and are supported or opposed by campaign committees and independent expenditures</x:v>
      </x:c>
      <x:c r="F291" s="51" t="str"/>
    </x:row>
    <x:row r="292">
      <x:c r="A292" s="51" t="str">
        <x:v>ACT-MUTUALMORTGAGEINSURANCEF</x:v>
      </x:c>
      <x:c r="B292" s="51" t="str">
        <x:v>Mutual Mortgage Insurance Fund</x:v>
      </x:c>
      <x:c r="C292" s="51" t="str">
        <x:v>Federal housing insurance fund</x:v>
      </x:c>
      <x:c r="D292" s="51" t="str">
        <x:v>United States</x:v>
      </x:c>
      <x:c r="E292" s="51" t="str">
        <x:v>Bears FHA forward-mortgage and reverse-mortgage insurance risk</x:v>
      </x:c>
      <x:c r="F292" s="51" t="str"/>
    </x:row>
    <x:row r="293">
      <x:c r="A293" s="51" t="str">
        <x:v>ACT-AMERICAPAC</x:v>
      </x:c>
      <x:c r="B293" s="51" t="str">
        <x:v>America PAC</x:v>
      </x:c>
      <x:c r="C293" s="51" t="str">
        <x:v>Federal independent-expenditure-only committee</x:v>
      </x:c>
      <x:c r="D293" s="51" t="str">
        <x:v>United States</x:v>
      </x:c>
      <x:c r="E293" s="51" t="str">
        <x:v>Conducted independent expenditures in the 2024 federal election</x:v>
      </x:c>
      <x:c r="F293" s="51" t="str"/>
    </x:row>
    <x:row r="294">
      <x:c r="A294" s="51" t="str">
        <x:v>ACT-FAIRSHAKE</x:v>
      </x:c>
      <x:c r="B294" s="51" t="str">
        <x:v>Fairshake</x:v>
      </x:c>
      <x:c r="C294" s="51" t="str">
        <x:v>Federal independent-expenditure-only committee</x:v>
      </x:c>
      <x:c r="D294" s="51" t="str">
        <x:v>United States</x:v>
      </x:c>
      <x:c r="E294" s="51" t="str">
        <x:v>Conducts cryptocurrency-policy-related federal electoral spending</x:v>
      </x:c>
      <x:c r="F294" s="51" t="str"/>
    </x:row>
    <x:row r="295">
      <x:c r="A295" s="51" t="str">
        <x:v>ACT-MAGAINC</x:v>
      </x:c>
      <x:c r="B295" s="51" t="str">
        <x:v>MAGA INC.</x:v>
      </x:c>
      <x:c r="C295" s="51" t="str">
        <x:v>Federal independent-expenditure-only committee</x:v>
      </x:c>
      <x:c r="D295" s="51" t="str">
        <x:v>United States</x:v>
      </x:c>
      <x:c r="E295" s="51" t="str">
        <x:v>Raises and spends funds in support of Trump-aligned federal electoral activity</x:v>
      </x:c>
      <x:c r="F295" s="51" t="str"/>
    </x:row>
    <x:row r="296">
      <x:c r="A296" s="51" t="str">
        <x:v>ACT-ASSOCIATEJUSTICESOFTHESU</x:v>
      </x:c>
      <x:c r="B296" s="51" t="str">
        <x:v>Associate Justices of the Supreme Court</x:v>
      </x:c>
      <x:c r="C296" s="51" t="str">
        <x:v>Federal judicial group</x:v>
      </x:c>
      <x:c r="D296" s="51" t="str">
        <x:v>United States</x:v>
      </x:c>
      <x:c r="E296" s="51" t="str">
        <x:v>Participate in merits decisions, emergency applications and circuit assignments</x:v>
      </x:c>
      <x:c r="F296" s="51" t="str"/>
    </x:row>
    <x:row r="297">
      <x:c r="A297" s="51" t="str">
        <x:v>ACT-BANKRUPTCYJUDGES</x:v>
      </x:c>
      <x:c r="B297" s="51" t="str">
        <x:v>Bankruptcy judges</x:v>
      </x:c>
      <x:c r="C297" s="51" t="str">
        <x:v>Federal judicial group</x:v>
      </x:c>
      <x:c r="D297" s="51" t="str">
        <x:v>United States</x:v>
      </x:c>
      <x:c r="E297" s="51" t="str">
        <x:v>Approve or reject bankruptcy relief, financing, sales and plans</x:v>
      </x:c>
      <x:c r="F297" s="51" t="str"/>
    </x:row>
    <x:row r="298">
      <x:c r="A298" s="51" t="str">
        <x:v>ACT-JOHNGROBERTSJR</x:v>
      </x:c>
      <x:c r="B298" s="51" t="str">
        <x:v>John G. Roberts Jr.</x:v>
      </x:c>
      <x:c r="C298" s="51" t="str">
        <x:v>Federal judicial officer</x:v>
      </x:c>
      <x:c r="D298" s="51" t="str">
        <x:v>United States</x:v>
      </x:c>
      <x:c r="E298" s="51" t="str">
        <x:v>Chief Justice of the United States</x:v>
      </x:c>
      <x:c r="F298" s="51" t="str"/>
    </x:row>
    <x:row r="299">
      <x:c r="A299" s="51" t="str">
        <x:v>ACT-FEDERALBUREAUOFINVESTIGA</x:v>
      </x:c>
      <x:c r="B299" s="51" t="str">
        <x:v>Federal Bureau of Investigation</x:v>
      </x:c>
      <x:c r="C299" s="51" t="str">
        <x:v>Federal law-enforcement agency</x:v>
      </x:c>
      <x:c r="D299" s="51" t="str">
        <x:v>United States</x:v>
      </x:c>
      <x:c r="E299" s="51" t="str">
        <x:v>Uses BSA reports in investigations</x:v>
      </x:c>
      <x:c r="F299" s="51" t="str"/>
    </x:row>
    <x:row r="300">
      <x:c r="A300" s="51" t="str">
        <x:v>ACT-USMARSHALSSERVICE</x:v>
      </x:c>
      <x:c r="B300" s="51" t="str">
        <x:v>US Marshals Service</x:v>
      </x:c>
      <x:c r="C300" s="51" t="str">
        <x:v>Federal law-enforcement agency</x:v>
      </x:c>
      <x:c r="D300" s="51" t="str">
        <x:v>United States</x:v>
      </x:c>
      <x:c r="E300" s="51" t="str">
        <x:v>Custody, management and liquidation of seized assets</x:v>
      </x:c>
      <x:c r="F300" s="51" t="str"/>
    </x:row>
    <x:row r="301">
      <x:c r="A301" s="51" t="str">
        <x:v>ACT-GENERALSERVICESADMINISTR</x:v>
      </x:c>
      <x:c r="B301" s="51" t="str">
        <x:v>General Services Administration</x:v>
      </x:c>
      <x:c r="C301" s="51" t="str">
        <x:v>Federal procurement agency</x:v>
      </x:c>
      <x:c r="D301" s="51" t="str">
        <x:v>United States</x:v>
      </x:c>
      <x:c r="E301" s="51" t="str">
        <x:v>Operates governmentwide schedules, contracts and technology purchasing strategies</x:v>
      </x:c>
      <x:c r="F301" s="51" t="str"/>
    </x:row>
    <x:row r="302">
      <x:c r="A302" s="51" t="str">
        <x:v>ACT-USDISTRICTCOURTS</x:v>
      </x:c>
      <x:c r="B302" s="51" t="str">
        <x:v>U.S. district courts</x:v>
      </x:c>
      <x:c r="C302" s="51" t="str">
        <x:v>Federal trial court group</x:v>
      </x:c>
      <x:c r="D302" s="51" t="str">
        <x:v>United States</x:v>
      </x:c>
      <x:c r="E302" s="51" t="str">
        <x:v>Adjudicate federal civil and criminal cases and issue injunctions and judgments</x:v>
      </x:c>
      <x:c r="F302" s="51" t="str"/>
    </x:row>
    <x:row r="303">
      <x:c r="A303" s="51" t="str">
        <x:v>ACT-INVESTMENTADVISERSWITHPR</x:v>
      </x:c>
      <x:c r="B303" s="51" t="str">
        <x:v>Investment advisers with proxy authority</x:v>
      </x:c>
      <x:c r="C303" s="51" t="str">
        <x:v>Fiduciary intermediary group</x:v>
      </x:c>
      <x:c r="D303" s="51" t="str">
        <x:v>United States / international</x:v>
      </x:c>
      <x:c r="E303" s="51" t="str">
        <x:v>Exercise delegated voting authority over client securities</x:v>
      </x:c>
      <x:c r="F303" s="51" t="str"/>
    </x:row>
    <x:row r="304">
      <x:c r="A304" s="51" t="str">
        <x:v>ACT-USDEPARTMENTOFTHETREASUR</x:v>
      </x:c>
      <x:c r="B304" s="51" t="str">
        <x:v>U.S. Department of the Treasury</x:v>
      </x:c>
      <x:c r="C304" s="51" t="str">
        <x:v>Finance ministry</x:v>
      </x:c>
      <x:c r="D304" s="51" t="str">
        <x:v>United States</x:v>
      </x:c>
      <x:c r="E304" s="51" t="str">
        <x:v>Houses OFAC, FinCEN and international financial authorities</x:v>
      </x:c>
      <x:c r="F304" s="51" t="str"/>
    </x:row>
    <x:row r="305">
      <x:c r="A305" s="51" t="str">
        <x:v>ACT-PRIVATELENDERSANDPROJECT</x:v>
      </x:c>
      <x:c r="B305" s="51" t="str">
        <x:v>Private lenders and project sponsors</x:v>
      </x:c>
      <x:c r="C305" s="51" t="str">
        <x:v>Financial and corporate group</x:v>
      </x:c>
      <x:c r="D305" s="51" t="str">
        <x:v>International</x:v>
      </x:c>
      <x:c r="E305" s="51" t="str">
        <x:v>Receive or rely on public and multilateral guarantees</x:v>
      </x:c>
      <x:c r="F305" s="51" t="str"/>
    </x:row>
    <x:row r="306">
      <x:c r="A306" s="51" t="str">
        <x:v>ACT-MORTGAGESERVICINGRIGHTOW</x:v>
      </x:c>
      <x:c r="B306" s="51" t="str">
        <x:v>Mortgage servicing-right owners</x:v>
      </x:c>
      <x:c r="C306" s="51" t="str">
        <x:v>Financial asset owner group</x:v>
      </x:c>
      <x:c r="D306" s="51" t="str">
        <x:v>United States</x:v>
      </x:c>
      <x:c r="E306" s="51" t="str">
        <x:v>Own contractual rights to servicing income and obligations</x:v>
      </x:c>
      <x:c r="F306" s="51" t="str"/>
    </x:row>
    <x:row r="307">
      <x:c r="A307" s="51" t="str">
        <x:v>ACT-SECURITIESFINANCINGTRANS</x:v>
      </x:c>
      <x:c r="B307" s="51" t="str">
        <x:v>Securities financing transactions</x:v>
      </x:c>
      <x:c r="C307" s="51" t="str">
        <x:v>Financial contract category</x:v>
      </x:c>
      <x:c r="D307" s="51" t="str">
        <x:v>International</x:v>
      </x:c>
      <x:c r="E307" s="51" t="str">
        <x:v>Include repo, reverse repo, securities lending and related collateralised transactions</x:v>
      </x:c>
      <x:c r="F307" s="51" t="str"/>
    </x:row>
    <x:row r="308">
      <x:c r="A308" s="51" t="str">
        <x:v>ACT-DERIVATIVESCOUNTERPARTIE</x:v>
      </x:c>
      <x:c r="B308" s="51" t="str">
        <x:v>Derivatives counterparties</x:v>
      </x:c>
      <x:c r="C308" s="51" t="str">
        <x:v>Financial contract party group</x:v>
      </x:c>
      <x:c r="D308" s="51" t="str">
        <x:v>International</x:v>
      </x:c>
      <x:c r="E308" s="51" t="str">
        <x:v>Enter swaps and other derivatives under master agreements</x:v>
      </x:c>
      <x:c r="F308" s="51" t="str"/>
    </x:row>
    <x:row r="309">
      <x:c r="A309" s="51" t="str">
        <x:v>ACT-BLOOMBERGLP</x:v>
      </x:c>
      <x:c r="B309" s="51" t="str">
        <x:v>Bloomberg L.P.</x:v>
      </x:c>
      <x:c r="C309" s="51" t="str">
        <x:v>Financial data, media and technology company</x:v>
      </x:c>
      <x:c r="D309" s="51" t="str">
        <x:v>United States / international</x:v>
      </x:c>
      <x:c r="E309" s="51" t="str">
        <x:v>Provides financial information, terminals and media services</x:v>
      </x:c>
      <x:c r="F309" s="51" t="str"/>
    </x:row>
    <x:row r="310">
      <x:c r="A310" s="51" t="str">
        <x:v>ACT-WHOLESALESHORTTERMFUNDIN</x:v>
      </x:c>
      <x:c r="B310" s="51" t="str">
        <x:v>Wholesale short-term funding providers</x:v>
      </x:c>
      <x:c r="C310" s="51" t="str">
        <x:v>Financial funding group</x:v>
      </x:c>
      <x:c r="D310" s="51" t="str">
        <x:v>International</x:v>
      </x:c>
      <x:c r="E310" s="51" t="str">
        <x:v>Provide repo, brokered, wholesale and market-based short-term financing</x:v>
      </x:c>
      <x:c r="F310" s="51" t="str"/>
    </x:row>
    <x:row r="311">
      <x:c r="A311" s="51" t="str">
        <x:v>ACT-USTREASURYMARKET</x:v>
      </x:c>
      <x:c r="B311" s="51" t="str">
        <x:v>US Treasury market</x:v>
      </x:c>
      <x:c r="C311" s="51" t="str">
        <x:v>Financial infrastructure</x:v>
      </x:c>
      <x:c r="D311" s="51" t="str">
        <x:v>United States</x:v>
      </x:c>
      <x:c r="E311" s="51" t="str">
        <x:v>Global safe-asset and collateral pool</x:v>
      </x:c>
      <x:c r="F311" s="51" t="str"/>
    </x:row>
    <x:row r="312">
      <x:c r="A312" s="51" t="str">
        <x:v>ACT-JAVIERPREZTASSO</x:v>
      </x:c>
      <x:c r="B312" s="51" t="str">
        <x:v>Javier Pérez-Tasso</x:v>
      </x:c>
      <x:c r="C312" s="51" t="str">
        <x:v>Financial infrastructure executive</x:v>
      </x:c>
      <x:c r="D312" s="51" t="str">
        <x:v>Spain / Belgium</x:v>
      </x:c>
      <x:c r="E312" s="51" t="str">
        <x:v>Chief Executive Officer of SWIFT</x:v>
      </x:c>
      <x:c r="F312" s="51" t="str"/>
    </x:row>
    <x:row r="313">
      <x:c r="A313" s="51" t="str">
        <x:v>ACT-COLLATERALMANAGEMENTAGEN</x:v>
      </x:c>
      <x:c r="B313" s="51" t="str">
        <x:v>Collateral management agents</x:v>
      </x:c>
      <x:c r="C313" s="51" t="str">
        <x:v>Financial infrastructure group</x:v>
      </x:c>
      <x:c r="D313" s="51" t="str">
        <x:v>International</x:v>
      </x:c>
      <x:c r="E313" s="51" t="str">
        <x:v>Value, allocate, substitute and settle collateral across financing markets</x:v>
      </x:c>
      <x:c r="F313" s="51" t="str"/>
    </x:row>
    <x:row r="314">
      <x:c r="A314" s="51" t="str">
        <x:v>ACT-CRSREPORTINGFINANCIALINS</x:v>
      </x:c>
      <x:c r="B314" s="51" t="str">
        <x:v>CRS reporting financial institutions</x:v>
      </x:c>
      <x:c r="C314" s="51" t="str">
        <x:v>Financial institution group</x:v>
      </x:c>
      <x:c r="D314" s="51" t="str">
        <x:v>Participating jurisdictions</x:v>
      </x:c>
      <x:c r="E314" s="51" t="str">
        <x:v>Identify reportable accounts under the Common Reporting Standard</x:v>
      </x:c>
      <x:c r="F314" s="51" t="str"/>
    </x:row>
    <x:row r="315">
      <x:c r="A315" s="51" t="str">
        <x:v>ACT-CARDISSUINGFINANCIALINST</x:v>
      </x:c>
      <x:c r="B315" s="51" t="str">
        <x:v>Card-issuing financial institutions</x:v>
      </x:c>
      <x:c r="C315" s="51" t="str">
        <x:v>Financial institution group</x:v>
      </x:c>
      <x:c r="D315" s="51" t="str">
        <x:v>International</x:v>
      </x:c>
      <x:c r="E315" s="51" t="str">
        <x:v>Issue payment credentials and approve or decline transactions</x:v>
      </x:c>
      <x:c r="F315" s="51" t="str"/>
    </x:row>
    <x:row r="316">
      <x:c r="A316" s="51" t="str">
        <x:v>ACT-CLEARINGMEMBERS</x:v>
      </x:c>
      <x:c r="B316" s="51" t="str">
        <x:v>Clearing members</x:v>
      </x:c>
      <x:c r="C316" s="51" t="str">
        <x:v>Financial institution group</x:v>
      </x:c>
      <x:c r="D316" s="51" t="str">
        <x:v>International</x:v>
      </x:c>
      <x:c r="E316" s="51" t="str">
        <x:v>Clear proprietary and client positions directly at a CCP</x:v>
      </x:c>
      <x:c r="F316" s="51" t="str"/>
    </x:row>
    <x:row r="317">
      <x:c r="A317" s="51" t="str">
        <x:v>ACT-ELIGIBLEDEPOSITORYINSTIT</x:v>
      </x:c>
      <x:c r="B317" s="51" t="str">
        <x:v>Eligible depository institutions</x:v>
      </x:c>
      <x:c r="C317" s="51" t="str">
        <x:v>Financial institution group</x:v>
      </x:c>
      <x:c r="D317" s="51" t="str">
        <x:v>United States</x:v>
      </x:c>
      <x:c r="E317" s="51" t="str">
        <x:v>Can borrow at the discount window subject to eligibility and collateral</x:v>
      </x:c>
      <x:c r="F317" s="51" t="str"/>
    </x:row>
    <x:row r="318">
      <x:c r="A318" s="51" t="str">
        <x:v>ACT-EUROSYSTEMELIGIBLECOUNTE</x:v>
      </x:c>
      <x:c r="B318" s="51" t="str">
        <x:v>Eurosystem eligible counterparties</x:v>
      </x:c>
      <x:c r="C318" s="51" t="str">
        <x:v>Financial institution group</x:v>
      </x:c>
      <x:c r="D318" s="51" t="str">
        <x:v>Euro area</x:v>
      </x:c>
      <x:c r="E318" s="51" t="str">
        <x:v>Borrow from national central banks against eligible assets</x:v>
      </x:c>
      <x:c r="F318" s="51" t="str"/>
    </x:row>
    <x:row r="319">
      <x:c r="A319" s="51" t="str">
        <x:v>ACT-FHLBANKMEMBERINSTITUTION</x:v>
      </x:c>
      <x:c r="B319" s="51" t="str">
        <x:v>FHLBank member institutions</x:v>
      </x:c>
      <x:c r="C319" s="51" t="str">
        <x:v>Financial institution group</x:v>
      </x:c>
      <x:c r="D319" s="51" t="str">
        <x:v>United States</x:v>
      </x:c>
      <x:c r="E319" s="51" t="str">
        <x:v>Borrow advances against eligible mortgage and related collateral</x:v>
      </x:c>
      <x:c r="F319" s="51" t="str"/>
    </x:row>
    <x:row r="320">
      <x:c r="A320" s="51" t="str">
        <x:v>ACT-FOREIGNFINANCIALINSTITUT</x:v>
      </x:c>
      <x:c r="B320" s="51" t="str">
        <x:v>Foreign financial institutions</x:v>
      </x:c>
      <x:c r="C320" s="51" t="str">
        <x:v>Financial institution group</x:v>
      </x:c>
      <x:c r="D320" s="51" t="str">
        <x:v>International</x:v>
      </x:c>
      <x:c r="E320" s="51" t="str">
        <x:v>Register and report U.S. accounts under FATCA or IGAs</x:v>
      </x:c>
      <x:c r="F320" s="51" t="str"/>
    </x:row>
    <x:row r="321">
      <x:c r="A321" s="51" t="str">
        <x:v>ACT-MORTGAGELENDERSANDAPPROV</x:v>
      </x:c>
      <x:c r="B321" s="51" t="str">
        <x:v>Mortgage lenders and approved issuers</x:v>
      </x:c>
      <x:c r="C321" s="51" t="str">
        <x:v>Financial institution group</x:v>
      </x:c>
      <x:c r="D321" s="51" t="str">
        <x:v>United States</x:v>
      </x:c>
      <x:c r="E321" s="51" t="str">
        <x:v>Originate mortgages and issue or deliver eligible mortgage pools</x:v>
      </x:c>
      <x:c r="F321" s="51" t="str"/>
    </x:row>
    <x:row r="322">
      <x:c r="A322" s="51" t="str">
        <x:v>ACT-SWIFTMEMBERINSTITUTIONS</x:v>
      </x:c>
      <x:c r="B322" s="51" t="str">
        <x:v>SWIFT member institutions</x:v>
      </x:c>
      <x:c r="C322" s="51" t="str">
        <x:v>Financial institution network</x:v>
      </x:c>
      <x:c r="D322" s="51" t="str">
        <x:v>International</x:v>
      </x:c>
      <x:c r="E322" s="51" t="str">
        <x:v>Send and receive standardised financial messages</x:v>
      </x:c>
      <x:c r="F322" s="51" t="str"/>
    </x:row>
    <x:row r="323">
      <x:c r="A323" s="51" t="str">
        <x:v>ACT-FINANCIALCRIMESENFORCEME</x:v>
      </x:c>
      <x:c r="B323" s="51" t="str">
        <x:v>Financial Crimes Enforcement Network</x:v>
      </x:c>
      <x:c r="C323" s="51" t="str">
        <x:v>Financial intelligence and AML authority</x:v>
      </x:c>
      <x:c r="D323" s="51" t="str">
        <x:v>United States</x:v>
      </x:c>
      <x:c r="E323" s="51" t="str">
        <x:v>Administers beneficial-ownership and AML reporting rules</x:v>
      </x:c>
      <x:c r="F323" s="51" t="str"/>
    </x:row>
    <x:row r="324">
      <x:c r="A324" s="51" t="str">
        <x:v>ACT-FINCEN</x:v>
      </x:c>
      <x:c r="B324" s="51" t="str">
        <x:v>FinCEN</x:v>
      </x:c>
      <x:c r="C324" s="51" t="str">
        <x:v>Financial intelligence unit and AML regulator</x:v>
      </x:c>
      <x:c r="D324" s="51" t="str">
        <x:v>United States</x:v>
      </x:c>
      <x:c r="E324" s="51" t="str">
        <x:v>Administers the Bank Secrecy Act and receives financial intelligence reports</x:v>
      </x:c>
      <x:c r="F324" s="51" t="str"/>
    </x:row>
    <x:row r="325">
      <x:c r="A325" s="51" t="str">
        <x:v>ACT-BROKERDEALERSANDCUSTODIA</x:v>
      </x:c>
      <x:c r="B325" s="51" t="str">
        <x:v>Broker-dealers and custodial banks</x:v>
      </x:c>
      <x:c r="C325" s="51" t="str">
        <x:v>Financial intermediary group</x:v>
      </x:c>
      <x:c r="D325" s="51" t="str">
        <x:v>International</x:v>
      </x:c>
      <x:c r="E325" s="51" t="str">
        <x:v>Maintain participant and customer securities accounts</x:v>
      </x:c>
      <x:c r="F325" s="51" t="str"/>
    </x:row>
    <x:row r="326">
      <x:c r="A326" s="51" t="str">
        <x:v>ACT-PRIMARYDEALERSANDSTANDIN</x:v>
      </x:c>
      <x:c r="B326" s="51" t="str">
        <x:v>Primary dealers and standing repo counterparties</x:v>
      </x:c>
      <x:c r="C326" s="51" t="str">
        <x:v>Financial intermediary group</x:v>
      </x:c>
      <x:c r="D326" s="51" t="str">
        <x:v>United States</x:v>
      </x:c>
      <x:c r="E326" s="51" t="str">
        <x:v>Eligible counterparties for standing repo operations</x:v>
      </x:c>
      <x:c r="F326" s="51" t="str"/>
    </x:row>
    <x:row r="327">
      <x:c r="A327" s="51" t="str">
        <x:v>ACT-DERIVATIVESMARKETS</x:v>
      </x:c>
      <x:c r="B327" s="51" t="str">
        <x:v>Derivatives markets</x:v>
      </x:c>
      <x:c r="C327" s="51" t="str">
        <x:v>Financial market category</x:v>
      </x:c>
      <x:c r="D327" s="51" t="str">
        <x:v>International</x:v>
      </x:c>
      <x:c r="E327" s="51" t="str">
        <x:v>Trade futures, options and swaps for hedging, price discovery and risk taking</x:v>
      </x:c>
      <x:c r="F327" s="51" t="str"/>
    </x:row>
    <x:row r="328">
      <x:c r="A328" s="51" t="str">
        <x:v>ACT-CLSGROUP</x:v>
      </x:c>
      <x:c r="B328" s="51" t="str">
        <x:v>CLS Group</x:v>
      </x:c>
      <x:c r="C328" s="51" t="str">
        <x:v>Financial market infrastructure</x:v>
      </x:c>
      <x:c r="D328" s="51" t="str">
        <x:v>International</x:v>
      </x:c>
      <x:c r="E328" s="51" t="str">
        <x:v>FX payment-versus-payment settlement and data network</x:v>
      </x:c>
      <x:c r="F328" s="51" t="str"/>
    </x:row>
    <x:row r="329">
      <x:c r="A329" s="51" t="str">
        <x:v>ACT-CENTRALCOUNTERPARTIES</x:v>
      </x:c>
      <x:c r="B329" s="51" t="str">
        <x:v>Central counterparties</x:v>
      </x:c>
      <x:c r="C329" s="51" t="str">
        <x:v>Financial market infrastructure group</x:v>
      </x:c>
      <x:c r="D329" s="51" t="str">
        <x:v>International</x:v>
      </x:c>
      <x:c r="E329" s="51" t="str">
        <x:v>Interpose between counterparties and manage collateral and default risk</x:v>
      </x:c>
      <x:c r="F329" s="51" t="str"/>
    </x:row>
    <x:row r="330">
      <x:c r="A330" s="51" t="str">
        <x:v>ACT-DEPOSITORYTRUSTCLEARINGC</x:v>
      </x:c>
      <x:c r="B330" s="51" t="str">
        <x:v>Depository Trust &amp; Clearing Corporation</x:v>
      </x:c>
      <x:c r="C330" s="51" t="str">
        <x:v>Financial market infrastructure holding company</x:v>
      </x:c>
      <x:c r="D330" s="51" t="str">
        <x:v>United States</x:v>
      </x:c>
      <x:c r="E330" s="51" t="str">
        <x:v>Owns major US clearing, settlement and depository subsidiaries</x:v>
      </x:c>
      <x:c r="F330" s="51" t="str"/>
    </x:row>
    <x:row r="331">
      <x:c r="A331" s="51" t="str">
        <x:v>ACT-SWIFTCOOPERATIVE</x:v>
      </x:c>
      <x:c r="B331" s="51" t="str">
        <x:v>SWIFT cooperative</x:v>
      </x:c>
      <x:c r="C331" s="51" t="str">
        <x:v>Financial messaging cooperative</x:v>
      </x:c>
      <x:c r="D331" s="51" t="str">
        <x:v>Belgium / international</x:v>
      </x:c>
      <x:c r="E331" s="51" t="str">
        <x:v>Provides standardised secure financial messaging</x:v>
      </x:c>
      <x:c r="F331" s="51" t="str"/>
    </x:row>
    <x:row r="332">
      <x:c r="A332" s="51" t="str">
        <x:v>ACT-SWIFTTRADEFINANCEMESSAGI</x:v>
      </x:c>
      <x:c r="B332" s="51" t="str">
        <x:v>SWIFT trade finance messaging</x:v>
      </x:c>
      <x:c r="C332" s="51" t="str">
        <x:v>Financial messaging infrastructure</x:v>
      </x:c>
      <x:c r="D332" s="51" t="str">
        <x:v>International</x:v>
      </x:c>
      <x:c r="E332" s="51" t="str">
        <x:v>Transmits standardised documentary credit and guarantee messages</x:v>
      </x:c>
      <x:c r="F332" s="51" t="str"/>
    </x:row>
    <x:row r="333">
      <x:c r="A333" s="51" t="str">
        <x:v>ACT-OFFSHOREDOLLARBANKINGSYS</x:v>
      </x:c>
      <x:c r="B333" s="51" t="str">
        <x:v>Offshore dollar banking system</x:v>
      </x:c>
      <x:c r="C333" s="51" t="str">
        <x:v>Financial network</x:v>
      </x:c>
      <x:c r="D333" s="51" t="str">
        <x:v>International</x:v>
      </x:c>
      <x:c r="E333" s="51" t="str">
        <x:v>Creates and intermediates dollar claims outside the US</x:v>
      </x:c>
      <x:c r="F333" s="51" t="str"/>
    </x:row>
    <x:row r="334">
      <x:c r="A334" s="51" t="str">
        <x:v>ACT-MORTGAGESERVICERS</x:v>
      </x:c>
      <x:c r="B334" s="51" t="str">
        <x:v>Mortgage servicers</x:v>
      </x:c>
      <x:c r="C334" s="51" t="str">
        <x:v>Financial operations group</x:v>
      </x:c>
      <x:c r="D334" s="51" t="str">
        <x:v>United States</x:v>
      </x:c>
      <x:c r="E334" s="51" t="str">
        <x:v>Collect payments, administer escrow, loss mitigation and foreclosure processes</x:v>
      </x:c>
      <x:c r="F334" s="51" t="str"/>
    </x:row>
    <x:row r="335">
      <x:c r="A335" s="51" t="str">
        <x:v>ACT-ALADDIN</x:v>
      </x:c>
      <x:c r="B335" s="51" t="str">
        <x:v>Aladdin</x:v>
      </x:c>
      <x:c r="C335" s="51" t="str">
        <x:v>Financial technology platform</x:v>
      </x:c>
      <x:c r="D335" s="51" t="str">
        <x:v>United States</x:v>
      </x:c>
      <x:c r="E335" s="51" t="str">
        <x:v>Portfolio, risk and operational representation</x:v>
      </x:c>
      <x:c r="F335" s="51" t="str"/>
    </x:row>
    <x:row r="336">
      <x:c r="A336" s="51" t="str">
        <x:v>ACT-WORLDBANKOFFICEOFSUSPENS</x:v>
      </x:c>
      <x:c r="B336" s="51" t="str">
        <x:v>World Bank Office of Suspension and Debarment</x:v>
      </x:c>
      <x:c r="C336" s="51" t="str">
        <x:v>First-tier adjudicative unit</x:v>
      </x:c>
      <x:c r="D336" s="51" t="str">
        <x:v>International</x:v>
      </x:c>
      <x:c r="E336" s="51" t="str">
        <x:v>Reviews sanctions accusations and issues notices or temporary suspensions</x:v>
      </x:c>
      <x:c r="F336" s="51" t="str"/>
    </x:row>
    <x:row r="337">
      <x:c r="A337" s="51" t="str">
        <x:v>ACT-OTHERTRANSACTIONAGREEMEN</x:v>
      </x:c>
      <x:c r="B337" s="51" t="str">
        <x:v>Other Transaction Agreements</x:v>
      </x:c>
      <x:c r="C337" s="51" t="str">
        <x:v>Flexible public agreement type</x:v>
      </x:c>
      <x:c r="D337" s="51" t="str">
        <x:v>United States</x:v>
      </x:c>
      <x:c r="E337" s="51" t="str">
        <x:v>Non-FAR agreements used by authorised agencies for research, prototypes and follow-on work</x:v>
      </x:c>
      <x:c r="F337" s="51" t="str"/>
    </x:row>
    <x:row r="338">
      <x:c r="A338" s="51" t="str">
        <x:v>ACT-FOREIGNREPORTINGCOMPANIE</x:v>
      </x:c>
      <x:c r="B338" s="51" t="str">
        <x:v>Foreign reporting companies</x:v>
      </x:c>
      <x:c r="C338" s="51" t="str">
        <x:v>Foreign legal-person group</x:v>
      </x:c>
      <x:c r="D338" s="51" t="str">
        <x:v>United States nexus</x:v>
      </x:c>
      <x:c r="E338" s="51" t="str">
        <x:v>Foreign-formed entities registered to do business in the United States</x:v>
      </x:c>
      <x:c r="F338" s="51" t="str"/>
    </x:row>
    <x:row r="339">
      <x:c r="A339" s="51" t="str">
        <x:v>ACT-GATESFOUNDATIONGOVERNING</x:v>
      </x:c>
      <x:c r="B339" s="51" t="str">
        <x:v>Gates Foundation Governing Board</x:v>
      </x:c>
      <x:c r="C339" s="51" t="str">
        <x:v>Foundation governing body</x:v>
      </x:c>
      <x:c r="D339" s="51" t="str">
        <x:v>United States / international</x:v>
      </x:c>
      <x:c r="E339" s="51" t="str">
        <x:v>Approves strategy, oversight and governance reforms</x:v>
      </x:c>
      <x:c r="F339" s="51" t="str"/>
    </x:row>
    <x:row r="340">
      <x:c r="A340" s="51" t="str">
        <x:v>ACT-GATESFOUNDATIONTRUST</x:v>
      </x:c>
      <x:c r="B340" s="51" t="str">
        <x:v>Gates Foundation Trust</x:v>
      </x:c>
      <x:c r="C340" s="51" t="str">
        <x:v>Foundation investment trust</x:v>
      </x:c>
      <x:c r="D340" s="51" t="str">
        <x:v>United States</x:v>
      </x:c>
      <x:c r="E340" s="51" t="str">
        <x:v>Holds and invests assets supporting foundation grantmaking</x:v>
      </x:c>
      <x:c r="F340" s="51" t="str"/>
    </x:row>
    <x:row r="341">
      <x:c r="A341" s="51" t="str">
        <x:v>ACT-BANKOFNEWYORKMELLON</x:v>
      </x:c>
      <x:c r="B341" s="51" t="str">
        <x:v>Bank of New York Mellon</x:v>
      </x:c>
      <x:c r="C341" s="51" t="str">
        <x:v>Global custody and market-infrastructure bank</x:v>
      </x:c>
      <x:c r="D341" s="51" t="str">
        <x:v>United States / international</x:v>
      </x:c>
      <x:c r="E341" s="51" t="str">
        <x:v>Provides tri-party repo, collateral, custody and settlement infrastructure</x:v>
      </x:c>
      <x:c r="F341" s="51" t="str"/>
    </x:row>
    <x:row r="342">
      <x:c r="A342" s="51" t="str">
        <x:v>ACT-CORPORATEBOARDSOFDIRECTO</x:v>
      </x:c>
      <x:c r="B342" s="51" t="str">
        <x:v>Corporate boards of directors</x:v>
      </x:c>
      <x:c r="C342" s="51" t="str">
        <x:v>Governance body group</x:v>
      </x:c>
      <x:c r="D342" s="51" t="str">
        <x:v>International</x:v>
      </x:c>
      <x:c r="E342" s="51" t="str">
        <x:v>Exercise delegated management and oversight authority</x:v>
      </x:c>
      <x:c r="F342" s="51" t="str"/>
    </x:row>
    <x:row r="343">
      <x:c r="A343" s="51" t="str">
        <x:v>ACT-INDEXMETHODOLOGYCOMMITTE</x:v>
      </x:c>
      <x:c r="B343" s="51" t="str">
        <x:v>Index methodology committees</x:v>
      </x:c>
      <x:c r="C343" s="51" t="str">
        <x:v>Governance body group</x:v>
      </x:c>
      <x:c r="D343" s="51" t="str">
        <x:v>International</x:v>
      </x:c>
      <x:c r="E343" s="51" t="str">
        <x:v>Bodies setting eligibility, classification, review and rebalancing rules</x:v>
      </x:c>
      <x:c r="F343" s="51" t="str"/>
    </x:row>
    <x:row r="344">
      <x:c r="A344" s="51" t="str">
        <x:v>ACT-PROXYADVISORYFIRMS</x:v>
      </x:c>
      <x:c r="B344" s="51" t="str">
        <x:v>Proxy advisory firms</x:v>
      </x:c>
      <x:c r="C344" s="51" t="str">
        <x:v>Governance intermediary group</x:v>
      </x:c>
      <x:c r="D344" s="51" t="str">
        <x:v>International</x:v>
      </x:c>
      <x:c r="E344" s="51" t="str">
        <x:v>Provide research and voting recommendations to institutional investors</x:v>
      </x:c>
      <x:c r="F344" s="51" t="str"/>
    </x:row>
    <x:row r="345">
      <x:c r="A345" s="51" t="str">
        <x:v>ACT-CENTERFORAISTANDARDSANDI</x:v>
      </x:c>
      <x:c r="B345" s="51" t="str">
        <x:v>Center for AI Standards and Innovation</x:v>
      </x:c>
      <x:c r="C345" s="51" t="str">
        <x:v>Government AI evaluation institution</x:v>
      </x:c>
      <x:c r="D345" s="51" t="str">
        <x:v>United States</x:v>
      </x:c>
      <x:c r="E345" s="51" t="str">
        <x:v>NIST centre collaborating on AI standards, testing and national-security research</x:v>
      </x:c>
      <x:c r="F345" s="51" t="str"/>
    </x:row>
    <x:row r="346">
      <x:c r="A346" s="51" t="str">
        <x:v>ACT-PRESIDENTSCOUNCILOFADVIS</x:v>
      </x:c>
      <x:c r="B346" s="51" t="str">
        <x:v>President's Council of Advisors on Science and Technology</x:v>
      </x:c>
      <x:c r="C346" s="51" t="str">
        <x:v>Government advisory council</x:v>
      </x:c>
      <x:c r="D346" s="51" t="str">
        <x:v>United States</x:v>
      </x:c>
      <x:c r="E346" s="51" t="str">
        <x:v>White House science and technology advisory network</x:v>
      </x:c>
      <x:c r="F346" s="51" t="str"/>
    </x:row>
    <x:row r="347">
      <x:c r="A347" s="51" t="str">
        <x:v>ACT-BGRGOVERNMENTAFFAIRS</x:v>
      </x:c>
      <x:c r="B347" s="51" t="str">
        <x:v>BGR Government Affairs</x:v>
      </x:c>
      <x:c r="C347" s="51" t="str">
        <x:v>Government affairs firm</x:v>
      </x:c>
      <x:c r="D347" s="51" t="str">
        <x:v>United States</x:v>
      </x:c>
      <x:c r="E347" s="51" t="str">
        <x:v>External lobbying intermediary with former-government personnel</x:v>
      </x:c>
      <x:c r="F347" s="51" t="str"/>
    </x:row>
    <x:row r="348">
      <x:c r="A348" s="51" t="str">
        <x:v>ACT-AWSGOVCLOUD</x:v>
      </x:c>
      <x:c r="B348" s="51" t="str">
        <x:v>AWS GovCloud</x:v>
      </x:c>
      <x:c r="C348" s="51" t="str">
        <x:v>Government cloud environment</x:v>
      </x:c>
      <x:c r="D348" s="51" t="str">
        <x:v>United States</x:v>
      </x:c>
      <x:c r="E348" s="51" t="str">
        <x:v>AWS environment for regulated and government workloads</x:v>
      </x:c>
      <x:c r="F348" s="51" t="str"/>
    </x:row>
    <x:row r="349">
      <x:c r="A349" s="51" t="str">
        <x:v>ACT-MICROSOFTAZUREGOVERNMENT</x:v>
      </x:c>
      <x:c r="B349" s="51" t="str">
        <x:v>Microsoft Azure Government</x:v>
      </x:c>
      <x:c r="C349" s="51" t="str">
        <x:v>Government cloud environment</x:v>
      </x:c>
      <x:c r="D349" s="51" t="str">
        <x:v>United States</x:v>
      </x:c>
      <x:c r="E349" s="51" t="str">
        <x:v>Microsoft classified and government cloud platform</x:v>
      </x:c>
      <x:c r="F349" s="51" t="str"/>
    </x:row>
    <x:row r="350">
      <x:c r="A350" s="51" t="str">
        <x:v>ACT-ORACLECLOUDINFRASTRUCTUR</x:v>
      </x:c>
      <x:c r="B350" s="51" t="str">
        <x:v>Oracle Cloud Infrastructure Government</x:v>
      </x:c>
      <x:c r="C350" s="51" t="str">
        <x:v>Government cloud environment</x:v>
      </x:c>
      <x:c r="D350" s="51" t="str">
        <x:v>United States</x:v>
      </x:c>
      <x:c r="E350" s="51" t="str">
        <x:v>Oracle government and classified cloud platform</x:v>
      </x:c>
      <x:c r="F350" s="51" t="str"/>
    </x:row>
    <x:row r="351">
      <x:c r="A351" s="51" t="str">
        <x:v>ACT-SCOTTBESSENT</x:v>
      </x:c>
      <x:c r="B351" s="51" t="str">
        <x:v>Scott Bessent</x:v>
      </x:c>
      <x:c r="C351" s="51" t="str">
        <x:v>Government executive</x:v>
      </x:c>
      <x:c r="D351" s="51" t="str">
        <x:v>United States</x:v>
      </x:c>
      <x:c r="E351" s="51" t="str">
        <x:v>Secretary of the Treasury</x:v>
      </x:c>
      <x:c r="F351" s="51" t="str"/>
    </x:row>
    <x:row r="352">
      <x:c r="A352" s="51" t="str">
        <x:v>ACT-MICHAELSSELIG</x:v>
      </x:c>
      <x:c r="B352" s="51" t="str">
        <x:v>Michael S. Selig</x:v>
      </x:c>
      <x:c r="C352" s="51" t="str">
        <x:v>Government financial regulator</x:v>
      </x:c>
      <x:c r="D352" s="51" t="str">
        <x:v>United States</x:v>
      </x:c>
      <x:c r="E352" s="51" t="str">
        <x:v>Chairman of the Commodity Futures Trading Commission</x:v>
      </x:c>
      <x:c r="F352" s="51" t="str"/>
    </x:row>
    <x:row r="353">
      <x:c r="A353" s="51" t="str">
        <x:v>ACT-TRAVISHILL</x:v>
      </x:c>
      <x:c r="B353" s="51" t="str">
        <x:v>Travis Hill</x:v>
      </x:c>
      <x:c r="C353" s="51" t="str">
        <x:v>Government financial regulator</x:v>
      </x:c>
      <x:c r="D353" s="51" t="str">
        <x:v>United States</x:v>
      </x:c>
      <x:c r="E353" s="51" t="str">
        <x:v>Chairman of the Federal Deposit Insurance Corporation</x:v>
      </x:c>
      <x:c r="F353" s="51" t="str"/>
    </x:row>
    <x:row r="354">
      <x:c r="A354" s="51" t="str">
        <x:v>ACT-JOHNASQUIRES</x:v>
      </x:c>
      <x:c r="B354" s="51" t="str">
        <x:v>John A. Squires</x:v>
      </x:c>
      <x:c r="C354" s="51" t="str">
        <x:v>Government intellectual-property official</x:v>
      </x:c>
      <x:c r="D354" s="51" t="str">
        <x:v>United States</x:v>
      </x:c>
      <x:c r="E354" s="51" t="str">
        <x:v>Under Secretary of Commerce for Intellectual Property and Director of the USPTO</x:v>
      </x:c>
      <x:c r="F354" s="51" t="str"/>
    </x:row>
    <x:row r="355">
      <x:c r="A355" s="51" t="str">
        <x:v>ACT-CIRCLERESERVEFUND</x:v>
      </x:c>
      <x:c r="B355" s="51" t="str">
        <x:v>Circle Reserve Fund</x:v>
      </x:c>
      <x:c r="C355" s="51" t="str">
        <x:v>Government money-market fund</x:v>
      </x:c>
      <x:c r="D355" s="51" t="str">
        <x:v>United States</x:v>
      </x:c>
      <x:c r="E355" s="51" t="str">
        <x:v>BlackRock-managed government fund holding most USDC reserves</x:v>
      </x:c>
      <x:c r="F355" s="51" t="str"/>
    </x:row>
    <x:row r="356">
      <x:c r="A356" s="51" t="str">
        <x:v>ACT-GINNIEMAE</x:v>
      </x:c>
      <x:c r="B356" s="51" t="str">
        <x:v>Ginnie Mae</x:v>
      </x:c>
      <x:c r="C356" s="51" t="str">
        <x:v>Government mortgage guarantor</x:v>
      </x:c>
      <x:c r="D356" s="51" t="str">
        <x:v>United States</x:v>
      </x:c>
      <x:c r="E356" s="51" t="str">
        <x:v>Guarantees timely payment on approved government-backed MBS</x:v>
      </x:c>
      <x:c r="F356" s="51" t="str"/>
    </x:row>
    <x:row r="357">
      <x:c r="A357" s="51" t="str">
        <x:v>ACT-PUBLICPROCURINGENTITIES</x:v>
      </x:c>
      <x:c r="B357" s="51" t="str">
        <x:v>Public procuring entities</x:v>
      </x:c>
      <x:c r="C357" s="51" t="str">
        <x:v>Government procurement group</x:v>
      </x:c>
      <x:c r="D357" s="51" t="str">
        <x:v>International</x:v>
      </x:c>
      <x:c r="E357" s="51" t="str">
        <x:v>Check eligibility and award public contracts</x:v>
      </x:c>
      <x:c r="F357" s="51" t="str"/>
    </x:row>
    <x:row r="358">
      <x:c r="A358" s="51" t="str">
        <x:v>ACT-GOVERNMENTSPONSOREDENTER</x:v>
      </x:c>
      <x:c r="B358" s="51" t="str">
        <x:v>Government-sponsored enterprises</x:v>
      </x:c>
      <x:c r="C358" s="51" t="str">
        <x:v>Government-linked financial institution group</x:v>
      </x:c>
      <x:c r="D358" s="51" t="str">
        <x:v>United States</x:v>
      </x:c>
      <x:c r="E358" s="51" t="str">
        <x:v>Participate as major cash lenders and borrowers in short-term funding markets</x:v>
      </x:c>
      <x:c r="F358" s="51" t="str"/>
    </x:row>
    <x:row r="359">
      <x:c r="A359" s="51" t="str">
        <x:v>ACT-TREASURYMARKETPARTICIPAN</x:v>
      </x:c>
      <x:c r="B359" s="51" t="str">
        <x:v>Treasury market participants</x:v>
      </x:c>
      <x:c r="C359" s="51" t="str">
        <x:v>Government-securities market group</x:v>
      </x:c>
      <x:c r="D359" s="51" t="str">
        <x:v>International</x:v>
      </x:c>
      <x:c r="E359" s="51" t="str">
        <x:v>Trade, finance and clear U.S. Treasury securities</x:v>
      </x:c>
      <x:c r="F359" s="51" t="str"/>
    </x:row>
    <x:row r="360">
      <x:c r="A360" s="51" t="str">
        <x:v>ACT-TREASURYCOLLATERAL</x:v>
      </x:c>
      <x:c r="B360" s="51" t="str">
        <x:v>Treasury collateral</x:v>
      </x:c>
      <x:c r="C360" s="51" t="str">
        <x:v>Government-security collateral category</x:v>
      </x:c>
      <x:c r="D360" s="51" t="str">
        <x:v>United States / international</x:v>
      </x:c>
      <x:c r="E360" s="51" t="str">
        <x:v>Secures repo and central-bank transactions</x:v>
      </x:c>
      <x:c r="F360" s="51" t="str"/>
    </x:row>
    <x:row r="361">
      <x:c r="A361" s="51" t="str">
        <x:v>ACT-ONEGOVSTRATEGY</x:v>
      </x:c>
      <x:c r="B361" s="51" t="str">
        <x:v>OneGov Strategy</x:v>
      </x:c>
      <x:c r="C361" s="51" t="str">
        <x:v>Governmentwide procurement strategy</x:v>
      </x:c>
      <x:c r="D361" s="51" t="str">
        <x:v>United States</x:v>
      </x:c>
      <x:c r="E361" s="51" t="str">
        <x:v>Consolidates recurring federal technology and commodity purchases through GSA</x:v>
      </x:c>
      <x:c r="F361" s="51" t="str"/>
    </x:row>
    <x:row r="362">
      <x:c r="A362" s="51" t="str">
        <x:v>ACT-CZIGRANTEESANDVENTUREREC</x:v>
      </x:c>
      <x:c r="B362" s="51" t="str">
        <x:v>CZI grantees and venture recipients</x:v>
      </x:c>
      <x:c r="C362" s="51" t="str">
        <x:v>Grant and investment recipient group</x:v>
      </x:c>
      <x:c r="D362" s="51" t="str">
        <x:v>International</x:v>
      </x:c>
      <x:c r="E362" s="51" t="str">
        <x:v>Receive CZI grants or mission-related investment</x:v>
      </x:c>
      <x:c r="F362" s="51" t="str"/>
    </x:row>
    <x:row r="363">
      <x:c r="A363" s="51" t="str">
        <x:v>ACT-BLOOMBERGPHILANTHROPIESG</x:v>
      </x:c>
      <x:c r="B363" s="51" t="str">
        <x:v>Bloomberg Philanthropies grantees and city partners</x:v>
      </x:c>
      <x:c r="C363" s="51" t="str">
        <x:v>Grant and programme recipient group</x:v>
      </x:c>
      <x:c r="D363" s="51" t="str">
        <x:v>International</x:v>
      </x:c>
      <x:c r="E363" s="51" t="str">
        <x:v>Receive philanthropic capital and technical support</x:v>
      </x:c>
      <x:c r="F363" s="51" t="str"/>
    </x:row>
    <x:row r="364">
      <x:c r="A364" s="51" t="str">
        <x:v>ACT-OPENPHILANTHROPY</x:v>
      </x:c>
      <x:c r="B364" s="51" t="str">
        <x:v>Open Philanthropy</x:v>
      </x:c>
      <x:c r="C364" s="51" t="str">
        <x:v>Grantmaking organisation</x:v>
      </x:c>
      <x:c r="D364" s="51" t="str">
        <x:v>United States / international</x:v>
      </x:c>
      <x:c r="E364" s="51" t="str">
        <x:v>Funds global health, biosecurity, AI governance and other cause areas</x:v>
      </x:c>
      <x:c r="F364" s="51" t="str"/>
    </x:row>
    <x:row r="365">
      <x:c r="A365" s="51" t="str">
        <x:v>ACT-AIDATACENTERINTERCONNECT</x:v>
      </x:c>
      <x:c r="B365" s="51" t="str">
        <x:v>AI data-center interconnection queues</x:v>
      </x:c>
      <x:c r="C365" s="51" t="str">
        <x:v>Grid access process</x:v>
      </x:c>
      <x:c r="D365" s="51" t="str">
        <x:v>International</x:v>
      </x:c>
      <x:c r="E365" s="51" t="str">
        <x:v>Govern timing and conditions for connecting large electric loads</x:v>
      </x:c>
      <x:c r="F365" s="51" t="str"/>
    </x:row>
    <x:row r="366">
      <x:c r="A366" s="51" t="str">
        <x:v>ACT-SATELLITEGATEWAYSTATIONS</x:v>
      </x:c>
      <x:c r="B366" s="51" t="str">
        <x:v>Satellite gateway stations</x:v>
      </x:c>
      <x:c r="C366" s="51" t="str">
        <x:v>Ground infrastructure group</x:v>
      </x:c>
      <x:c r="D366" s="51" t="str">
        <x:v>International</x:v>
      </x:c>
      <x:c r="E366" s="51" t="str">
        <x:v>Connect satellites to terrestrial fiber and cloud networks</x:v>
      </x:c>
      <x:c r="F366" s="51" t="str"/>
    </x:row>
    <x:row r="367">
      <x:c r="A367" s="51" t="str">
        <x:v>ACT-PROPERTYTAXPAYERS</x:v>
      </x:c>
      <x:c r="B367" s="51" t="str">
        <x:v>Property taxpayers</x:v>
      </x:c>
      <x:c r="C367" s="51" t="str">
        <x:v>Household and business group</x:v>
      </x:c>
      <x:c r="D367" s="51" t="str">
        <x:v>United States</x:v>
      </x:c>
      <x:c r="E367" s="51" t="str">
        <x:v>Pay recurring taxes based on assessed property values</x:v>
      </x:c>
      <x:c r="F367" s="51" t="str"/>
    </x:row>
    <x:row r="368">
      <x:c r="A368" s="51" t="str">
        <x:v>ACT-MORTGAGEBORROWERSANDHOME</x:v>
      </x:c>
      <x:c r="B368" s="51" t="str">
        <x:v>Mortgage borrowers and homebuyers</x:v>
      </x:c>
      <x:c r="C368" s="51" t="str">
        <x:v>Household borrower group</x:v>
      </x:c>
      <x:c r="D368" s="51" t="str">
        <x:v>United States</x:v>
      </x:c>
      <x:c r="E368" s="51" t="str">
        <x:v>Purchase property and assume mortgage obligations</x:v>
      </x:c>
      <x:c r="F368" s="51" t="str"/>
    </x:row>
    <x:row r="369">
      <x:c r="A369" s="51" t="str">
        <x:v>ACT-RENTALHOUSINGTENANTS</x:v>
      </x:c>
      <x:c r="B369" s="51" t="str">
        <x:v>Rental housing tenants</x:v>
      </x:c>
      <x:c r="C369" s="51" t="str">
        <x:v>Household group</x:v>
      </x:c>
      <x:c r="D369" s="51" t="str">
        <x:v>United States / international</x:v>
      </x:c>
      <x:c r="E369" s="51" t="str">
        <x:v>Pay rent and depend on landlord service, renewal and eviction decisions</x:v>
      </x:c>
      <x:c r="F369" s="51" t="str"/>
    </x:row>
    <x:row r="370">
      <x:c r="A370" s="51" t="str">
        <x:v>ACT-FEDERALHOUSINGFINANCEAGE</x:v>
      </x:c>
      <x:c r="B370" s="51" t="str">
        <x:v>Federal Housing Finance Agency</x:v>
      </x:c>
      <x:c r="C370" s="51" t="str">
        <x:v>Housing finance regulator and conservator</x:v>
      </x:c>
      <x:c r="D370" s="51" t="str">
        <x:v>United States</x:v>
      </x:c>
      <x:c r="E370" s="51" t="str">
        <x:v>Regulates Fannie Mae, Freddie Mac and the Federal Home Loan Banks</x:v>
      </x:c>
      <x:c r="F370" s="51" t="str"/>
    </x:row>
    <x:row r="371">
      <x:c r="A371" s="51" t="str">
        <x:v>ACT-FEDERALHOMELOANBANKS</x:v>
      </x:c>
      <x:c r="B371" s="51" t="str">
        <x:v>Federal Home Loan Banks</x:v>
      </x:c>
      <x:c r="C371" s="51" t="str">
        <x:v>Housing government-sponsored bank system</x:v>
      </x:c>
      <x:c r="D371" s="51" t="str">
        <x:v>United States</x:v>
      </x:c>
      <x:c r="E371" s="51" t="str">
        <x:v>Provide collateralised advances and housing programmes to members</x:v>
      </x:c>
      <x:c r="F371" s="51" t="str"/>
    </x:row>
    <x:row r="372">
      <x:c r="A372" s="51" t="str">
        <x:v>ACT-FANNIEMAE</x:v>
      </x:c>
      <x:c r="B372" s="51" t="str">
        <x:v>Fannie Mae</x:v>
      </x:c>
      <x:c r="C372" s="51" t="str">
        <x:v>Housing government-sponsored enterprise</x:v>
      </x:c>
      <x:c r="D372" s="51" t="str">
        <x:v>United States</x:v>
      </x:c>
      <x:c r="E372" s="51" t="str">
        <x:v>Purchases, guarantees and securitises mortgages</x:v>
      </x:c>
      <x:c r="F372" s="51" t="str"/>
    </x:row>
    <x:row r="373">
      <x:c r="A373" s="51" t="str">
        <x:v>ACT-FREDDIEMAC</x:v>
      </x:c>
      <x:c r="B373" s="51" t="str">
        <x:v>Freddie Mac</x:v>
      </x:c>
      <x:c r="C373" s="51" t="str">
        <x:v>Housing government-sponsored enterprise</x:v>
      </x:c>
      <x:c r="D373" s="51" t="str">
        <x:v>United States</x:v>
      </x:c>
      <x:c r="E373" s="51" t="str">
        <x:v>Purchases, guarantees and securitises mortgages</x:v>
      </x:c>
      <x:c r="F373" s="51" t="str"/>
    </x:row>
    <x:row r="374">
      <x:c r="A374" s="51" t="str">
        <x:v>ACT-AADHAARAUTHENTICATIONSER</x:v>
      </x:c>
      <x:c r="B374" s="51" t="str">
        <x:v>Aadhaar Authentication Service Agencies</x:v>
      </x:c>
      <x:c r="C374" s="51" t="str">
        <x:v>Identity infrastructure intermediary group</x:v>
      </x:c>
      <x:c r="D374" s="51" t="str">
        <x:v>India</x:v>
      </x:c>
      <x:c r="E374" s="51" t="str">
        <x:v>Provide secure network connectivity between requesting agencies and UIDAI</x:v>
      </x:c>
      <x:c r="F374" s="51" t="str"/>
    </x:row>
    <x:row r="375">
      <x:c r="A375" s="51" t="str">
        <x:v>ACT-USCITIZENSHIPANDIMMIGRAT</x:v>
      </x:c>
      <x:c r="B375" s="51" t="str">
        <x:v>US Citizenship and Immigration Services</x:v>
      </x:c>
      <x:c r="C375" s="51" t="str">
        <x:v>Immigration authority</x:v>
      </x:c>
      <x:c r="D375" s="51" t="str">
        <x:v>United States</x:v>
      </x:c>
      <x:c r="E375" s="51" t="str">
        <x:v>Administers employment and talent immigration pathways</x:v>
      </x:c>
      <x:c r="F375" s="51" t="str"/>
    </x:row>
    <x:row r="376">
      <x:c r="A376" s="51" t="str">
        <x:v>ACT-GLOBALMINIMUMTAXCENTRALR</x:v>
      </x:c>
      <x:c r="B376" s="51" t="str">
        <x:v>Global Minimum Tax Central Record</x:v>
      </x:c>
      <x:c r="C376" s="51" t="str">
        <x:v>Implementation registry</x:v>
      </x:c>
      <x:c r="D376" s="51" t="str">
        <x:v>International</x:v>
      </x:c>
      <x:c r="E376" s="51" t="str">
        <x:v>Records legislation receiving transitional qualified status</x:v>
      </x:c>
      <x:c r="F376" s="51" t="str"/>
    </x:row>
    <x:row r="377">
      <x:c r="A377" s="51" t="str">
        <x:v>ACT-FEDERALELECTIONCOMMISSIO</x:v>
      </x:c>
      <x:c r="B377" s="51" t="str">
        <x:v>Federal Election Commission</x:v>
      </x:c>
      <x:c r="C377" s="51" t="str">
        <x:v>Independent federal regulatory agency</x:v>
      </x:c>
      <x:c r="D377" s="51" t="str">
        <x:v>United States</x:v>
      </x:c>
      <x:c r="E377" s="51" t="str">
        <x:v>Administers federal campaign-finance disclosure and enforcement</x:v>
      </x:c>
      <x:c r="F377" s="51" t="str"/>
    </x:row>
    <x:row r="378">
      <x:c r="A378" s="51" t="str">
        <x:v>ACT-USINTERNATIONALTRADECOMM</x:v>
      </x:c>
      <x:c r="B378" s="51" t="str">
        <x:v>U.S. International Trade Commission</x:v>
      </x:c>
      <x:c r="C378" s="51" t="str">
        <x:v>Independent trade adjudicative agency</x:v>
      </x:c>
      <x:c r="D378" s="51" t="str">
        <x:v>United States</x:v>
      </x:c>
      <x:c r="E378" s="51" t="str">
        <x:v>Conducts Section 337 investigations and can issue exclusion and cease-and-desist orders</x:v>
      </x:c>
      <x:c r="F378" s="51" t="str"/>
    </x:row>
    <x:row r="379">
      <x:c r="A379" s="51" t="str">
        <x:v>ACT-MSCI</x:v>
      </x:c>
      <x:c r="B379" s="51" t="str">
        <x:v>MSCI</x:v>
      </x:c>
      <x:c r="C379" s="51" t="str">
        <x:v>Index and analytics provider</x:v>
      </x:c>
      <x:c r="D379" s="51" t="str">
        <x:v>United States / international</x:v>
      </x:c>
      <x:c r="E379" s="51" t="str">
        <x:v>Global equity and fixed-income index provider</x:v>
      </x:c>
      <x:c r="F379" s="51" t="str"/>
    </x:row>
    <x:row r="380">
      <x:c r="A380" s="51" t="str">
        <x:v>ACT-FTSERUSSELL</x:v>
      </x:c>
      <x:c r="B380" s="51" t="str">
        <x:v>FTSE Russell</x:v>
      </x:c>
      <x:c r="C380" s="51" t="str">
        <x:v>Index provider</x:v>
      </x:c>
      <x:c r="D380" s="51" t="str">
        <x:v>United Kingdom / international</x:v>
      </x:c>
      <x:c r="E380" s="51" t="str">
        <x:v>LSEG index and country-classification business</x:v>
      </x:c>
      <x:c r="F380" s="51" t="str"/>
    </x:row>
    <x:row r="381">
      <x:c r="A381" s="51" t="str">
        <x:v>ACT-SPDOWJONESINDICES</x:v>
      </x:c>
      <x:c r="B381" s="51" t="str">
        <x:v>S&amp;P Dow Jones Indices</x:v>
      </x:c>
      <x:c r="C381" s="51" t="str">
        <x:v>Index provider</x:v>
      </x:c>
      <x:c r="D381" s="51" t="str">
        <x:v>United States / international</x:v>
      </x:c>
      <x:c r="E381" s="51" t="str">
        <x:v>Major equity, commodity and strategy benchmark provider</x:v>
      </x:c>
      <x:c r="F381" s="51" t="str"/>
    </x:row>
    <x:row r="382">
      <x:c r="A382" s="51" t="str">
        <x:v>ACT-SKGROUP</x:v>
      </x:c>
      <x:c r="B382" s="51" t="str">
        <x:v>SK Group</x:v>
      </x:c>
      <x:c r="C382" s="51" t="str">
        <x:v>Industrial and technology conglomerate</x:v>
      </x:c>
      <x:c r="D382" s="51" t="str">
        <x:v>South Korea</x:v>
      </x:c>
      <x:c r="E382" s="51" t="str">
        <x:v>Memory, telecom, energy and data-centre investor</x:v>
      </x:c>
      <x:c r="F382" s="51" t="str"/>
    </x:row>
    <x:row r="383">
      <x:c r="A383" s="51" t="str">
        <x:v>ACT-CRITICALMINERALREFININGS</x:v>
      </x:c>
      <x:c r="B383" s="51" t="str">
        <x:v>Critical-mineral refining system</x:v>
      </x:c>
      <x:c r="C383" s="51" t="str">
        <x:v>Industrial chokepoint</x:v>
      </x:c>
      <x:c r="D383" s="51" t="str">
        <x:v>Global / China-centred</x:v>
      </x:c>
      <x:c r="E383" s="51" t="str">
        <x:v>Converts mined materials into strategic inputs</x:v>
      </x:c>
      <x:c r="F383" s="51" t="str"/>
    </x:row>
    <x:row r="384">
      <x:c r="A384" s="51" t="str">
        <x:v>ACT-ADVANCEDAIACCELERATORSUP</x:v>
      </x:c>
      <x:c r="B384" s="51" t="str">
        <x:v>Advanced AI accelerator supply chain</x:v>
      </x:c>
      <x:c r="C384" s="51" t="str">
        <x:v>Industrial ecosystem</x:v>
      </x:c>
      <x:c r="D384" s="51" t="str">
        <x:v>International</x:v>
      </x:c>
      <x:c r="E384" s="51" t="str">
        <x:v>Connects design, lithography, fabrication, packaging, memory, networking and systems</x:v>
      </x:c>
      <x:c r="F384" s="51" t="str"/>
    </x:row>
    <x:row r="385">
      <x:c r="A385" s="51" t="str">
        <x:v>ACT-CHIPSPROGRAMOFFICE</x:v>
      </x:c>
      <x:c r="B385" s="51" t="str">
        <x:v>CHIPS Program Office</x:v>
      </x:c>
      <x:c r="C385" s="51" t="str">
        <x:v>Industrial policy programme office</x:v>
      </x:c>
      <x:c r="D385" s="51" t="str">
        <x:v>United States</x:v>
      </x:c>
      <x:c r="E385" s="51" t="str">
        <x:v>Administers semiconductor manufacturing incentives</x:v>
      </x:c>
      <x:c r="F385" s="51" t="str"/>
    </x:row>
    <x:row r="386">
      <x:c r="A386" s="51" t="str">
        <x:v>ACT-CHIPSRESEARCHANDDEVELOPM</x:v>
      </x:c>
      <x:c r="B386" s="51" t="str">
        <x:v>CHIPS Research and Development Office</x:v>
      </x:c>
      <x:c r="C386" s="51" t="str">
        <x:v>Industrial policy programme office</x:v>
      </x:c>
      <x:c r="D386" s="51" t="str">
        <x:v>United States</x:v>
      </x:c>
      <x:c r="E386" s="51" t="str">
        <x:v>Administers semiconductor research and development investments</x:v>
      </x:c>
      <x:c r="F386" s="51" t="str"/>
    </x:row>
    <x:row r="387">
      <x:c r="A387" s="51" t="str">
        <x:v>ACT-MOBILENETWORKOPERATORSAN</x:v>
      </x:c>
      <x:c r="B387" s="51" t="str">
        <x:v>Mobile network operators and vendors</x:v>
      </x:c>
      <x:c r="C387" s="51" t="str">
        <x:v>Industry group</x:v>
      </x:c>
      <x:c r="D387" s="51" t="str">
        <x:v>International</x:v>
      </x:c>
      <x:c r="E387" s="51" t="str">
        <x:v>Implement 3GPP specifications in networks and equipment</x:v>
      </x:c>
      <x:c r="F387" s="51" t="str"/>
    </x:row>
    <x:row r="388">
      <x:c r="A388" s="51" t="str">
        <x:v>ACT-RELX</x:v>
      </x:c>
      <x:c r="B388" s="51" t="str">
        <x:v>RELX</x:v>
      </x:c>
      <x:c r="C388" s="51" t="str">
        <x:v>Information and analytics company</x:v>
      </x:c>
      <x:c r="D388" s="51" t="str">
        <x:v>United Kingdom / international</x:v>
      </x:c>
      <x:c r="E388" s="51" t="str">
        <x:v>Parent group of LexisNexis businesses</x:v>
      </x:c>
      <x:c r="F388" s="51" t="str"/>
    </x:row>
    <x:row r="389">
      <x:c r="A389" s="51" t="str">
        <x:v>ACT-GLOBALINFRASTRUCTUREPART</x:v>
      </x:c>
      <x:c r="B389" s="51" t="str">
        <x:v>Global Infrastructure Partners</x:v>
      </x:c>
      <x:c r="C389" s="51" t="str">
        <x:v>Infrastructure investor</x:v>
      </x:c>
      <x:c r="D389" s="51" t="str">
        <x:v>Global / United States</x:v>
      </x:c>
      <x:c r="E389" s="51" t="str">
        <x:v>Infrastructure investment and ownership</x:v>
      </x:c>
      <x:c r="F389" s="51" t="str"/>
    </x:row>
    <x:row r="390">
      <x:c r="A390" s="51" t="str">
        <x:v>ACT-SUBMARINECABLEOWNERSANDC</x:v>
      </x:c>
      <x:c r="B390" s="51" t="str">
        <x:v>Submarine cable owners and consortia</x:v>
      </x:c>
      <x:c r="C390" s="51" t="str">
        <x:v>Infrastructure ownership group</x:v>
      </x:c>
      <x:c r="D390" s="51" t="str">
        <x:v>International</x:v>
      </x:c>
      <x:c r="E390" s="51" t="str">
        <x:v>Own fiber pairs and capacity on subsea systems</x:v>
      </x:c>
      <x:c r="F390" s="51" t="str"/>
    </x:row>
    <x:row r="391">
      <x:c r="A391" s="51" t="str">
        <x:v>ACT-CROSSBORDERINSOLVENCYREP</x:v>
      </x:c>
      <x:c r="B391" s="51" t="str">
        <x:v>Cross-border insolvency representatives</x:v>
      </x:c>
      <x:c r="C391" s="51" t="str">
        <x:v>Insolvency officeholder group</x:v>
      </x:c>
      <x:c r="D391" s="51" t="str">
        <x:v>International</x:v>
      </x:c>
      <x:c r="E391" s="51" t="str">
        <x:v>Seek recognition and cooperation in foreign insolvency proceedings</x:v>
      </x:c>
      <x:c r="F391" s="51" t="str"/>
    </x:row>
    <x:row r="392">
      <x:c r="A392" s="51" t="str">
        <x:v>ACT-RTPNETWORK</x:v>
      </x:c>
      <x:c r="B392" s="51" t="str">
        <x:v>RTP network</x:v>
      </x:c>
      <x:c r="C392" s="51" t="str">
        <x:v>Instant-payment network</x:v>
      </x:c>
      <x:c r="D392" s="51" t="str">
        <x:v>United States</x:v>
      </x:c>
      <x:c r="E392" s="51" t="str">
        <x:v>Provides private-sector real-time clearing and settlement</x:v>
      </x:c>
      <x:c r="F392" s="51" t="str"/>
    </x:row>
    <x:row r="393">
      <x:c r="A393" s="51" t="str">
        <x:v>ACT-FEDNOWSERVICE</x:v>
      </x:c>
      <x:c r="B393" s="51" t="str">
        <x:v>FedNow Service</x:v>
      </x:c>
      <x:c r="C393" s="51" t="str">
        <x:v>Instant-payment settlement system</x:v>
      </x:c>
      <x:c r="D393" s="51" t="str">
        <x:v>United States</x:v>
      </x:c>
      <x:c r="E393" s="51" t="str">
        <x:v>Provides 24/7 interbank instant settlement through Federal Reserve infrastructure</x:v>
      </x:c>
      <x:c r="F393" s="51" t="str"/>
    </x:row>
    <x:row r="394">
      <x:c r="A394" s="51" t="str">
        <x:v>ACT-SANCTIONSCOMPLIANCETEAMS</x:v>
      </x:c>
      <x:c r="B394" s="51" t="str">
        <x:v>Sanctions compliance teams</x:v>
      </x:c>
      <x:c r="C394" s="51" t="str">
        <x:v>Institutional control group</x:v>
      </x:c>
      <x:c r="D394" s="51" t="str">
        <x:v>International</x:v>
      </x:c>
      <x:c r="E394" s="51" t="str">
        <x:v>Screen customers, payments, ownership and transactions</x:v>
      </x:c>
      <x:c r="F394" s="51" t="str"/>
    </x:row>
    <x:row r="395">
      <x:c r="A395" s="51" t="str">
        <x:v>ACT-FINANCIALCRIMECOMPLIANCE</x:v>
      </x:c>
      <x:c r="B395" s="51" t="str">
        <x:v>Financial crime compliance teams</x:v>
      </x:c>
      <x:c r="C395" s="51" t="str">
        <x:v>Institutional risk group</x:v>
      </x:c>
      <x:c r="D395" s="51" t="str">
        <x:v>International</x:v>
      </x:c>
      <x:c r="E395" s="51" t="str">
        <x:v>Screen identity, transactions, sanctions and fraud risk</x:v>
      </x:c>
      <x:c r="F395" s="51" t="str"/>
    </x:row>
    <x:row r="396">
      <x:c r="A396" s="51" t="str">
        <x:v>ACT-MARINEWARRISKINSURERS</x:v>
      </x:c>
      <x:c r="B396" s="51" t="str">
        <x:v>Marine war-risk insurers</x:v>
      </x:c>
      <x:c r="C396" s="51" t="str">
        <x:v>Insurance actor group</x:v>
      </x:c>
      <x:c r="D396" s="51" t="str">
        <x:v>International</x:v>
      </x:c>
      <x:c r="E396" s="51" t="str">
        <x:v>Underwriters that price and permit or restrict navigation through conflict zones</x:v>
      </x:c>
      <x:c r="F396" s="51" t="str"/>
    </x:row>
    <x:row r="397">
      <x:c r="A397" s="51" t="str">
        <x:v>ACT-PRIMARYINSURANCECOMPANIE</x:v>
      </x:c>
      <x:c r="B397" s="51" t="str">
        <x:v>Primary insurance companies</x:v>
      </x:c>
      <x:c r="C397" s="51" t="str">
        <x:v>Insurance actor group</x:v>
      </x:c>
      <x:c r="D397" s="51" t="str">
        <x:v>International</x:v>
      </x:c>
      <x:c r="E397" s="51" t="str">
        <x:v>Originate policies and transfer portions of risk to reinsurers</x:v>
      </x:c>
      <x:c r="F397" s="51" t="str"/>
    </x:row>
    <x:row r="398">
      <x:c r="A398" s="51" t="str">
        <x:v>ACT-LLOYDSMARKET</x:v>
      </x:c>
      <x:c r="B398" s="51" t="str">
        <x:v>Lloyd's market</x:v>
      </x:c>
      <x:c r="C398" s="51" t="str">
        <x:v>Insurance and reinsurance marketplace</x:v>
      </x:c>
      <x:c r="D398" s="51" t="str">
        <x:v>United Kingdom / international</x:v>
      </x:c>
      <x:c r="E398" s="51" t="str">
        <x:v>Provides market infrastructure and capital for marine and other risks</x:v>
      </x:c>
      <x:c r="F398" s="51" t="str"/>
    </x:row>
    <x:row r="399">
      <x:c r="A399" s="51" t="str">
        <x:v>ACT-MARINEWARRISKUNDERWRITIN</x:v>
      </x:c>
      <x:c r="B399" s="51" t="str">
        <x:v>Marine war-risk underwriting consortium</x:v>
      </x:c>
      <x:c r="C399" s="51" t="str">
        <x:v>Insurance capacity consortium</x:v>
      </x:c>
      <x:c r="D399" s="51" t="str">
        <x:v>Lloyd's market / international</x:v>
      </x:c>
      <x:c r="E399" s="51" t="str">
        <x:v>Pools underwriting capacity for Strait of Hormuz vessel and cargo risk</x:v>
      </x:c>
      <x:c r="F399" s="51" t="str"/>
    </x:row>
    <x:row r="400">
      <x:c r="A400" s="51" t="str">
        <x:v>ACT-PRIMARYINSURERS</x:v>
      </x:c>
      <x:c r="B400" s="51" t="str">
        <x:v>Primary insurers</x:v>
      </x:c>
      <x:c r="C400" s="51" t="str">
        <x:v>Insurance company group</x:v>
      </x:c>
      <x:c r="D400" s="51" t="str">
        <x:v>International</x:v>
      </x:c>
      <x:c r="E400" s="51" t="str">
        <x:v>Underwrite direct insurance contracts with policyholders</x:v>
      </x:c>
      <x:c r="F400" s="51" t="str"/>
    </x:row>
    <x:row r="401">
      <x:c r="A401" s="51" t="str">
        <x:v>ACT-TITLEINSURERS</x:v>
      </x:c>
      <x:c r="B401" s="51" t="str">
        <x:v>Title insurers</x:v>
      </x:c>
      <x:c r="C401" s="51" t="str">
        <x:v>Insurance company group</x:v>
      </x:c>
      <x:c r="D401" s="51" t="str">
        <x:v>United States</x:v>
      </x:c>
      <x:c r="E401" s="51" t="str">
        <x:v>Insure lenders or owners against covered pre-existing title defects</x:v>
      </x:c>
      <x:c r="F401" s="51" t="str"/>
    </x:row>
    <x:row r="402">
      <x:c r="A402" s="51" t="str">
        <x:v>ACT-POLICYHOLDERS</x:v>
      </x:c>
      <x:c r="B402" s="51" t="str">
        <x:v>Policyholders</x:v>
      </x:c>
      <x:c r="C402" s="51" t="str">
        <x:v>Insurance customer group</x:v>
      </x:c>
      <x:c r="D402" s="51" t="str">
        <x:v>International</x:v>
      </x:c>
      <x:c r="E402" s="51" t="str">
        <x:v>Pay premiums in exchange for contractual protection</x:v>
      </x:c>
      <x:c r="F402" s="51" t="str"/>
    </x:row>
    <x:row r="403">
      <x:c r="A403" s="51" t="str">
        <x:v>ACT-CHRISTOPHJURECKA</x:v>
      </x:c>
      <x:c r="B403" s="51" t="str">
        <x:v>Christoph Jurecka</x:v>
      </x:c>
      <x:c r="C403" s="51" t="str">
        <x:v>Insurance executive</x:v>
      </x:c>
      <x:c r="D403" s="51" t="str">
        <x:v>Germany</x:v>
      </x:c>
      <x:c r="E403" s="51" t="str">
        <x:v>Chair of the Board of Management of Munich Re</x:v>
      </x:c>
      <x:c r="F403" s="51" t="str"/>
    </x:row>
    <x:row r="404">
      <x:c r="A404" s="51" t="str">
        <x:v>ACT-FARMERSINSURANCEGROUP</x:v>
      </x:c>
      <x:c r="B404" s="51" t="str">
        <x:v>Farmers Insurance Group</x:v>
      </x:c>
      <x:c r="C404" s="51" t="str">
        <x:v>Insurance group</x:v>
      </x:c>
      <x:c r="D404" s="51" t="str">
        <x:v>United States</x:v>
      </x:c>
      <x:c r="E404" s="51" t="str">
        <x:v>Sponsor of catastrophe-risk transfer transactions</x:v>
      </x:c>
      <x:c r="F404" s="51" t="str"/>
    </x:row>
    <x:row r="405">
      <x:c r="A405" s="51" t="str">
        <x:v>ACT-INTERNATIONALLYACTIVEINS</x:v>
      </x:c>
      <x:c r="B405" s="51" t="str">
        <x:v>Internationally active insurance groups</x:v>
      </x:c>
      <x:c r="C405" s="51" t="str">
        <x:v>Insurance group category</x:v>
      </x:c>
      <x:c r="D405" s="51" t="str">
        <x:v>International</x:v>
      </x:c>
      <x:c r="E405" s="51" t="str">
        <x:v>Large cross-border groups subject to group-wide supervision and capital standards</x:v>
      </x:c>
      <x:c r="F405" s="51" t="str"/>
    </x:row>
    <x:row r="406">
      <x:c r="A406" s="51" t="str">
        <x:v>ACT-INSURANCEBROKERS</x:v>
      </x:c>
      <x:c r="B406" s="51" t="str">
        <x:v>Insurance brokers</x:v>
      </x:c>
      <x:c r="C406" s="51" t="str">
        <x:v>Insurance intermediary group</x:v>
      </x:c>
      <x:c r="D406" s="51" t="str">
        <x:v>International</x:v>
      </x:c>
      <x:c r="E406" s="51" t="str">
        <x:v>Place coverage and negotiate insurance and reinsurance terms</x:v>
      </x:c>
      <x:c r="F406" s="51" t="str"/>
    </x:row>
    <x:row r="407">
      <x:c r="A407" s="51" t="str">
        <x:v>ACT-MARINEUNDERWRITERSANDBRO</x:v>
      </x:c>
      <x:c r="B407" s="51" t="str">
        <x:v>Marine underwriters and brokers</x:v>
      </x:c>
      <x:c r="C407" s="51" t="str">
        <x:v>Insurance intermediary group</x:v>
      </x:c>
      <x:c r="D407" s="51" t="str">
        <x:v>International</x:v>
      </x:c>
      <x:c r="E407" s="51" t="str">
        <x:v>Price, place and administer hull, cargo and liability cover</x:v>
      </x:c>
      <x:c r="F407" s="51" t="str"/>
    </x:row>
    <x:row r="408">
      <x:c r="A408" s="51" t="str">
        <x:v>ACT-LLOYDSOFLONDON</x:v>
      </x:c>
      <x:c r="B408" s="51" t="str">
        <x:v>Lloyds of London</x:v>
      </x:c>
      <x:c r="C408" s="51" t="str">
        <x:v>Insurance market</x:v>
      </x:c>
      <x:c r="D408" s="51" t="str">
        <x:v>United Kingdom / international</x:v>
      </x:c>
      <x:c r="E408" s="51" t="str">
        <x:v>Market for specialist marine, war and other insurance</x:v>
      </x:c>
      <x:c r="F408" s="51" t="str"/>
    </x:row>
    <x:row r="409">
      <x:c r="A409" s="51" t="str">
        <x:v>ACT-PATRICKTIERNAN</x:v>
      </x:c>
      <x:c r="B409" s="51" t="str">
        <x:v>Patrick Tiernan</x:v>
      </x:c>
      <x:c r="C409" s="51" t="str">
        <x:v>Insurance marketplace executive</x:v>
      </x:c>
      <x:c r="D409" s="51" t="str">
        <x:v>United Kingdom</x:v>
      </x:c>
      <x:c r="E409" s="51" t="str">
        <x:v>Chief Executive Officer of Lloyd's</x:v>
      </x:c>
      <x:c r="F409" s="51" t="str"/>
    </x:row>
    <x:row r="410">
      <x:c r="A410" s="51" t="str">
        <x:v>ACT-CLAIMSADJUSTERSANDLOSSAS</x:v>
      </x:c>
      <x:c r="B410" s="51" t="str">
        <x:v>Claims adjusters and loss assessors</x:v>
      </x:c>
      <x:c r="C410" s="51" t="str">
        <x:v>Insurance professional group</x:v>
      </x:c>
      <x:c r="D410" s="51" t="str">
        <x:v>International</x:v>
      </x:c>
      <x:c r="E410" s="51" t="str">
        <x:v>Investigate and quantify covered losses</x:v>
      </x:c>
      <x:c r="F410" s="51" t="str"/>
    </x:row>
    <x:row r="411">
      <x:c r="A411" s="51" t="str">
        <x:v>ACT-REINSURERS</x:v>
      </x:c>
      <x:c r="B411" s="51" t="str">
        <x:v>Reinsurers</x:v>
      </x:c>
      <x:c r="C411" s="51" t="str">
        <x:v>Insurance risk-transfer company group</x:v>
      </x:c>
      <x:c r="D411" s="51" t="str">
        <x:v>International</x:v>
      </x:c>
      <x:c r="E411" s="51" t="str">
        <x:v>Assume defined portions of insurers' underwriting risk</x:v>
      </x:c>
      <x:c r="F411" s="51" t="str"/>
    </x:row>
    <x:row r="412">
      <x:c r="A412" s="51" t="str">
        <x:v>ACT-LLOYDSMARKETASSOCIATION</x:v>
      </x:c>
      <x:c r="B412" s="51" t="str">
        <x:v>Lloyds Market Association</x:v>
      </x:c>
      <x:c r="C412" s="51" t="str">
        <x:v>Insurance-market association</x:v>
      </x:c>
      <x:c r="D412" s="51" t="str">
        <x:v>United Kingdom</x:v>
      </x:c>
      <x:c r="E412" s="51" t="str">
        <x:v>Association representing underwriting businesses in the Lloyds market</x:v>
      </x:c>
      <x:c r="F412" s="51" t="str"/>
    </x:row>
    <x:row r="413">
      <x:c r="A413" s="51" t="str">
        <x:v>ACT-ENI</x:v>
      </x:c>
      <x:c r="B413" s="51" t="str">
        <x:v>Eni</x:v>
      </x:c>
      <x:c r="C413" s="51" t="str">
        <x:v>Integrated energy company</x:v>
      </x:c>
      <x:c r="D413" s="51" t="str">
        <x:v>Italy / international</x:v>
      </x:c>
      <x:c r="E413" s="51" t="str">
        <x:v>Partner in upstream and gas development projects</x:v>
      </x:c>
      <x:c r="F413" s="51" t="str"/>
    </x:row>
    <x:row r="414">
      <x:c r="A414" s="51" t="str">
        <x:v>ACT-INDIANOILCORPORATION</x:v>
      </x:c>
      <x:c r="B414" s="51" t="str">
        <x:v>Indian Oil Corporation</x:v>
      </x:c>
      <x:c r="C414" s="51" t="str">
        <x:v>Integrated energy company</x:v>
      </x:c>
      <x:c r="D414" s="51" t="str">
        <x:v>India</x:v>
      </x:c>
      <x:c r="E414" s="51" t="str">
        <x:v>Purchases, refines and distributes energy products</x:v>
      </x:c>
      <x:c r="F414" s="51" t="str"/>
    </x:row>
    <x:row r="415">
      <x:c r="A415" s="51" t="str">
        <x:v>ACT-ADNOC</x:v>
      </x:c>
      <x:c r="B415" s="51" t="str">
        <x:v>ADNOC</x:v>
      </x:c>
      <x:c r="C415" s="51" t="str">
        <x:v>Integrated national energy company</x:v>
      </x:c>
      <x:c r="D415" s="51" t="str">
        <x:v>United Arab Emirates</x:v>
      </x:c>
      <x:c r="E415" s="51" t="str">
        <x:v>Develops and commercialises Abu Dhabi oil and gas resources</x:v>
      </x:c>
      <x:c r="F415" s="51" t="str"/>
    </x:row>
    <x:row r="416">
      <x:c r="A416" s="51" t="str">
        <x:v>ACT-QATARENERGY</x:v>
      </x:c>
      <x:c r="B416" s="51" t="str">
        <x:v>QatarEnergy</x:v>
      </x:c>
      <x:c r="C416" s="51" t="str">
        <x:v>Integrated national energy company</x:v>
      </x:c>
      <x:c r="D416" s="51" t="str">
        <x:v>Qatar</x:v>
      </x:c>
      <x:c r="E416" s="51" t="str">
        <x:v>Develops Qatar's gas, LNG, shipping and global marketing system</x:v>
      </x:c>
      <x:c r="F416" s="51" t="str"/>
    </x:row>
    <x:row r="417">
      <x:c r="A417" s="51" t="str">
        <x:v>ACT-SAUDIARAMCO</x:v>
      </x:c>
      <x:c r="B417" s="51" t="str">
        <x:v>Saudi Aramco</x:v>
      </x:c>
      <x:c r="C417" s="51" t="str">
        <x:v>Integrated national energy company</x:v>
      </x:c>
      <x:c r="D417" s="51" t="str">
        <x:v>Saudi Arabia</x:v>
      </x:c>
      <x:c r="E417" s="51" t="str">
        <x:v>Produces, processes, markets and sells Saudi hydrocarbons</x:v>
      </x:c>
      <x:c r="F417" s="51" t="str"/>
    </x:row>
    <x:row r="418">
      <x:c r="A418" s="51" t="str">
        <x:v>ACT-PATENTHOLDERS</x:v>
      </x:c>
      <x:c r="B418" s="51" t="str">
        <x:v>Patent holders</x:v>
      </x:c>
      <x:c r="C418" s="51" t="str">
        <x:v>Intellectual-property owner group</x:v>
      </x:c>
      <x:c r="D418" s="51" t="str">
        <x:v>International</x:v>
      </x:c>
      <x:c r="E418" s="51" t="str">
        <x:v>Hold granted patent rights subject to validity and territorial limits</x:v>
      </x:c>
      <x:c r="F418" s="51" t="str"/>
    </x:row>
    <x:row r="419">
      <x:c r="A419" s="51" t="str">
        <x:v>ACT-NATIONALGEOSPATIALINTELL</x:v>
      </x:c>
      <x:c r="B419" s="51" t="str">
        <x:v>National Geospatial-Intelligence Agency</x:v>
      </x:c>
      <x:c r="C419" s="51" t="str">
        <x:v>Intelligence agency</x:v>
      </x:c>
      <x:c r="D419" s="51" t="str">
        <x:v>United States</x:v>
      </x:c>
      <x:c r="E419" s="51" t="str">
        <x:v>Geospatial intelligence and Maven management</x:v>
      </x:c>
      <x:c r="F419" s="51" t="str"/>
    </x:row>
    <x:row r="420">
      <x:c r="A420" s="51" t="str">
        <x:v>ACT-INTERNETEXCHANGEPOINTS</x:v>
      </x:c>
      <x:c r="B420" s="51" t="str">
        <x:v>Internet exchange points</x:v>
      </x:c>
      <x:c r="C420" s="51" t="str">
        <x:v>Interconnection infrastructure group</x:v>
      </x:c>
      <x:c r="D420" s="51" t="str">
        <x:v>International</x:v>
      </x:c>
      <x:c r="E420" s="51" t="str">
        <x:v>Provide shared switching fabrics for network peering</x:v>
      </x:c>
      <x:c r="F420" s="51" t="str"/>
    </x:row>
    <x:row r="421">
      <x:c r="A421" s="51" t="str">
        <x:v>ACT-PERMANENTCOURTOFARBITRAT</x:v>
      </x:c>
      <x:c r="B421" s="51" t="str">
        <x:v>Permanent Court of Arbitration</x:v>
      </x:c>
      <x:c r="C421" s="51" t="str">
        <x:v>Intergovernmental dispute-resolution institution</x:v>
      </x:c>
      <x:c r="D421" s="51" t="str">
        <x:v>International</x:v>
      </x:c>
      <x:c r="E421" s="51" t="str">
        <x:v>Provides registry and administrative services for state, investor and other arbitrations</x:v>
      </x:c>
      <x:c r="F421" s="51" t="str"/>
    </x:row>
    <x:row r="422">
      <x:c r="A422" s="51" t="str">
        <x:v>ACT-JOINTMINISTERIALMONITORI</x:v>
      </x:c>
      <x:c r="B422" s="51" t="str">
        <x:v>Joint Ministerial Monitoring Committee</x:v>
      </x:c>
      <x:c r="C422" s="51" t="str">
        <x:v>Intergovernmental monitoring committee</x:v>
      </x:c>
      <x:c r="D422" s="51" t="str">
        <x:v>International</x:v>
      </x:c>
      <x:c r="E422" s="51" t="str">
        <x:v>Reviews production data and conformity under the Declaration of Cooperation</x:v>
      </x:c>
      <x:c r="F422" s="51" t="str"/>
    </x:row>
    <x:row r="423">
      <x:c r="A423" s="51" t="str">
        <x:v>ACT-FINANCIALACTIONTASKFORCE</x:v>
      </x:c>
      <x:c r="B423" s="51" t="str">
        <x:v>Financial Action Task Force</x:v>
      </x:c>
      <x:c r="C423" s="51" t="str">
        <x:v>Intergovernmental standards body</x:v>
      </x:c>
      <x:c r="D423" s="51" t="str">
        <x:v>International</x:v>
      </x:c>
      <x:c r="E423" s="51" t="str">
        <x:v>Sets AML/CFT and proliferation-financing standards and evaluates implementation</x:v>
      </x:c>
      <x:c r="F423" s="51" t="str"/>
    </x:row>
    <x:row r="424">
      <x:c r="A424" s="51" t="str">
        <x:v>ACT-CLAUDIASALOMON</x:v>
      </x:c>
      <x:c r="B424" s="51" t="str">
        <x:v>Claudia Salomon</x:v>
      </x:c>
      <x:c r="C424" s="51" t="str">
        <x:v>International arbitration official</x:v>
      </x:c>
      <x:c r="D424" s="51" t="str">
        <x:v>United States / France</x:v>
      </x:c>
      <x:c r="E424" s="51" t="str">
        <x:v>President of the ICC International Court of Arbitration</x:v>
      </x:c>
      <x:c r="F424" s="51" t="str"/>
    </x:row>
    <x:row r="425">
      <x:c r="A425" s="51" t="str">
        <x:v>ACT-MARCINCZEPELAK</x:v>
      </x:c>
      <x:c r="B425" s="51" t="str">
        <x:v>Marcin Czepelak</x:v>
      </x:c>
      <x:c r="C425" s="51" t="str">
        <x:v>International arbitration official</x:v>
      </x:c>
      <x:c r="D425" s="51" t="str">
        <x:v>Poland / international</x:v>
      </x:c>
      <x:c r="E425" s="51" t="str">
        <x:v>Secretary-General of the Permanent Court of Arbitration</x:v>
      </x:c>
      <x:c r="F425" s="51" t="str"/>
    </x:row>
    <x:row r="426">
      <x:c r="A426" s="51" t="str">
        <x:v>ACT-MARTINAPOLASEK</x:v>
      </x:c>
      <x:c r="B426" s="51" t="str">
        <x:v>Martina Polasek</x:v>
      </x:c>
      <x:c r="C426" s="51" t="str">
        <x:v>International arbitration official</x:v>
      </x:c>
      <x:c r="D426" s="51" t="str">
        <x:v>International</x:v>
      </x:c>
      <x:c r="E426" s="51" t="str">
        <x:v>Secretary-General of ICSID</x:v>
      </x:c>
      <x:c r="F426" s="51" t="str"/>
    </x:row>
    <x:row r="427">
      <x:c r="A427" s="51" t="str">
        <x:v>ACT-BASELCOMMITTEEONBANKINGS</x:v>
      </x:c>
      <x:c r="B427" s="51" t="str">
        <x:v>Basel Committee on Banking Supervision</x:v>
      </x:c>
      <x:c r="C427" s="51" t="str">
        <x:v>International banking standard setter</x:v>
      </x:c>
      <x:c r="D427" s="51" t="str">
        <x:v>International</x:v>
      </x:c>
      <x:c r="E427" s="51" t="str">
        <x:v>Develops prudential capital, liquidity and funding standards</x:v>
      </x:c>
      <x:c r="F427" s="51" t="str"/>
    </x:row>
    <x:row r="428">
      <x:c r="A428" s="51" t="str">
        <x:v>ACT-IMF</x:v>
      </x:c>
      <x:c r="B428" s="51" t="str">
        <x:v>IMF</x:v>
      </x:c>
      <x:c r="C428" s="51" t="str">
        <x:v>International financial institution</x:v>
      </x:c>
      <x:c r="D428" s="51" t="str">
        <x:v>International</x:v>
      </x:c>
      <x:c r="E428" s="51" t="str">
        <x:v>Balance-of-payments finance, data and surveillance</x:v>
      </x:c>
      <x:c r="F428" s="51" t="str"/>
    </x:row>
    <x:row r="429">
      <x:c r="A429" s="51" t="str">
        <x:v>ACT-WORLDBANK</x:v>
      </x:c>
      <x:c r="B429" s="51" t="str">
        <x:v>World Bank</x:v>
      </x:c>
      <x:c r="C429" s="51" t="str">
        <x:v>International financial institution</x:v>
      </x:c>
      <x:c r="D429" s="51" t="str">
        <x:v>International</x:v>
      </x:c>
      <x:c r="E429" s="51" t="str">
        <x:v>Development finance and debt-data institution</x:v>
      </x:c>
      <x:c r="F429" s="51" t="str"/>
    </x:row>
    <x:row r="430">
      <x:c r="A430" s="51" t="str">
        <x:v>ACT-MULTILATERALDEVELOPMENTB</x:v>
      </x:c>
      <x:c r="B430" s="51" t="str">
        <x:v>Multilateral development banks</x:v>
      </x:c>
      <x:c r="C430" s="51" t="str">
        <x:v>International financial institution group</x:v>
      </x:c>
      <x:c r="D430" s="51" t="str">
        <x:v>International</x:v>
      </x:c>
      <x:c r="E430" s="51" t="str">
        <x:v>Finance projects and may apply cross-debarment arrangements</x:v>
      </x:c>
      <x:c r="F430" s="51" t="str"/>
    </x:row>
    <x:row r="431">
      <x:c r="A431" s="51" t="str">
        <x:v>ACT-FINANCIALSTABILITYBOARD</x:v>
      </x:c>
      <x:c r="B431" s="51" t="str">
        <x:v>Financial Stability Board</x:v>
      </x:c>
      <x:c r="C431" s="51" t="str">
        <x:v>International financial-stability body</x:v>
      </x:c>
      <x:c r="D431" s="51" t="str">
        <x:v>International</x:v>
      </x:c>
      <x:c r="E431" s="51" t="str">
        <x:v>Coordinates financial-stability standards including CCP resolution</x:v>
      </x:c>
      <x:c r="F431" s="51" t="str"/>
    </x:row>
    <x:row r="432">
      <x:c r="A432" s="51" t="str">
        <x:v>ACT-INTERNATIONALASSOCIATION</x:v>
      </x:c>
      <x:c r="B432" s="51" t="str">
        <x:v>International Association of Insurance Supervisors</x:v>
      </x:c>
      <x:c r="C432" s="51" t="str">
        <x:v>International insurance standard setter</x:v>
      </x:c>
      <x:c r="D432" s="51" t="str">
        <x:v>International</x:v>
      </x:c>
      <x:c r="E432" s="51" t="str">
        <x:v>Develops insurance supervisory principles, ComFrame and the Insurance Capital Standard</x:v>
      </x:c>
      <x:c r="F432" s="51" t="str"/>
    </x:row>
    <x:row r="433">
      <x:c r="A433" s="51" t="str">
        <x:v>ACT-OECDGLOBALFORUMONTAXTRAN</x:v>
      </x:c>
      <x:c r="B433" s="51" t="str">
        <x:v>OECD Global Forum on Tax Transparency</x:v>
      </x:c>
      <x:c r="C433" s="51" t="str">
        <x:v>International monitoring body</x:v>
      </x:c>
      <x:c r="D433" s="51" t="str">
        <x:v>International</x:v>
      </x:c>
      <x:c r="E433" s="51" t="str">
        <x:v>Peer review and technical assistance for tax and ownership transparency</x:v>
      </x:c>
      <x:c r="F433" s="51" t="str"/>
    </x:row>
    <x:row r="434">
      <x:c r="A434" s="51" t="str">
        <x:v>ACT-WORLDECONOMICFORUM</x:v>
      </x:c>
      <x:c r="B434" s="51" t="str">
        <x:v>World Economic Forum</x:v>
      </x:c>
      <x:c r="C434" s="51" t="str">
        <x:v>International organisation</x:v>
      </x:c>
      <x:c r="D434" s="51" t="str">
        <x:v>Switzerland / international</x:v>
      </x:c>
      <x:c r="E434" s="51" t="str">
        <x:v>Institution affected by Brende's Epstein-related resignation</x:v>
      </x:c>
      <x:c r="F434" s="51" t="str"/>
    </x:row>
    <x:row r="435">
      <x:c r="A435" s="51" t="str">
        <x:v>ACT-WORLDINTELLECTUALPROPERT</x:v>
      </x:c>
      <x:c r="B435" s="51" t="str">
        <x:v>World Intellectual Property Organization</x:v>
      </x:c>
      <x:c r="C435" s="51" t="str">
        <x:v>International organisation</x:v>
      </x:c>
      <x:c r="D435" s="51" t="str">
        <x:v>International</x:v>
      </x:c>
      <x:c r="E435" s="51" t="str">
        <x:v>Administers global IP systems and publishes patent landscapes</x:v>
      </x:c>
      <x:c r="F435" s="51" t="str"/>
    </x:row>
    <x:row r="436">
      <x:c r="A436" s="51" t="str">
        <x:v>ACT-DARENTANG</x:v>
      </x:c>
      <x:c r="B436" s="51" t="str">
        <x:v>Daren Tang</x:v>
      </x:c>
      <x:c r="C436" s="51" t="str">
        <x:v>International organisation executive</x:v>
      </x:c>
      <x:c r="D436" s="51" t="str">
        <x:v>Singapore / international</x:v>
      </x:c>
      <x:c r="E436" s="51" t="str">
        <x:v>Director General of WIPO</x:v>
      </x:c>
      <x:c r="F436" s="51" t="str"/>
    </x:row>
    <x:row r="437">
      <x:c r="A437" s="51" t="str">
        <x:v>ACT-MATHIASCORMANN</x:v>
      </x:c>
      <x:c r="B437" s="51" t="str">
        <x:v>Mathias Cormann</x:v>
      </x:c>
      <x:c r="C437" s="51" t="str">
        <x:v>International organisation executive</x:v>
      </x:c>
      <x:c r="D437" s="51" t="str">
        <x:v>Australia / OECD</x:v>
      </x:c>
      <x:c r="E437" s="51" t="str">
        <x:v>Secretary-General of the OECD</x:v>
      </x:c>
      <x:c r="F437" s="51" t="str"/>
    </x:row>
    <x:row r="438">
      <x:c r="A438" s="51" t="str">
        <x:v>ACT-OPECSECRETARIAT</x:v>
      </x:c>
      <x:c r="B438" s="51" t="str">
        <x:v>OPEC Secretariat</x:v>
      </x:c>
      <x:c r="C438" s="51" t="str">
        <x:v>International organisation secretariat</x:v>
      </x:c>
      <x:c r="D438" s="51" t="str">
        <x:v>Vienna, Austria</x:v>
      </x:c>
      <x:c r="E438" s="51" t="str">
        <x:v>Collects data and supports producer coordination</x:v>
      </x:c>
      <x:c r="F438" s="51" t="str"/>
    </x:row>
    <x:row r="439">
      <x:c r="A439" s="51" t="str">
        <x:v>ACT-GILESTHOMSON</x:v>
      </x:c>
      <x:c r="B439" s="51" t="str">
        <x:v>Giles Thomson</x:v>
      </x:c>
      <x:c r="C439" s="51" t="str">
        <x:v>International policy official</x:v>
      </x:c>
      <x:c r="D439" s="51" t="str">
        <x:v>United Kingdom</x:v>
      </x:c>
      <x:c r="E439" s="51" t="str">
        <x:v>FATF President from July 2026 to June 2028</x:v>
      </x:c>
      <x:c r="F439" s="51" t="str"/>
    </x:row>
    <x:row r="440">
      <x:c r="A440" s="51" t="str">
        <x:v>ACT-JONATHANDIXON</x:v>
      </x:c>
      <x:c r="B440" s="51" t="str">
        <x:v>Jonathan Dixon</x:v>
      </x:c>
      <x:c r="C440" s="51" t="str">
        <x:v>International regulatory official</x:v>
      </x:c>
      <x:c r="D440" s="51" t="str">
        <x:v>International</x:v>
      </x:c>
      <x:c r="E440" s="51" t="str">
        <x:v>Secretary General of the IAIS</x:v>
      </x:c>
      <x:c r="F440" s="51" t="str"/>
    </x:row>
    <x:row r="441">
      <x:c r="A441" s="51" t="str">
        <x:v>ACT-INTERNATIONALORGANIZATIO</x:v>
      </x:c>
      <x:c r="B441" s="51" t="str">
        <x:v>International Organization of Securities Commissions</x:v>
      </x:c>
      <x:c r="C441" s="51" t="str">
        <x:v>International securities-standard network</x:v>
      </x:c>
      <x:c r="D441" s="51" t="str">
        <x:v>International</x:v>
      </x:c>
      <x:c r="E441" s="51" t="str">
        <x:v>Develops securities and derivatives-market standards</x:v>
      </x:c>
      <x:c r="F441" s="51" t="str"/>
    </x:row>
    <x:row r="442">
      <x:c r="A442" s="51" t="str">
        <x:v>ACT-FATF</x:v>
      </x:c>
      <x:c r="B442" s="51" t="str">
        <x:v>FATF</x:v>
      </x:c>
      <x:c r="C442" s="51" t="str">
        <x:v>International standard-setting body</x:v>
      </x:c>
      <x:c r="D442" s="51" t="str">
        <x:v>International</x:v>
      </x:c>
      <x:c r="E442" s="51" t="str">
        <x:v>Sets global AML/CFT and beneficial-ownership standards</x:v>
      </x:c>
      <x:c r="F442" s="51" t="str"/>
    </x:row>
    <x:row r="443">
      <x:c r="A443" s="51" t="str">
        <x:v>ACT-COMMITTEEONPAYMENTSANDMA</x:v>
      </x:c>
      <x:c r="B443" s="51" t="str">
        <x:v>Committee on Payments and Market Infrastructures</x:v>
      </x:c>
      <x:c r="C443" s="51" t="str">
        <x:v>International standard-setting committee</x:v>
      </x:c>
      <x:c r="D443" s="51" t="str">
        <x:v>International</x:v>
      </x:c>
      <x:c r="E443" s="51" t="str">
        <x:v>Promotes safety and efficiency of clearing, settlement and payment systems</x:v>
      </x:c>
      <x:c r="F443" s="51" t="str"/>
    </x:row>
    <x:row r="444">
      <x:c r="A444" s="51" t="str">
        <x:v>ACT-IEC</x:v>
      </x:c>
      <x:c r="B444" s="51" t="str">
        <x:v>IEC</x:v>
      </x:c>
      <x:c r="C444" s="51" t="str">
        <x:v>International standards organisation</x:v>
      </x:c>
      <x:c r="D444" s="51" t="str">
        <x:v>International</x:v>
      </x:c>
      <x:c r="E444" s="51" t="str">
        <x:v>Coordinates electrotechnical standards</x:v>
      </x:c>
      <x:c r="F444" s="51" t="str"/>
    </x:row>
    <x:row r="445">
      <x:c r="A445" s="51" t="str">
        <x:v>ACT-ISO</x:v>
      </x:c>
      <x:c r="B445" s="51" t="str">
        <x:v>ISO</x:v>
      </x:c>
      <x:c r="C445" s="51" t="str">
        <x:v>International standards organisation</x:v>
      </x:c>
      <x:c r="D445" s="51" t="str">
        <x:v>International</x:v>
      </x:c>
      <x:c r="E445" s="51" t="str">
        <x:v>Coordinates international technical and management standards</x:v>
      </x:c>
      <x:c r="F445" s="51" t="str"/>
    </x:row>
    <x:row r="446">
      <x:c r="A446" s="51" t="str">
        <x:v>ACT-INTERNATIONALTELECOMMUNI</x:v>
      </x:c>
      <x:c r="B446" s="51" t="str">
        <x:v>International Telecommunication Union</x:v>
      </x:c>
      <x:c r="C446" s="51" t="str">
        <x:v>International standards organisation</x:v>
      </x:c>
      <x:c r="D446" s="51" t="str">
        <x:v>International</x:v>
      </x:c>
      <x:c r="E446" s="51" t="str">
        <x:v>Coordinates telecommunications standards and submarine-cable resilience</x:v>
      </x:c>
      <x:c r="F446" s="51" t="str"/>
    </x:row>
    <x:row r="447">
      <x:c r="A447" s="51" t="str">
        <x:v>ACT-OECDG20INCLUSIVEFRAMEWOR</x:v>
      </x:c>
      <x:c r="B447" s="51" t="str">
        <x:v>OECD/G20 Inclusive Framework on BEPS</x:v>
      </x:c>
      <x:c r="C447" s="51" t="str">
        <x:v>International tax coordination body</x:v>
      </x:c>
      <x:c r="D447" s="51" t="str">
        <x:v>International</x:v>
      </x:c>
      <x:c r="E447" s="51" t="str">
        <x:v>Develops and coordinates global anti-base-erosion and tax-transparency standards</x:v>
      </x:c>
      <x:c r="F447" s="51" t="str"/>
    </x:row>
    <x:row r="448">
      <x:c r="A448" s="51" t="str">
        <x:v>ACT-GLOBALANTIBASEEROSIONRUL</x:v>
      </x:c>
      <x:c r="B448" s="51" t="str">
        <x:v>Global Anti-Base Erosion Rules</x:v>
      </x:c>
      <x:c r="C448" s="51" t="str">
        <x:v>International tax framework</x:v>
      </x:c>
      <x:c r="D448" s="51" t="str">
        <x:v>International</x:v>
      </x:c>
      <x:c r="E448" s="51" t="str">
        <x:v>Pillar Two rules applying a 15% minimum effective tax framework to in-scope groups</x:v>
      </x:c>
      <x:c r="F448" s="51" t="str"/>
    </x:row>
    <x:row r="449">
      <x:c r="A449" s="51" t="str">
        <x:v>ACT-OECDGLOBALFORUMONTRANSPA</x:v>
      </x:c>
      <x:c r="B449" s="51" t="str">
        <x:v>OECD Global Forum on Transparency and Exchange of Information</x:v>
      </x:c>
      <x:c r="C449" s="51" t="str">
        <x:v>International tax-cooperation network</x:v>
      </x:c>
      <x:c r="D449" s="51" t="str">
        <x:v>International</x:v>
      </x:c>
      <x:c r="E449" s="51" t="str">
        <x:v>Coordinates tax transparency and peer review</x:v>
      </x:c>
      <x:c r="F449" s="51" t="str"/>
    </x:row>
    <x:row r="450">
      <x:c r="A450" s="51" t="str">
        <x:v>ACT-INTERNETASSIGNEDNUMBERSA</x:v>
      </x:c>
      <x:c r="B450" s="51" t="str">
        <x:v>Internet Assigned Numbers Authority</x:v>
      </x:c>
      <x:c r="C450" s="51" t="str">
        <x:v>Internet coordination function</x:v>
      </x:c>
      <x:c r="D450" s="51" t="str">
        <x:v>International</x:v>
      </x:c>
      <x:c r="E450" s="51" t="str">
        <x:v>Manages DNS root-zone delegations and trust anchors</x:v>
      </x:c>
      <x:c r="F450" s="51" t="str"/>
    </x:row>
    <x:row r="451">
      <x:c r="A451" s="51" t="str">
        <x:v>ACT-AMSIX</x:v>
      </x:c>
      <x:c r="B451" s="51" t="str">
        <x:v>AMS-IX</x:v>
      </x:c>
      <x:c r="C451" s="51" t="str">
        <x:v>Internet exchange operator</x:v>
      </x:c>
      <x:c r="D451" s="51" t="str">
        <x:v>Netherlands / international</x:v>
      </x:c>
      <x:c r="E451" s="51" t="str">
        <x:v>Operates neutral interconnection platforms</x:v>
      </x:c>
      <x:c r="F451" s="51" t="str"/>
    </x:row>
    <x:row r="452">
      <x:c r="A452" s="51" t="str">
        <x:v>ACT-DECIX</x:v>
      </x:c>
      <x:c r="B452" s="51" t="str">
        <x:v>DE-CIX</x:v>
      </x:c>
      <x:c r="C452" s="51" t="str">
        <x:v>Internet exchange operator</x:v>
      </x:c>
      <x:c r="D452" s="51" t="str">
        <x:v>Germany / international</x:v>
      </x:c>
      <x:c r="E452" s="51" t="str">
        <x:v>Operates Internet and cloud exchanges across global markets</x:v>
      </x:c>
      <x:c r="F452" s="51" t="str"/>
    </x:row>
    <x:row r="453">
      <x:c r="A453" s="51" t="str">
        <x:v>ACT-ICANN</x:v>
      </x:c>
      <x:c r="B453" s="51" t="str">
        <x:v>ICANN</x:v>
      </x:c>
      <x:c r="C453" s="51" t="str">
        <x:v>Internet governance organisation</x:v>
      </x:c>
      <x:c r="D453" s="51" t="str">
        <x:v>International / United States</x:v>
      </x:c>
      <x:c r="E453" s="51" t="str">
        <x:v>Coordinates domain-name system governance and unique identifiers</x:v>
      </x:c>
      <x:c r="F453" s="51" t="str"/>
    </x:row>
    <x:row r="454">
      <x:c r="A454" s="51" t="str">
        <x:v>ACT-IANAFUNCTIONS</x:v>
      </x:c>
      <x:c r="B454" s="51" t="str">
        <x:v>IANA functions</x:v>
      </x:c>
      <x:c r="C454" s="51" t="str">
        <x:v>Internet identifier operations</x:v>
      </x:c>
      <x:c r="D454" s="51" t="str">
        <x:v>International</x:v>
      </x:c>
      <x:c r="E454" s="51" t="str">
        <x:v>Operates root-zone management, DNSSEC trust anchors and number registries</x:v>
      </x:c>
      <x:c r="F454" s="51" t="str"/>
    </x:row>
    <x:row r="455">
      <x:c r="A455" s="51" t="str">
        <x:v>ACT-DNSROOTZONE</x:v>
      </x:c>
      <x:c r="B455" s="51" t="str">
        <x:v>DNS root zone</x:v>
      </x:c>
      <x:c r="C455" s="51" t="str">
        <x:v>Internet infrastructure</x:v>
      </x:c>
      <x:c r="D455" s="51" t="str">
        <x:v>International</x:v>
      </x:c>
      <x:c r="E455" s="51" t="str">
        <x:v>Authoritative top-level-domain delegation layer</x:v>
      </x:c>
      <x:c r="F455" s="51" t="str"/>
    </x:row>
    <x:row r="456">
      <x:c r="A456" s="51" t="str">
        <x:v>ACT-VERISIGN</x:v>
      </x:c>
      <x:c r="B456" s="51" t="str">
        <x:v>Verisign</x:v>
      </x:c>
      <x:c r="C456" s="51" t="str">
        <x:v>Internet infrastructure and registry company</x:v>
      </x:c>
      <x:c r="D456" s="51" t="str">
        <x:v>United States / international</x:v>
      </x:c>
      <x:c r="E456" s="51" t="str">
        <x:v>Operates .com and .net registries and critical DNS infrastructure</x:v>
      </x:c>
      <x:c r="F456" s="51" t="str"/>
    </x:row>
    <x:row r="457">
      <x:c r="A457" s="51" t="str">
        <x:v>ACT-CLOUDFLARE</x:v>
      </x:c>
      <x:c r="B457" s="51" t="str">
        <x:v>Cloudflare</x:v>
      </x:c>
      <x:c r="C457" s="51" t="str">
        <x:v>Internet infrastructure company</x:v>
      </x:c>
      <x:c r="D457" s="51" t="str">
        <x:v>United States / international</x:v>
      </x:c>
      <x:c r="E457" s="51" t="str">
        <x:v>DNS, CDN, security and edge-compute provider</x:v>
      </x:c>
      <x:c r="F457" s="51" t="str"/>
    </x:row>
    <x:row r="458">
      <x:c r="A458" s="51" t="str">
        <x:v>ACT-WORLDBANKINTEGRITYVICEPR</x:v>
      </x:c>
      <x:c r="B458" s="51" t="str">
        <x:v>World Bank Integrity Vice Presidency</x:v>
      </x:c>
      <x:c r="C458" s="51" t="str">
        <x:v>Investigative integrity unit</x:v>
      </x:c>
      <x:c r="D458" s="51" t="str">
        <x:v>International</x:v>
      </x:c>
      <x:c r="E458" s="51" t="str">
        <x:v>Investigates fraud and corruption in World Bank-financed activity</x:v>
      </x:c>
      <x:c r="F458" s="51" t="str"/>
    </x:row>
    <x:row r="459">
      <x:c r="A459" s="51" t="str">
        <x:v>ACT-SOFTBANKGROUP</x:v>
      </x:c>
      <x:c r="B459" s="51" t="str">
        <x:v>SoftBank Group</x:v>
      </x:c>
      <x:c r="C459" s="51" t="str">
        <x:v>Investment and technology holding company</x:v>
      </x:c>
      <x:c r="D459" s="51" t="str">
        <x:v>Japan</x:v>
      </x:c>
      <x:c r="E459" s="51" t="str">
        <x:v>Stargate financial lead and major OpenAI investor</x:v>
      </x:c>
      <x:c r="F459" s="51" t="str"/>
    </x:row>
    <x:row r="460">
      <x:c r="A460" s="51" t="str">
        <x:v>ACT-AIINFRASTRUCTUREPARTNERS</x:v>
      </x:c>
      <x:c r="B460" s="51" t="str">
        <x:v>AI Infrastructure Partnership</x:v>
      </x:c>
      <x:c r="C460" s="51" t="str">
        <x:v>Investment consortium</x:v>
      </x:c>
      <x:c r="D460" s="51" t="str">
        <x:v>International</x:v>
      </x:c>
      <x:c r="E460" s="51" t="str">
        <x:v>Capital formation for AI infrastructure</x:v>
      </x:c>
      <x:c r="F460" s="51" t="str"/>
    </x:row>
    <x:row r="461">
      <x:c r="A461" s="51" t="str">
        <x:v>ACT-ELSTEDCAPITALPARTNERS</x:v>
      </x:c>
      <x:c r="B461" s="51" t="str">
        <x:v>Elsted Capital Partners</x:v>
      </x:c>
      <x:c r="C461" s="51" t="str">
        <x:v>Investment firm</x:v>
      </x:c>
      <x:c r="D461" s="51" t="str">
        <x:v>International</x:v>
      </x:c>
      <x:c r="E461" s="51" t="str">
        <x:v>Lead investor in Carbyne Series B</x:v>
      </x:c>
      <x:c r="F461" s="51" t="str"/>
    </x:row>
    <x:row r="462">
      <x:c r="A462" s="51" t="str">
        <x:v>ACT-AQUA1FOUNDATION</x:v>
      </x:c>
      <x:c r="B462" s="51" t="str">
        <x:v>Aqua 1 Foundation</x:v>
      </x:c>
      <x:c r="C462" s="51" t="str">
        <x:v>Investment fund</x:v>
      </x:c>
      <x:c r="D462" s="51" t="str">
        <x:v>United Arab Emirates / opaque</x:v>
      </x:c>
      <x:c r="E462" s="51" t="str">
        <x:v>Investor in World Liberty tokens</x:v>
      </x:c>
      <x:c r="F462" s="51" t="str"/>
    </x:row>
    <x:row r="463">
      <x:c r="A463" s="51" t="str">
        <x:v>ACT-LUNATE</x:v>
      </x:c>
      <x:c r="B463" s="51" t="str">
        <x:v>Lunate</x:v>
      </x:c>
      <x:c r="C463" s="51" t="str">
        <x:v>Investment manager</x:v>
      </x:c>
      <x:c r="D463" s="51" t="str">
        <x:v>United Arab Emirates</x:v>
      </x:c>
      <x:c r="E463" s="51" t="str">
        <x:v>Abu Dhabi investment manager and Affinity investor</x:v>
      </x:c>
      <x:c r="F463" s="51" t="str"/>
    </x:row>
    <x:row r="464">
      <x:c r="A464" s="51" t="str">
        <x:v>ACT-ICSIDTRIBUNALS</x:v>
      </x:c>
      <x:c r="B464" s="51" t="str">
        <x:v>ICSID tribunals</x:v>
      </x:c>
      <x:c r="C464" s="51" t="str">
        <x:v>Investment-arbitration tribunal group</x:v>
      </x:c>
      <x:c r="D464" s="51" t="str">
        <x:v>International</x:v>
      </x:c>
      <x:c r="E464" s="51" t="str">
        <x:v>Decide disputes between qualifying investors and states</x:v>
      </x:c>
      <x:c r="F464" s="51" t="str"/>
    </x:row>
    <x:row r="465">
      <x:c r="A465" s="51" t="str">
        <x:v>ACT-MONEYMARKETFUNDINVESTORS</x:v>
      </x:c>
      <x:c r="B465" s="51" t="str">
        <x:v>Money market fund investors</x:v>
      </x:c>
      <x:c r="C465" s="51" t="str">
        <x:v>Investment-fund shareholder group</x:v>
      </x:c>
      <x:c r="D465" s="51" t="str">
        <x:v>United States / international</x:v>
      </x:c>
      <x:c r="E465" s="51" t="str">
        <x:v>Hold redeemable fund shares that are not bank deposits</x:v>
      </x:c>
      <x:c r="F465" s="51" t="str"/>
    </x:row>
    <x:row r="466">
      <x:c r="A466" s="51" t="str">
        <x:v>ACT-TAXCREDITTRANSFEREES</x:v>
      </x:c>
      <x:c r="B466" s="51" t="str">
        <x:v>Tax credit transferees</x:v>
      </x:c>
      <x:c r="C466" s="51" t="str">
        <x:v>Investor and taxpayer group</x:v>
      </x:c>
      <x:c r="D466" s="51" t="str">
        <x:v>United States</x:v>
      </x:c>
      <x:c r="E466" s="51" t="str">
        <x:v>Buy eligible transferable tax credits for cash</x:v>
      </x:c>
      <x:c r="F466" s="51" t="str"/>
    </x:row>
    <x:row r="467">
      <x:c r="A467" s="51" t="str">
        <x:v>ACT-BENEFICIALSECURITIESOWNE</x:v>
      </x:c>
      <x:c r="B467" s="51" t="str">
        <x:v>Beneficial securities owners</x:v>
      </x:c>
      <x:c r="C467" s="51" t="str">
        <x:v>Investor group</x:v>
      </x:c>
      <x:c r="D467" s="51" t="str">
        <x:v>International</x:v>
      </x:c>
      <x:c r="E467" s="51" t="str">
        <x:v>Hold economic interests through intermediated securities accounts</x:v>
      </x:c>
      <x:c r="F467" s="51" t="str"/>
    </x:row>
    <x:row r="468">
      <x:c r="A468" s="51" t="str">
        <x:v>ACT-CORPORATESTOCKHOLDERS</x:v>
      </x:c>
      <x:c r="B468" s="51" t="str">
        <x:v>Corporate stockholders</x:v>
      </x:c>
      <x:c r="C468" s="51" t="str">
        <x:v>Investor group</x:v>
      </x:c>
      <x:c r="D468" s="51" t="str">
        <x:v>International</x:v>
      </x:c>
      <x:c r="E468" s="51" t="str">
        <x:v>Hold voting, economic and litigation rights defined by law and governing documents</x:v>
      </x:c>
      <x:c r="F468" s="51" t="str"/>
    </x:row>
    <x:row r="469">
      <x:c r="A469" s="51" t="str">
        <x:v>ACT-FOREIGNINVESTORS</x:v>
      </x:c>
      <x:c r="B469" s="51" t="str">
        <x:v>Foreign investors</x:v>
      </x:c>
      <x:c r="C469" s="51" t="str">
        <x:v>Investor group</x:v>
      </x:c>
      <x:c r="D469" s="51" t="str">
        <x:v>International</x:v>
      </x:c>
      <x:c r="E469" s="51" t="str">
        <x:v>Bring investment claims under treaties, contracts or laws</x:v>
      </x:c>
      <x:c r="F469" s="51" t="str"/>
    </x:row>
    <x:row r="470">
      <x:c r="A470" s="51" t="str">
        <x:v>ACT-MUNICIPALBONDHOLDERS</x:v>
      </x:c>
      <x:c r="B470" s="51" t="str">
        <x:v>Municipal bondholders</x:v>
      </x:c>
      <x:c r="C470" s="51" t="str">
        <x:v>Investor group</x:v>
      </x:c>
      <x:c r="D470" s="51" t="str">
        <x:v>United States / international</x:v>
      </x:c>
      <x:c r="E470" s="51" t="str">
        <x:v>Provide capital to public issuers in exchange for debt claims</x:v>
      </x:c>
      <x:c r="F470" s="51" t="str"/>
    </x:row>
    <x:row r="471">
      <x:c r="A471" s="51" t="str">
        <x:v>ACT-REITANDPRIVATEREALESTATE</x:v>
      </x:c>
      <x:c r="B471" s="51" t="str">
        <x:v>REIT and private real-estate investors</x:v>
      </x:c>
      <x:c r="C471" s="51" t="str">
        <x:v>Investor group</x:v>
      </x:c>
      <x:c r="D471" s="51" t="str">
        <x:v>International</x:v>
      </x:c>
      <x:c r="E471" s="51" t="str">
        <x:v>Supply equity and debt capital to institutional property portfolios</x:v>
      </x:c>
      <x:c r="F471" s="51" t="str"/>
    </x:row>
    <x:row r="472">
      <x:c r="A472" s="51" t="str">
        <x:v>ACT-INDEXTRACKINGFUNDS</x:v>
      </x:c>
      <x:c r="B472" s="51" t="str">
        <x:v>Index-tracking funds</x:v>
      </x:c>
      <x:c r="C472" s="51" t="str">
        <x:v>Investor vehicle group</x:v>
      </x:c>
      <x:c r="D472" s="51" t="str">
        <x:v>International</x:v>
      </x:c>
      <x:c r="E472" s="51" t="str">
        <x:v>Funds required or designed to follow index constituents and weights</x:v>
      </x:c>
      <x:c r="F472" s="51" t="str"/>
    </x:row>
    <x:row r="473">
      <x:c r="A473" s="51" t="str">
        <x:v>ACT-ICSID</x:v>
      </x:c>
      <x:c r="B473" s="51" t="str">
        <x:v>ICSID</x:v>
      </x:c>
      <x:c r="C473" s="51" t="str">
        <x:v>Investor-state arbitral institution</x:v>
      </x:c>
      <x:c r="D473" s="51" t="str">
        <x:v>International / World Bank Group</x:v>
      </x:c>
      <x:c r="E473" s="51" t="str">
        <x:v>Administers treaty and investment disputes</x:v>
      </x:c>
      <x:c r="F473" s="51" t="str"/>
    </x:row>
    <x:row r="474">
      <x:c r="A474" s="51" t="str">
        <x:v>ACT-FEDERALCOURTS</x:v>
      </x:c>
      <x:c r="B474" s="51" t="str">
        <x:v>Federal courts</x:v>
      </x:c>
      <x:c r="C474" s="51" t="str">
        <x:v>Judicial institution group</x:v>
      </x:c>
      <x:c r="D474" s="51" t="str">
        <x:v>United States</x:v>
      </x:c>
      <x:c r="E474" s="51" t="str">
        <x:v>Issue forfeiture judgments and adjudicate claims</x:v>
      </x:c>
      <x:c r="F474" s="51" t="str"/>
    </x:row>
    <x:row r="475">
      <x:c r="A475" s="51" t="str">
        <x:v>ACT-NATIONALCOURTSENFORCINGA</x:v>
      </x:c>
      <x:c r="B475" s="51" t="str">
        <x:v>National courts enforcing arbitral awards</x:v>
      </x:c>
      <x:c r="C475" s="51" t="str">
        <x:v>Judicial institution group</x:v>
      </x:c>
      <x:c r="D475" s="51" t="str">
        <x:v>International</x:v>
      </x:c>
      <x:c r="E475" s="51" t="str">
        <x:v>Recognise, enforce or refuse arbitral awards under applicable law and treaties</x:v>
      </x:c>
      <x:c r="F475" s="51" t="str"/>
    </x:row>
    <x:row r="476">
      <x:c r="A476" s="51" t="str">
        <x:v>ACT-THIRDPARTYLITIGATIONFUN2</x:v>
      </x:c>
      <x:c r="B476" s="51" t="str">
        <x:v>Third-party litigation funding disclosure rules</x:v>
      </x:c>
      <x:c r="C476" s="51" t="str">
        <x:v>Judicial transparency framework</x:v>
      </x:c>
      <x:c r="D476" s="51" t="str">
        <x:v>United States</x:v>
      </x:c>
      <x:c r="E476" s="51" t="str">
        <x:v>Require varying disclosure of funder identity or agreements</x:v>
      </x:c>
      <x:c r="F476" s="51" t="str"/>
    </x:row>
    <x:row r="477">
      <x:c r="A477" s="51" t="str">
        <x:v>ACT-JURISDICTIONSUNDERINCREA</x:v>
      </x:c>
      <x:c r="B477" s="51" t="str">
        <x:v>Jurisdictions under increased monitoring</x:v>
      </x:c>
      <x:c r="C477" s="51" t="str">
        <x:v>Jurisdiction group</x:v>
      </x:c>
      <x:c r="D477" s="51" t="str">
        <x:v>International</x:v>
      </x:c>
      <x:c r="E477" s="51" t="str">
        <x:v>Commit to FATF action plans and enhanced monitoring</x:v>
      </x:c>
      <x:c r="F477" s="51" t="str"/>
    </x:row>
    <x:row r="478">
      <x:c r="A478" s="51" t="str">
        <x:v>ACT-GENERATIVEAIPATENTFAMILI</x:v>
      </x:c>
      <x:c r="B478" s="51" t="str">
        <x:v>Generative AI patent families</x:v>
      </x:c>
      <x:c r="C478" s="51" t="str">
        <x:v>Knowledge-rights asset class</x:v>
      </x:c>
      <x:c r="D478" s="51" t="str">
        <x:v>International</x:v>
      </x:c>
      <x:c r="E478" s="51" t="str">
        <x:v>Patent families covering generative AI inventions</x:v>
      </x:c>
      <x:c r="F478" s="51" t="str"/>
    </x:row>
    <x:row r="479">
      <x:c r="A479" s="51" t="str">
        <x:v>ACT-AMAZONLEO</x:v>
      </x:c>
      <x:c r="B479" s="51" t="str">
        <x:v>Amazon Leo</x:v>
      </x:c>
      <x:c r="C479" s="51" t="str">
        <x:v>LEO satellite broadband network</x:v>
      </x:c>
      <x:c r="D479" s="51" t="str">
        <x:v>International</x:v>
      </x:c>
      <x:c r="E479" s="51" t="str">
        <x:v>Amazon's satellite network, formerly Project Kuiper</x:v>
      </x:c>
      <x:c r="F479" s="51" t="str"/>
    </x:row>
    <x:row r="480">
      <x:c r="A480" s="51" t="str">
        <x:v>ACT-STARLINK</x:v>
      </x:c>
      <x:c r="B480" s="51" t="str">
        <x:v>Starlink</x:v>
      </x:c>
      <x:c r="C480" s="51" t="str">
        <x:v>LEO satellite broadband network</x:v>
      </x:c>
      <x:c r="D480" s="51" t="str">
        <x:v>International</x:v>
      </x:c>
      <x:c r="E480" s="51" t="str">
        <x:v>Provides consumer, enterprise, maritime and direct-to-cell connectivity</x:v>
      </x:c>
      <x:c r="F480" s="51" t="str"/>
    </x:row>
    <x:row r="481">
      <x:c r="A481" s="51" t="str">
        <x:v>ACT-ONEWEBLEOCONSTELLATION</x:v>
      </x:c>
      <x:c r="B481" s="51" t="str">
        <x:v>OneWeb LEO constellation</x:v>
      </x:c>
      <x:c r="C481" s="51" t="str">
        <x:v>LEO satellite network</x:v>
      </x:c>
      <x:c r="D481" s="51" t="str">
        <x:v>International</x:v>
      </x:c>
      <x:c r="E481" s="51" t="str">
        <x:v>Provides enterprise and government broadband through Eutelsat</x:v>
      </x:c>
      <x:c r="F481" s="51" t="str"/>
    </x:row>
    <x:row r="482">
      <x:c r="A482" s="51" t="str">
        <x:v>ACT-PLATTSJKM</x:v>
      </x:c>
      <x:c r="B482" s="51" t="str">
        <x:v>Platts JKM</x:v>
      </x:c>
      <x:c r="C482" s="51" t="str">
        <x:v>LNG price benchmark</x:v>
      </x:c>
      <x:c r="D482" s="51" t="str">
        <x:v>Northeast Asia / international</x:v>
      </x:c>
      <x:c r="E482" s="51" t="str">
        <x:v>Assesses spot delivered LNG cargo value into Northeast Asia</x:v>
      </x:c>
      <x:c r="F482" s="51" t="str"/>
    </x:row>
    <x:row r="483">
      <x:c r="A483" s="51" t="str">
        <x:v>ACT-CHENIEREENERGY</x:v>
      </x:c>
      <x:c r="B483" s="51" t="str">
        <x:v>Cheniere Energy</x:v>
      </x:c>
      <x:c r="C483" s="51" t="str">
        <x:v>LNG producer and exporter</x:v>
      </x:c>
      <x:c r="D483" s="51" t="str">
        <x:v>United States</x:v>
      </x:c>
      <x:c r="E483" s="51" t="str">
        <x:v>Liquefies and exports US natural gas under long-term and spot sales</x:v>
      </x:c>
      <x:c r="F483" s="51" t="str"/>
    </x:row>
    <x:row r="484">
      <x:c r="A484" s="51" t="str">
        <x:v>ACT-PROPERTYOWNERSANDDEVELOP</x:v>
      </x:c>
      <x:c r="B484" s="51" t="str">
        <x:v>Property owners and developers</x:v>
      </x:c>
      <x:c r="C484" s="51" t="str">
        <x:v>Land and development actor group</x:v>
      </x:c>
      <x:c r="D484" s="51" t="str">
        <x:v>International</x:v>
      </x:c>
      <x:c r="E484" s="51" t="str">
        <x:v>Seek development rights, permits, financing and asset appreciation</x:v>
      </x:c>
      <x:c r="F484" s="51" t="str"/>
    </x:row>
    <x:row r="485">
      <x:c r="A485" s="51" t="str">
        <x:v>ACT-COUNTYRECORDERSANDREGIST</x:v>
      </x:c>
      <x:c r="B485" s="51" t="str">
        <x:v>County recorders and registers of deeds</x:v>
      </x:c>
      <x:c r="C485" s="51" t="str">
        <x:v>Land-record authority group</x:v>
      </x:c>
      <x:c r="D485" s="51" t="str">
        <x:v>United States</x:v>
      </x:c>
      <x:c r="E485" s="51" t="str">
        <x:v>Record deeds, mortgages, releases, liens and other property instruments</x:v>
      </x:c>
      <x:c r="F485" s="51" t="str"/>
    </x:row>
    <x:row r="486">
      <x:c r="A486" s="51" t="str">
        <x:v>ACT-TRANSFERABLEDEVELOPMENTR</x:v>
      </x:c>
      <x:c r="B486" s="51" t="str">
        <x:v>Transferable development rights</x:v>
      </x:c>
      <x:c r="C486" s="51" t="str">
        <x:v>Land-use entitlement</x:v>
      </x:c>
      <x:c r="D486" s="51" t="str">
        <x:v>United States / international</x:v>
      </x:c>
      <x:c r="E486" s="51" t="str">
        <x:v>Allow unused development capacity to move between qualifying parcels</x:v>
      </x:c>
      <x:c r="F486" s="51" t="str"/>
    </x:row>
    <x:row r="487">
      <x:c r="A487" s="51" t="str">
        <x:v>ACT-CHIPS</x:v>
      </x:c>
      <x:c r="B487" s="51" t="str">
        <x:v>CHIPS</x:v>
      </x:c>
      <x:c r="C487" s="51" t="str">
        <x:v>Large-value payment system</x:v>
      </x:c>
      <x:c r="D487" s="51" t="str">
        <x:v>United States / international</x:v>
      </x:c>
      <x:c r="E487" s="51" t="str">
        <x:v>Private-sector high-value dollar clearing and settlement network</x:v>
      </x:c>
      <x:c r="F487" s="51" t="str"/>
    </x:row>
    <x:row r="488">
      <x:c r="A488" s="51" t="str">
        <x:v>ACT-AKINGUMPSTRAUSSHAUERFELD</x:v>
      </x:c>
      <x:c r="B488" s="51" t="str">
        <x:v>Akin Gump Strauss Hauer &amp; Feld</x:v>
      </x:c>
      <x:c r="C488" s="51" t="str">
        <x:v>Law and lobbying firm</x:v>
      </x:c>
      <x:c r="D488" s="51" t="str">
        <x:v>United States</x:v>
      </x:c>
      <x:c r="E488" s="51" t="str">
        <x:v>External lobbying and legal intermediary</x:v>
      </x:c>
      <x:c r="F488" s="51" t="str"/>
    </x:row>
    <x:row r="489">
      <x:c r="A489" s="51" t="str">
        <x:v>ACT-DLAPIPER</x:v>
      </x:c>
      <x:c r="B489" s="51" t="str">
        <x:v>DLA Piper</x:v>
      </x:c>
      <x:c r="C489" s="51" t="str">
        <x:v>Law and lobbying firm</x:v>
      </x:c>
      <x:c r="D489" s="51" t="str">
        <x:v>United States / international</x:v>
      </x:c>
      <x:c r="E489" s="51" t="str">
        <x:v>Registered to lobby for OpenAI OpCo under federal disclosure rules</x:v>
      </x:c>
      <x:c r="F489" s="51" t="str"/>
    </x:row>
    <x:row r="490">
      <x:c r="A490" s="51" t="str">
        <x:v>ACT-FBI</x:v>
      </x:c>
      <x:c r="B490" s="51" t="str">
        <x:v>FBI</x:v>
      </x:c>
      <x:c r="C490" s="51" t="str">
        <x:v>Law enforcement / intelligence</x:v>
      </x:c>
      <x:c r="D490" s="51" t="str">
        <x:v>United States</x:v>
      </x:c>
      <x:c r="E490" s="51" t="str">
        <x:v>Federal investigation and intelligence collection</x:v>
      </x:c>
      <x:c r="F490" s="51" t="str"/>
    </x:row>
    <x:row r="491">
      <x:c r="A491" s="51" t="str">
        <x:v>ACT-DECHERT</x:v>
      </x:c>
      <x:c r="B491" s="51" t="str">
        <x:v>Dechert</x:v>
      </x:c>
      <x:c r="C491" s="51" t="str">
        <x:v>Law firm</x:v>
      </x:c>
      <x:c r="D491" s="51" t="str">
        <x:v>United States / international</x:v>
      </x:c>
      <x:c r="E491" s="51" t="str">
        <x:v>Conducted Apollo review of Leon Black's Epstein relationship</x:v>
      </x:c>
      <x:c r="F491" s="51" t="str"/>
    </x:row>
    <x:row r="492">
      <x:c r="A492" s="51" t="str">
        <x:v>ACT-WILMERHALE</x:v>
      </x:c>
      <x:c r="B492" s="51" t="str">
        <x:v>WilmerHale</x:v>
      </x:c>
      <x:c r="C492" s="51" t="str">
        <x:v>Law firm</x:v>
      </x:c>
      <x:c r="D492" s="51" t="str">
        <x:v>United States</x:v>
      </x:c>
      <x:c r="E492" s="51" t="str">
        <x:v>Conducted Gates Foundation external review</x:v>
      </x:c>
      <x:c r="F492" s="51" t="str"/>
    </x:row>
    <x:row r="493">
      <x:c r="A493" s="51" t="str">
        <x:v>ACT-TRADESECRETS</x:v>
      </x:c>
      <x:c r="B493" s="51" t="str">
        <x:v>Trade secrets</x:v>
      </x:c>
      <x:c r="C493" s="51" t="str">
        <x:v>Legal and organisational control mechanism</x:v>
      </x:c>
      <x:c r="D493" s="51" t="str">
        <x:v>International</x:v>
      </x:c>
      <x:c r="E493" s="51" t="str">
        <x:v>Protect non-public technical and commercial information</x:v>
      </x:c>
      <x:c r="F493" s="51" t="str"/>
    </x:row>
    <x:row r="494">
      <x:c r="A494" s="51" t="str">
        <x:v>ACT-GENIUSACTSTABLECOINREGIM</x:v>
      </x:c>
      <x:c r="B494" s="51" t="str">
        <x:v>GENIUS Act stablecoin regime</x:v>
      </x:c>
      <x:c r="C494" s="51" t="str">
        <x:v>Legal and regulatory framework</x:v>
      </x:c>
      <x:c r="D494" s="51" t="str">
        <x:v>United States</x:v>
      </x:c>
      <x:c r="E494" s="51" t="str">
        <x:v>Federal framework for payment stablecoin reserves, supervision, AML and sanctions compliance</x:v>
      </x:c>
      <x:c r="F494" s="51" t="str"/>
    </x:row>
    <x:row r="495">
      <x:c r="A495" s="51" t="str">
        <x:v>ACT-BANKRUPTCYESTATE</x:v>
      </x:c>
      <x:c r="B495" s="51" t="str">
        <x:v>Bankruptcy estate</x:v>
      </x:c>
      <x:c r="C495" s="51" t="str">
        <x:v>Legal asset pool</x:v>
      </x:c>
      <x:c r="D495" s="51" t="str">
        <x:v>United States</x:v>
      </x:c>
      <x:c r="E495" s="51" t="str">
        <x:v>Holds debtor property subject to court-supervised claims</x:v>
      </x:c>
      <x:c r="F495" s="51" t="str"/>
    </x:row>
    <x:row r="496">
      <x:c r="A496" s="51" t="str">
        <x:v>ACT-USPERSONS</x:v>
      </x:c>
      <x:c r="B496" s="51" t="str">
        <x:v>U.S. persons</x:v>
      </x:c>
      <x:c r="C496" s="51" t="str">
        <x:v>Legal compliance group</x:v>
      </x:c>
      <x:c r="D496" s="51" t="str">
        <x:v>United States / global</x:v>
      </x:c>
      <x:c r="E496" s="51" t="str">
        <x:v>Must comply with applicable OFAC prohibitions</x:v>
      </x:c>
      <x:c r="F496" s="51" t="str"/>
    </x:row>
    <x:row r="497">
      <x:c r="A497" s="51" t="str">
        <x:v>ACT-JUDGMENTSANDCOURTORDERS</x:v>
      </x:c>
      <x:c r="B497" s="51" t="str">
        <x:v>Judgments and court orders</x:v>
      </x:c>
      <x:c r="C497" s="51" t="str">
        <x:v>Legal decision object</x:v>
      </x:c>
      <x:c r="D497" s="51" t="str">
        <x:v>International</x:v>
      </x:c>
      <x:c r="E497" s="51" t="str">
        <x:v>Define rights, duties, remedies and precedent</x:v>
      </x:c>
      <x:c r="F497" s="51" t="str"/>
    </x:row>
    <x:row r="498">
      <x:c r="A498" s="51" t="str">
        <x:v>ACT-THIRDPARTYLITIGATIONFUND</x:v>
      </x:c>
      <x:c r="B498" s="51" t="str">
        <x:v>Third-party litigation funders</x:v>
      </x:c>
      <x:c r="C498" s="51" t="str">
        <x:v>Legal finance actor group</x:v>
      </x:c>
      <x:c r="D498" s="51" t="str">
        <x:v>International</x:v>
      </x:c>
      <x:c r="E498" s="51" t="str">
        <x:v>Provide non-recourse capital against legal claims</x:v>
      </x:c>
      <x:c r="F498" s="51" t="str"/>
    </x:row>
    <x:row r="499">
      <x:c r="A499" s="51" t="str">
        <x:v>ACT-BURFORDCAPITAL</x:v>
      </x:c>
      <x:c r="B499" s="51" t="str">
        <x:v>Burford Capital</x:v>
      </x:c>
      <x:c r="C499" s="51" t="str">
        <x:v>Legal finance company</x:v>
      </x:c>
      <x:c r="D499" s="51" t="str">
        <x:v>United Kingdom / United States / international</x:v>
      </x:c>
      <x:c r="E499" s="51" t="str">
        <x:v>Finances litigation, arbitration and legal claims</x:v>
      </x:c>
      <x:c r="F499" s="51" t="str"/>
    </x:row>
    <x:row r="500">
      <x:c r="A500" s="51" t="str">
        <x:v>ACT-OMNIBRIDGEWAY</x:v>
      </x:c>
      <x:c r="B500" s="51" t="str">
        <x:v>Omni Bridgeway</x:v>
      </x:c>
      <x:c r="C500" s="51" t="str">
        <x:v>Legal finance company</x:v>
      </x:c>
      <x:c r="D500" s="51" t="str">
        <x:v>Australia / international</x:v>
      </x:c>
      <x:c r="E500" s="51" t="str">
        <x:v>Funds disputes and asset recovery</x:v>
      </x:c>
      <x:c r="F500" s="51" t="str"/>
    </x:row>
    <x:row r="501">
      <x:c r="A501" s="51" t="str">
        <x:v>ACT-CORPORATETRANSPARENCYACT</x:v>
      </x:c>
      <x:c r="B501" s="51" t="str">
        <x:v>Corporate Transparency Act regime</x:v>
      </x:c>
      <x:c r="C501" s="51" t="str">
        <x:v>Legal framework</x:v>
      </x:c>
      <x:c r="D501" s="51" t="str">
        <x:v>United States</x:v>
      </x:c>
      <x:c r="E501" s="51" t="str">
        <x:v>Beneficial-ownership reporting architecture with current exemptions</x:v>
      </x:c>
      <x:c r="F501" s="51" t="str"/>
    </x:row>
    <x:row r="502">
      <x:c r="A502" s="51" t="str">
        <x:v>ACT-DIGITALMARKETSACT</x:v>
      </x:c>
      <x:c r="B502" s="51" t="str">
        <x:v>Digital Markets Act</x:v>
      </x:c>
      <x:c r="C502" s="51" t="str">
        <x:v>Legal framework</x:v>
      </x:c>
      <x:c r="D502" s="51" t="str">
        <x:v>European Union</x:v>
      </x:c>
      <x:c r="E502" s="51" t="str">
        <x:v>EU gatekeeper regulation for core digital platform services</x:v>
      </x:c>
      <x:c r="F502" s="51" t="str"/>
    </x:row>
    <x:row r="503">
      <x:c r="A503" s="51" t="str">
        <x:v>ACT-CIVILLITIGANTS</x:v>
      </x:c>
      <x:c r="B503" s="51" t="str">
        <x:v>Civil litigants</x:v>
      </x:c>
      <x:c r="C503" s="51" t="str">
        <x:v>Legal party group</x:v>
      </x:c>
      <x:c r="D503" s="51" t="str">
        <x:v>International / United States</x:v>
      </x:c>
      <x:c r="E503" s="51" t="str">
        <x:v>Bring or defend civil claims</x:v>
      </x:c>
      <x:c r="F503" s="51" t="str"/>
    </x:row>
    <x:row r="504">
      <x:c r="A504" s="51" t="str">
        <x:v>ACT-TRUSTSANDSIMILARLEGALARR</x:v>
      </x:c>
      <x:c r="B504" s="51" t="str">
        <x:v>Trusts and similar legal arrangements</x:v>
      </x:c>
      <x:c r="C504" s="51" t="str">
        <x:v>Legal-arrangement group</x:v>
      </x:c>
      <x:c r="D504" s="51" t="str">
        <x:v>International</x:v>
      </x:c>
      <x:c r="E504" s="51" t="str">
        <x:v>Structures separating legal title, control and beneficial enjoyment</x:v>
      </x:c>
      <x:c r="F504" s="51" t="str"/>
    </x:row>
    <x:row r="505">
      <x:c r="A505" s="51" t="str">
        <x:v>ACT-DELAWARECORPORATIONSANDA</x:v>
      </x:c>
      <x:c r="B505" s="51" t="str">
        <x:v>Delaware corporations and alternative entities</x:v>
      </x:c>
      <x:c r="C505" s="51" t="str">
        <x:v>Legal-entity group</x:v>
      </x:c>
      <x:c r="D505" s="51" t="str">
        <x:v>Delaware / international</x:v>
      </x:c>
      <x:c r="E505" s="51" t="str">
        <x:v>Entities organised under Delaware law</x:v>
      </x:c>
      <x:c r="F505" s="51" t="str"/>
    </x:row>
    <x:row r="506">
      <x:c r="A506" s="51" t="str">
        <x:v>ACT-FOREIGNCOMPANIESREGISTER</x:v>
      </x:c>
      <x:c r="B506" s="51" t="str">
        <x:v>Foreign companies registered in the United States</x:v>
      </x:c>
      <x:c r="C506" s="51" t="str">
        <x:v>Legal-entity group</x:v>
      </x:c>
      <x:c r="D506" s="51" t="str">
        <x:v>International / United States</x:v>
      </x:c>
      <x:c r="E506" s="51" t="str">
        <x:v>Foreign-formed entities subject to current US BOI reporting in defined cases</x:v>
      </x:c>
      <x:c r="F506" s="51" t="str"/>
    </x:row>
    <x:row r="507">
      <x:c r="A507" s="51" t="str">
        <x:v>ACT-USDOMESTICLEGALENTITIES</x:v>
      </x:c>
      <x:c r="B507" s="51" t="str">
        <x:v>US domestic legal entities</x:v>
      </x:c>
      <x:c r="C507" s="51" t="str">
        <x:v>Legal-entity group</x:v>
      </x:c>
      <x:c r="D507" s="51" t="str">
        <x:v>United States</x:v>
      </x:c>
      <x:c r="E507" s="51" t="str">
        <x:v>Companies formed under US state or tribal law</x:v>
      </x:c>
      <x:c r="F507" s="51" t="str"/>
    </x:row>
    <x:row r="508">
      <x:c r="A508" s="51" t="str">
        <x:v>ACT-CLOSEOUTNETTINGOPINIONS</x:v>
      </x:c>
      <x:c r="B508" s="51" t="str">
        <x:v>Close-out netting opinions</x:v>
      </x:c>
      <x:c r="C508" s="51" t="str">
        <x:v>Legal-opinion system</x:v>
      </x:c>
      <x:c r="D508" s="51" t="str">
        <x:v>International</x:v>
      </x:c>
      <x:c r="E508" s="51" t="str">
        <x:v>Assess enforceability of termination and netting across jurisdictions</x:v>
      </x:c>
      <x:c r="F508" s="51" t="str"/>
    </x:row>
    <x:row r="509">
      <x:c r="A509" s="51" t="str">
        <x:v>ACT-UNITEDSTATESCONGRESS</x:v>
      </x:c>
      <x:c r="B509" s="51" t="str">
        <x:v>United States Congress</x:v>
      </x:c>
      <x:c r="C509" s="51" t="str">
        <x:v>Legislature</x:v>
      </x:c>
      <x:c r="D509" s="51" t="str">
        <x:v>United States</x:v>
      </x:c>
      <x:c r="E509" s="51" t="str">
        <x:v>Law, oversight and arms-sale notification</x:v>
      </x:c>
      <x:c r="F509" s="51" t="str"/>
    </x:row>
    <x:row r="510">
      <x:c r="A510" s="51" t="str">
        <x:v>ACT-MORTGAGEORIGINATORS</x:v>
      </x:c>
      <x:c r="B510" s="51" t="str">
        <x:v>Mortgage originators</x:v>
      </x:c>
      <x:c r="C510" s="51" t="str">
        <x:v>Lender group</x:v>
      </x:c>
      <x:c r="D510" s="51" t="str">
        <x:v>United States</x:v>
      </x:c>
      <x:c r="E510" s="51" t="str">
        <x:v>Underwrite and fund residential mortgage loans</x:v>
      </x:c>
      <x:c r="F510" s="51" t="str"/>
    </x:row>
    <x:row r="511">
      <x:c r="A511" s="51" t="str">
        <x:v>ACT-HEDGEFUNDS</x:v>
      </x:c>
      <x:c r="B511" s="51" t="str">
        <x:v>Hedge funds</x:v>
      </x:c>
      <x:c r="C511" s="51" t="str">
        <x:v>Leveraged investment-fund group</x:v>
      </x:c>
      <x:c r="D511" s="51" t="str">
        <x:v>International</x:v>
      </x:c>
      <x:c r="E511" s="51" t="str">
        <x:v>Use prime brokerage, repo and derivatives for financing and investment strategies</x:v>
      </x:c>
      <x:c r="F511" s="51" t="str"/>
    </x:row>
    <x:row r="512">
      <x:c r="A512" s="51" t="str">
        <x:v>ACT-THERMOFISHERSCIENTIFIC</x:v>
      </x:c>
      <x:c r="B512" s="51" t="str">
        <x:v>Thermo Fisher Scientific</x:v>
      </x:c>
      <x:c r="C512" s="51" t="str">
        <x:v>Life-sciences technology company</x:v>
      </x:c>
      <x:c r="D512" s="51" t="str">
        <x:v>United States</x:v>
      </x:c>
      <x:c r="E512" s="51" t="str">
        <x:v>Laboratory and biometric/genetic technology supply</x:v>
      </x:c>
      <x:c r="F512" s="51" t="str"/>
    </x:row>
    <x:row r="513">
      <x:c r="A513" s="51" t="str">
        <x:v>ACT-HIGHQUALITYLIQUIDASSETS</x:v>
      </x:c>
      <x:c r="B513" s="51" t="str">
        <x:v>High-quality liquid assets</x:v>
      </x:c>
      <x:c r="C513" s="51" t="str">
        <x:v>Liquidity asset category</x:v>
      </x:c>
      <x:c r="D513" s="51" t="str">
        <x:v>International</x:v>
      </x:c>
      <x:c r="E513" s="51" t="str">
        <x:v>Provide unencumbered resources intended for short-term liquidity stress</x:v>
      </x:c>
      <x:c r="F513" s="51" t="str"/>
    </x:row>
    <x:row r="514">
      <x:c r="A514" s="51" t="str">
        <x:v>ACT-FUNDEDCLAIMANTS</x:v>
      </x:c>
      <x:c r="B514" s="51" t="str">
        <x:v>Funded claimants</x:v>
      </x:c>
      <x:c r="C514" s="51" t="str">
        <x:v>Litigant group</x:v>
      </x:c>
      <x:c r="D514" s="51" t="str">
        <x:v>International</x:v>
      </x:c>
      <x:c r="E514" s="51" t="str">
        <x:v>Use external capital to finance litigation or arbitration</x:v>
      </x:c>
      <x:c r="F514" s="51" t="str"/>
    </x:row>
    <x:row r="515">
      <x:c r="A515" s="51" t="str">
        <x:v>ACT-535GROUP</x:v>
      </x:c>
      <x:c r="B515" s="51" t="str">
        <x:v>535 Group</x:v>
      </x:c>
      <x:c r="C515" s="51" t="str">
        <x:v>Lobbying firm</x:v>
      </x:c>
      <x:c r="D515" s="51" t="str">
        <x:v>United States</x:v>
      </x:c>
      <x:c r="E515" s="51" t="str">
        <x:v>External lobbying intermediary</x:v>
      </x:c>
      <x:c r="F515" s="51" t="str"/>
    </x:row>
    <x:row r="516">
      <x:c r="A516" s="51" t="str">
        <x:v>ACT-CONTINENTALSTRATEGY</x:v>
      </x:c>
      <x:c r="B516" s="51" t="str">
        <x:v>Continental Strategy</x:v>
      </x:c>
      <x:c r="C516" s="51" t="str">
        <x:v>Lobbying firm</x:v>
      </x:c>
      <x:c r="D516" s="51" t="str">
        <x:v>United States</x:v>
      </x:c>
      <x:c r="E516" s="51" t="str">
        <x:v>External lobbying intermediary for technology and industrial clients</x:v>
      </x:c>
      <x:c r="F516" s="51" t="str"/>
    </x:row>
    <x:row r="517">
      <x:c r="A517" s="51" t="str">
        <x:v>ACT-ELEVATEGOVERNMENTAFFAIRS</x:v>
      </x:c>
      <x:c r="B517" s="51" t="str">
        <x:v>Elevate Government Affairs</x:v>
      </x:c>
      <x:c r="C517" s="51" t="str">
        <x:v>Lobbying firm</x:v>
      </x:c>
      <x:c r="D517" s="51" t="str">
        <x:v>United States</x:v>
      </x:c>
      <x:c r="E517" s="51" t="str">
        <x:v>External lobbying intermediary</x:v>
      </x:c>
      <x:c r="F517" s="51" t="str"/>
    </x:row>
    <x:row r="518">
      <x:c r="A518" s="51" t="str">
        <x:v>ACT-MILLERSTRATEGIES</x:v>
      </x:c>
      <x:c r="B518" s="51" t="str">
        <x:v>Miller Strategies</x:v>
      </x:c>
      <x:c r="C518" s="51" t="str">
        <x:v>Lobbying firm</x:v>
      </x:c>
      <x:c r="D518" s="51" t="str">
        <x:v>United States</x:v>
      </x:c>
      <x:c r="E518" s="51" t="str">
        <x:v>External federal lobbying intermediary</x:v>
      </x:c>
      <x:c r="F518" s="51" t="str"/>
    </x:row>
    <x:row r="519">
      <x:c r="A519" s="51" t="str">
        <x:v>ACT-TIBERCREEKGROUP</x:v>
      </x:c>
      <x:c r="B519" s="51" t="str">
        <x:v>Tiber Creek Group</x:v>
      </x:c>
      <x:c r="C519" s="51" t="str">
        <x:v>Lobbying firm</x:v>
      </x:c>
      <x:c r="D519" s="51" t="str">
        <x:v>United States</x:v>
      </x:c>
      <x:c r="E519" s="51" t="str">
        <x:v>External policy and lobbying intermediary</x:v>
      </x:c>
      <x:c r="F519" s="51" t="str"/>
    </x:row>
    <x:row r="520">
      <x:c r="A520" s="51" t="str">
        <x:v>ACT-FEDERALLOBBYINGREGISTRAN</x:v>
      </x:c>
      <x:c r="B520" s="51" t="str">
        <x:v>Federal lobbying registrants</x:v>
      </x:c>
      <x:c r="C520" s="51" t="str">
        <x:v>Lobbying intermediary group</x:v>
      </x:c>
      <x:c r="D520" s="51" t="str">
        <x:v>United States</x:v>
      </x:c>
      <x:c r="E520" s="51" t="str">
        <x:v>Represent clients or employers before Congress and executive agencies</x:v>
      </x:c>
      <x:c r="F520" s="51" t="str"/>
    </x:row>
    <x:row r="521">
      <x:c r="A521" s="51" t="str">
        <x:v>ACT-RESIDENTSANDCOMMUNITYBOA</x:v>
      </x:c>
      <x:c r="B521" s="51" t="str">
        <x:v>Residents and community boards</x:v>
      </x:c>
      <x:c r="C521" s="51" t="str">
        <x:v>Local stakeholder group</x:v>
      </x:c>
      <x:c r="D521" s="51" t="str">
        <x:v>United States</x:v>
      </x:c>
      <x:c r="E521" s="51" t="str">
        <x:v>Participate in hearings and challenge or support development proposals</x:v>
      </x:c>
      <x:c r="F521" s="51" t="str"/>
    </x:row>
    <x:row r="522">
      <x:c r="A522" s="51" t="str">
        <x:v>ACT-OPENAICOMPUTEPURCHASECOM</x:v>
      </x:c>
      <x:c r="B522" s="51" t="str">
        <x:v>OpenAI compute purchase commitments</x:v>
      </x:c>
      <x:c r="C522" s="51" t="str">
        <x:v>Long-term cloud contract group</x:v>
      </x:c>
      <x:c r="D522" s="51" t="str">
        <x:v>International</x:v>
      </x:c>
      <x:c r="E522" s="51" t="str">
        <x:v>Contracted cloud and infrastructure capacity for OpenAI</x:v>
      </x:c>
      <x:c r="F522" s="51" t="str"/>
    </x:row>
    <x:row r="523">
      <x:c r="A523" s="51" t="str">
        <x:v>ACT-AIDATACENTERPOWERCONTRAC</x:v>
      </x:c>
      <x:c r="B523" s="51" t="str">
        <x:v>AI data-center power contracts</x:v>
      </x:c>
      <x:c r="C523" s="51" t="str">
        <x:v>Long-term infrastructure contract group</x:v>
      </x:c>
      <x:c r="D523" s="51" t="str">
        <x:v>International</x:v>
      </x:c>
      <x:c r="E523" s="51" t="str">
        <x:v>Secure electricity and generation for compute campuses</x:v>
      </x:c>
      <x:c r="F523" s="51" t="str"/>
    </x:row>
    <x:row r="524">
      <x:c r="A524" s="51" t="str">
        <x:v>ACT-TLACDEBTHOLDERS</x:v>
      </x:c>
      <x:c r="B524" s="51" t="str">
        <x:v>TLAC debt holders</x:v>
      </x:c>
      <x:c r="C524" s="51" t="str">
        <x:v>Loss-absorbing creditor group</x:v>
      </x:c>
      <x:c r="D524" s="51" t="str">
        <x:v>International</x:v>
      </x:c>
      <x:c r="E524" s="51" t="str">
        <x:v>Hold instruments intended to absorb losses or convert in resolution</x:v>
      </x:c>
      <x:c r="F524" s="51" t="str"/>
    </x:row>
    <x:row r="525">
      <x:c r="A525" s="51" t="str">
        <x:v>ACT-ADVANCEDSEMICONDUCTORFOU</x:v>
      </x:c>
      <x:c r="B525" s="51" t="str">
        <x:v>Advanced semiconductor foundries</x:v>
      </x:c>
      <x:c r="C525" s="51" t="str">
        <x:v>Manufacturing company group</x:v>
      </x:c>
      <x:c r="D525" s="51" t="str">
        <x:v>International</x:v>
      </x:c>
      <x:c r="E525" s="51" t="str">
        <x:v>Fabricate leading-edge logic and accelerator chips</x:v>
      </x:c>
      <x:c r="F525" s="51" t="str"/>
    </x:row>
    <x:row r="526">
      <x:c r="A526" s="51" t="str">
        <x:v>ACT-SUBMARINECABLEMAINTENANC</x:v>
      </x:c>
      <x:c r="B526" s="51" t="str">
        <x:v>Submarine cable maintenance providers</x:v>
      </x:c>
      <x:c r="C526" s="51" t="str">
        <x:v>Marine infrastructure group</x:v>
      </x:c>
      <x:c r="D526" s="51" t="str">
        <x:v>International</x:v>
      </x:c>
      <x:c r="E526" s="51" t="str">
        <x:v>Repair and maintain damaged submarine cables</x:v>
      </x:c>
      <x:c r="F526" s="51" t="str"/>
    </x:row>
    <x:row r="527">
      <x:c r="A527" s="51" t="str">
        <x:v>ACT-INTERNATIONALGROUPOFPICL</x:v>
      </x:c>
      <x:c r="B527" s="51" t="str">
        <x:v>International Group of P&amp;I Clubs</x:v>
      </x:c>
      <x:c r="C527" s="51" t="str">
        <x:v>Marine insurance pooling association</x:v>
      </x:c>
      <x:c r="D527" s="51" t="str">
        <x:v>International</x:v>
      </x:c>
      <x:c r="E527" s="51" t="str">
        <x:v>Coordinates liability pooling and reinsurance among mutual clubs</x:v>
      </x:c>
      <x:c r="F527" s="51" t="str"/>
    </x:row>
    <x:row r="528">
      <x:c r="A528" s="51" t="str">
        <x:v>ACT-SUEZCANALANDSUMEDSYSTEM</x:v>
      </x:c>
      <x:c r="B528" s="51" t="str">
        <x:v>Suez Canal and SUMED system</x:v>
      </x:c>
      <x:c r="C528" s="51" t="str">
        <x:v>Maritime and pipeline chokepoint</x:v>
      </x:c>
      <x:c r="D528" s="51" t="str">
        <x:v>Egypt</x:v>
      </x:c>
      <x:c r="E528" s="51" t="str">
        <x:v>Connects Red Sea and Mediterranean energy trade</x:v>
      </x:c>
      <x:c r="F528" s="51" t="str"/>
    </x:row>
    <x:row r="529">
      <x:c r="A529" s="51" t="str">
        <x:v>ACT-SHIPOWNERS</x:v>
      </x:c>
      <x:c r="B529" s="51" t="str">
        <x:v>Shipowners</x:v>
      </x:c>
      <x:c r="C529" s="51" t="str">
        <x:v>Maritime asset-owner group</x:v>
      </x:c>
      <x:c r="D529" s="51" t="str">
        <x:v>International</x:v>
      </x:c>
      <x:c r="E529" s="51" t="str">
        <x:v>Own vessels and assume financing, operating and liability risks</x:v>
      </x:c>
      <x:c r="F529" s="51" t="str"/>
    </x:row>
    <x:row r="530">
      <x:c r="A530" s="51" t="str">
        <x:v>ACT-SHIPCHARTERERS</x:v>
      </x:c>
      <x:c r="B530" s="51" t="str">
        <x:v>Ship charterers</x:v>
      </x:c>
      <x:c r="C530" s="51" t="str">
        <x:v>Maritime commercial user group</x:v>
      </x:c>
      <x:c r="D530" s="51" t="str">
        <x:v>International</x:v>
      </x:c>
      <x:c r="E530" s="51" t="str">
        <x:v>Hire vessels to transport cargo under voyage or time charters</x:v>
      </x:c>
      <x:c r="F530" s="51" t="str"/>
    </x:row>
    <x:row r="531">
      <x:c r="A531" s="51" t="str">
        <x:v>ACT-IMOSHIPANDCOMPANYNUMBERS</x:v>
      </x:c>
      <x:c r="B531" s="51" t="str">
        <x:v>IMO ship and company number system</x:v>
      </x:c>
      <x:c r="C531" s="51" t="str">
        <x:v>Maritime identity system</x:v>
      </x:c>
      <x:c r="D531" s="51" t="str">
        <x:v>International</x:v>
      </x:c>
      <x:c r="E531" s="51" t="str">
        <x:v>Assigns persistent identifiers to qualifying ships, companies and registered owners</x:v>
      </x:c>
      <x:c r="F531" s="51" t="str"/>
    </x:row>
    <x:row r="532">
      <x:c r="A532" s="51" t="str">
        <x:v>ACT-FLAGSTATESANDSHIPREGISTR</x:v>
      </x:c>
      <x:c r="B532" s="51" t="str">
        <x:v>Flag states and ship registries</x:v>
      </x:c>
      <x:c r="C532" s="51" t="str">
        <x:v>Maritime jurisdiction group</x:v>
      </x:c>
      <x:c r="D532" s="51" t="str">
        <x:v>International</x:v>
      </x:c>
      <x:c r="E532" s="51" t="str">
        <x:v>Grant vessel nationality and maintain ship registration</x:v>
      </x:c>
      <x:c r="F532" s="51" t="str"/>
    </x:row>
    <x:row r="533">
      <x:c r="A533" s="51" t="str">
        <x:v>ACT-LNGCARRIEROWNERSANDCHART</x:v>
      </x:c>
      <x:c r="B533" s="51" t="str">
        <x:v>LNG carrier owners and charterers</x:v>
      </x:c>
      <x:c r="C533" s="51" t="str">
        <x:v>Maritime transport group</x:v>
      </x:c>
      <x:c r="D533" s="51" t="str">
        <x:v>International</x:v>
      </x:c>
      <x:c r="E533" s="51" t="str">
        <x:v>Provide specialised vessels for LNG delivery</x:v>
      </x:c>
      <x:c r="F533" s="51" t="str"/>
    </x:row>
    <x:row r="534">
      <x:c r="A534" s="51" t="str">
        <x:v>ACT-COMMODITYBENCHMARKSANDDE</x:v>
      </x:c>
      <x:c r="B534" s="51" t="str">
        <x:v>Commodity benchmarks and derivative price formation</x:v>
      </x:c>
      <x:c r="C534" s="51" t="str">
        <x:v>Market infrastructure layer</x:v>
      </x:c>
      <x:c r="D534" s="51" t="str">
        <x:v>International</x:v>
      </x:c>
      <x:c r="E534" s="51" t="str">
        <x:v>Transforms physical market evidence into reference prices and derivatives</x:v>
      </x:c>
      <x:c r="F534" s="51" t="str"/>
    </x:row>
    <x:row r="535">
      <x:c r="A535" s="51" t="str">
        <x:v>ACT-CLEAREDDERIVATIVESCLIENT</x:v>
      </x:c>
      <x:c r="B535" s="51" t="str">
        <x:v>Cleared-derivatives clients</x:v>
      </x:c>
      <x:c r="C535" s="51" t="str">
        <x:v>Market participant group</x:v>
      </x:c>
      <x:c r="D535" s="51" t="str">
        <x:v>International</x:v>
      </x:c>
      <x:c r="E535" s="51" t="str">
        <x:v>Access CCP clearing through clearing members</x:v>
      </x:c>
      <x:c r="F535" s="51" t="str"/>
    </x:row>
    <x:row r="536">
      <x:c r="A536" s="51" t="str">
        <x:v>ACT-LIQUIDITYPROVIDERSANDSPE</x:v>
      </x:c>
      <x:c r="B536" s="51" t="str">
        <x:v>Liquidity providers and speculators</x:v>
      </x:c>
      <x:c r="C536" s="51" t="str">
        <x:v>Market participant group</x:v>
      </x:c>
      <x:c r="D536" s="51" t="str">
        <x:v>International</x:v>
      </x:c>
      <x:c r="E536" s="51" t="str">
        <x:v>Take market risk and provide liquidity without necessarily holding the underlying exposure</x:v>
      </x:c>
      <x:c r="F536" s="51" t="str"/>
    </x:row>
    <x:row r="537">
      <x:c r="A537" s="51" t="str">
        <x:v>ACT-SECURITIESBORROWERS</x:v>
      </x:c>
      <x:c r="B537" s="51" t="str">
        <x:v>Securities borrowers</x:v>
      </x:c>
      <x:c r="C537" s="51" t="str">
        <x:v>Market participant group</x:v>
      </x:c>
      <x:c r="D537" s="51" t="str">
        <x:v>International</x:v>
      </x:c>
      <x:c r="E537" s="51" t="str">
        <x:v>Borrow securities for settlement, short sales, market making or inventory management</x:v>
      </x:c>
      <x:c r="F537" s="51" t="str"/>
    </x:row>
    <x:row r="538">
      <x:c r="A538" s="51" t="str">
        <x:v>ACT-FOXCORPORATION</x:v>
      </x:c>
      <x:c r="B538" s="51" t="str">
        <x:v>Fox Corporation</x:v>
      </x:c>
      <x:c r="C538" s="51" t="str">
        <x:v>Media company</x:v>
      </x:c>
      <x:c r="D538" s="51" t="str">
        <x:v>United States / international</x:v>
      </x:c>
      <x:c r="E538" s="51" t="str">
        <x:v>Owns and operates television, news and entertainment assets</x:v>
      </x:c>
      <x:c r="F538" s="51" t="str"/>
    </x:row>
    <x:row r="539">
      <x:c r="A539" s="51" t="str">
        <x:v>ACT-LACHLANMURDOCH</x:v>
      </x:c>
      <x:c r="B539" s="51" t="str">
        <x:v>Lachlan Murdoch</x:v>
      </x:c>
      <x:c r="C539" s="51" t="str">
        <x:v>Media executive</x:v>
      </x:c>
      <x:c r="D539" s="51" t="str">
        <x:v>United States / Australia</x:v>
      </x:c>
      <x:c r="E539" s="51" t="str">
        <x:v>Executive Chair and Chief Executive Officer of Fox Corporation</x:v>
      </x:c>
      <x:c r="F539" s="51" t="str"/>
    </x:row>
    <x:row r="540">
      <x:c r="A540" s="51" t="str">
        <x:v>ACT-RUPERTMURDOCH</x:v>
      </x:c>
      <x:c r="B540" s="51" t="str">
        <x:v>Rupert Murdoch</x:v>
      </x:c>
      <x:c r="C540" s="51" t="str">
        <x:v>Media founder and former executive</x:v>
      </x:c>
      <x:c r="D540" s="51" t="str">
        <x:v>United States / Australia</x:v>
      </x:c>
      <x:c r="E540" s="51" t="str">
        <x:v>Founder associated with Fox and News Corp media structures</x:v>
      </x:c>
      <x:c r="F540" s="51" t="str"/>
    </x:row>
    <x:row r="541">
      <x:c r="A541" s="51" t="str">
        <x:v>ACT-NEWSROOMANDEDITORIALLEAD</x:v>
      </x:c>
      <x:c r="B541" s="51" t="str">
        <x:v>Newsroom and editorial leadership</x:v>
      </x:c>
      <x:c r="C541" s="51" t="str">
        <x:v>Media governance group</x:v>
      </x:c>
      <x:c r="D541" s="51" t="str">
        <x:v>International</x:v>
      </x:c>
      <x:c r="E541" s="51" t="str">
        <x:v>Make publication, editorial and operational decisions within ownership structures</x:v>
      </x:c>
      <x:c r="F541" s="51" t="str"/>
    </x:row>
    <x:row r="542">
      <x:c r="A542" s="51" t="str">
        <x:v>ACT-PUBLISHERSANDAPPINVENTOR</x:v>
      </x:c>
      <x:c r="B542" s="51" t="str">
        <x:v>Publishers and app inventory suppliers</x:v>
      </x:c>
      <x:c r="C542" s="51" t="str">
        <x:v>Media supply group</x:v>
      </x:c>
      <x:c r="D542" s="51" t="str">
        <x:v>International</x:v>
      </x:c>
      <x:c r="E542" s="51" t="str">
        <x:v>Provide advertising inventory and audience access</x:v>
      </x:c>
      <x:c r="F542" s="51" t="str"/>
    </x:row>
    <x:row r="543">
      <x:c r="A543" s="51" t="str">
        <x:v>ACT-COUNCILONFOREIGNRELATION</x:v>
      </x:c>
      <x:c r="B543" s="51" t="str">
        <x:v>Council on Foreign Relations</x:v>
      </x:c>
      <x:c r="C543" s="51" t="str">
        <x:v>Membership and policy-research organisation</x:v>
      </x:c>
      <x:c r="D543" s="51" t="str">
        <x:v>United States / international</x:v>
      </x:c>
      <x:c r="E543" s="51" t="str">
        <x:v>Produces foreign-policy analysis, publications and convenings</x:v>
      </x:c>
      <x:c r="F543" s="51" t="str"/>
    </x:row>
    <x:row r="544">
      <x:c r="A544" s="51" t="str">
        <x:v>ACT-HIGHBANDWIDTHMEMORYSUPPL</x:v>
      </x:c>
      <x:c r="B544" s="51" t="str">
        <x:v>High-bandwidth memory suppliers</x:v>
      </x:c>
      <x:c r="C544" s="51" t="str">
        <x:v>Memory manufacturer group</x:v>
      </x:c>
      <x:c r="D544" s="51" t="str">
        <x:v>International</x:v>
      </x:c>
      <x:c r="E544" s="51" t="str">
        <x:v>Supply HBM stacks used by advanced AI accelerators</x:v>
      </x:c>
      <x:c r="F544" s="51" t="str"/>
    </x:row>
    <x:row r="545">
      <x:c r="A545" s="51" t="str">
        <x:v>ACT-COMMODITYTRADERSANDMERCH</x:v>
      </x:c>
      <x:c r="B545" s="51" t="str">
        <x:v>Commodity traders and merchants</x:v>
      </x:c>
      <x:c r="C545" s="51" t="str">
        <x:v>Merchant group</x:v>
      </x:c>
      <x:c r="D545" s="51" t="str">
        <x:v>International</x:v>
      </x:c>
      <x:c r="E545" s="51" t="str">
        <x:v>Buy, finance, hedge, store and resell physical commodities</x:v>
      </x:c>
      <x:c r="F545" s="51" t="str"/>
    </x:row>
    <x:row r="546">
      <x:c r="A546" s="51" t="str">
        <x:v>ACT-LONDONMETALEXCHANGE</x:v>
      </x:c>
      <x:c r="B546" s="51" t="str">
        <x:v>London Metal Exchange</x:v>
      </x:c>
      <x:c r="C546" s="51" t="str">
        <x:v>Metals exchange</x:v>
      </x:c>
      <x:c r="D546" s="51" t="str">
        <x:v>United Kingdom / international</x:v>
      </x:c>
      <x:c r="E546" s="51" t="str">
        <x:v>Lists non-ferrous metals contracts and licenses delivery warehouses</x:v>
      </x:c>
      <x:c r="F546" s="51" t="str"/>
    </x:row>
    <x:row r="547">
      <x:c r="A547" s="51" t="str">
        <x:v>ACT-PROJECTMAVENMAVENSMARTSY</x:v>
      </x:c>
      <x:c r="B547" s="51" t="str">
        <x:v>Project Maven / Maven Smart System</x:v>
      </x:c>
      <x:c r="C547" s="51" t="str">
        <x:v>Military AI programme</x:v>
      </x:c>
      <x:c r="D547" s="51" t="str">
        <x:v>United States</x:v>
      </x:c>
      <x:c r="E547" s="51" t="str">
        <x:v>Sensor and intelligence fusion for operational decisions</x:v>
      </x:c>
      <x:c r="F547" s="51" t="str"/>
    </x:row>
    <x:row r="548">
      <x:c r="A548" s="51" t="str">
        <x:v>ACT-AEGISCOMBATSYSTEM</x:v>
      </x:c>
      <x:c r="B548" s="51" t="str">
        <x:v>Aegis Combat System</x:v>
      </x:c>
      <x:c r="C548" s="51" t="str">
        <x:v>Military combat system</x:v>
      </x:c>
      <x:c r="D548" s="51" t="str">
        <x:v>United States / allied navies</x:v>
      </x:c>
      <x:c r="E548" s="51" t="str">
        <x:v>Integrated naval sensors, weapons and command system</x:v>
      </x:c>
      <x:c r="F548" s="51" t="str"/>
    </x:row>
    <x:row r="549">
      <x:c r="A549" s="51" t="str">
        <x:v>ACT-PROTECTEDSATELLITECOMMUN</x:v>
      </x:c>
      <x:c r="B549" s="51" t="str">
        <x:v>Protected satellite communications</x:v>
      </x:c>
      <x:c r="C549" s="51" t="str">
        <x:v>Military communications capability</x:v>
      </x:c>
      <x:c r="D549" s="51" t="str">
        <x:v>United States</x:v>
      </x:c>
      <x:c r="E549" s="51" t="str">
        <x:v>Resilient and classified satellite communications systems</x:v>
      </x:c>
      <x:c r="F549" s="51" t="str"/>
    </x:row>
    <x:row r="550">
      <x:c r="A550" s="51" t="str">
        <x:v>ACT-COLLABORATIVECOMBATAIRCR</x:v>
      </x:c>
      <x:c r="B550" s="51" t="str">
        <x:v>Collaborative Combat Aircraft program</x:v>
      </x:c>
      <x:c r="C550" s="51" t="str">
        <x:v>Military procurement programme</x:v>
      </x:c>
      <x:c r="D550" s="51" t="str">
        <x:v>United States</x:v>
      </x:c>
      <x:c r="E550" s="51" t="str">
        <x:v>US Air Force programme for autonomous aircraft operating with crewed jets</x:v>
      </x:c>
      <x:c r="F550" s="51" t="str"/>
    </x:row>
    <x:row r="551">
      <x:c r="A551" s="51" t="str">
        <x:v>ACT-UNITEDSTATESARMY</x:v>
      </x:c>
      <x:c r="B551" s="51" t="str">
        <x:v>United States Army</x:v>
      </x:c>
      <x:c r="C551" s="51" t="str">
        <x:v>Military service</x:v>
      </x:c>
      <x:c r="D551" s="51" t="str">
        <x:v>United States</x:v>
      </x:c>
      <x:c r="E551" s="51" t="str">
        <x:v>Operational user and contracting authority</x:v>
      </x:c>
      <x:c r="F551" s="51" t="str"/>
    </x:row>
    <x:row r="552">
      <x:c r="A552" s="51" t="str">
        <x:v>ACT-LATTICE</x:v>
      </x:c>
      <x:c r="B552" s="51" t="str">
        <x:v>Lattice</x:v>
      </x:c>
      <x:c r="C552" s="51" t="str">
        <x:v>Military software and autonomy platform</x:v>
      </x:c>
      <x:c r="D552" s="51" t="str">
        <x:v>United States</x:v>
      </x:c>
      <x:c r="E552" s="51" t="str">
        <x:v>Anduril AI-enabled command, sensor and mission platform</x:v>
      </x:c>
      <x:c r="F552" s="51" t="str"/>
    </x:row>
    <x:row r="553">
      <x:c r="A553" s="51" t="str">
        <x:v>ACT-APPSTORE</x:v>
      </x:c>
      <x:c r="B553" s="51" t="str">
        <x:v>App Store</x:v>
      </x:c>
      <x:c r="C553" s="51" t="str">
        <x:v>Mobile application distribution platform</x:v>
      </x:c>
      <x:c r="D553" s="51" t="str">
        <x:v>United States / international</x:v>
      </x:c>
      <x:c r="E553" s="51" t="str">
        <x:v>Apple-controlled review, distribution and payment interface</x:v>
      </x:c>
      <x:c r="F553" s="51" t="str"/>
    </x:row>
    <x:row r="554">
      <x:c r="A554" s="51" t="str">
        <x:v>ACT-GOOGLEPLAY</x:v>
      </x:c>
      <x:c r="B554" s="51" t="str">
        <x:v>Google Play</x:v>
      </x:c>
      <x:c r="C554" s="51" t="str">
        <x:v>Mobile application distribution platform</x:v>
      </x:c>
      <x:c r="D554" s="51" t="str">
        <x:v>United States / international</x:v>
      </x:c>
      <x:c r="E554" s="51" t="str">
        <x:v>Google-controlled Android app distribution and billing interface</x:v>
      </x:c>
      <x:c r="F554" s="51" t="str"/>
    </x:row>
    <x:row r="555">
      <x:c r="A555" s="51" t="str">
        <x:v>ACT-APPLEAPPTRACKINGTRANSPAR</x:v>
      </x:c>
      <x:c r="B555" s="51" t="str">
        <x:v>Apple App Tracking Transparency</x:v>
      </x:c>
      <x:c r="C555" s="51" t="str">
        <x:v>Mobile consent framework</x:v>
      </x:c>
      <x:c r="D555" s="51" t="str">
        <x:v>International</x:v>
      </x:c>
      <x:c r="E555" s="51" t="str">
        <x:v>Controls access to cross-company tracking permission on Apple platforms</x:v>
      </x:c>
      <x:c r="F555" s="51" t="str"/>
    </x:row>
    <x:row r="556">
      <x:c r="A556" s="51" t="str">
        <x:v>ACT-APPLEAPPSTORE</x:v>
      </x:c>
      <x:c r="B556" s="51" t="str">
        <x:v>Apple App Store</x:v>
      </x:c>
      <x:c r="C556" s="51" t="str">
        <x:v>Mobile software distribution platform</x:v>
      </x:c>
      <x:c r="D556" s="51" t="str">
        <x:v>International</x:v>
      </x:c>
      <x:c r="E556" s="51" t="str">
        <x:v>Reviews, ranks and distributes software on Apple platforms</x:v>
      </x:c>
      <x:c r="F556" s="51" t="str"/>
    </x:row>
    <x:row r="557">
      <x:c r="A557" s="51" t="str">
        <x:v>ACT-GOVERNMENTMONEYMARKETFUN</x:v>
      </x:c>
      <x:c r="B557" s="51" t="str">
        <x:v>Government money market funds</x:v>
      </x:c>
      <x:c r="C557" s="51" t="str">
        <x:v>Money-market fund category</x:v>
      </x:c>
      <x:c r="D557" s="51" t="str">
        <x:v>United States</x:v>
      </x:c>
      <x:c r="E557" s="51" t="str">
        <x:v>Invest primarily in cash, government securities and government-collateralised repo</x:v>
      </x:c>
      <x:c r="F557" s="51" t="str"/>
    </x:row>
    <x:row r="558">
      <x:c r="A558" s="51" t="str">
        <x:v>ACT-INSTITUTIONALPRIMEANDTAX</x:v>
      </x:c>
      <x:c r="B558" s="51" t="str">
        <x:v>Institutional prime and tax-exempt money market funds</x:v>
      </x:c>
      <x:c r="C558" s="51" t="str">
        <x:v>Money-market fund category</x:v>
      </x:c>
      <x:c r="D558" s="51" t="str">
        <x:v>United States</x:v>
      </x:c>
      <x:c r="E558" s="51" t="str">
        <x:v>Invest in eligible short-term instruments under liquidity-fee and Rule 2a-7 requirements</x:v>
      </x:c>
      <x:c r="F558" s="51" t="str"/>
    </x:row>
    <x:row r="559">
      <x:c r="A559" s="51" t="str">
        <x:v>ACT-COMMONSECURITIZATIONSOLU</x:v>
      </x:c>
      <x:c r="B559" s="51" t="str">
        <x:v>Common Securitization Solutions</x:v>
      </x:c>
      <x:c r="C559" s="51" t="str">
        <x:v>Mortgage market infrastructure company</x:v>
      </x:c>
      <x:c r="D559" s="51" t="str">
        <x:v>United States</x:v>
      </x:c>
      <x:c r="E559" s="51" t="str">
        <x:v>Operates the common securitization platform for Enterprise UMBS</x:v>
      </x:c>
      <x:c r="F559" s="51" t="str"/>
    </x:row>
    <x:row r="560">
      <x:c r="A560" s="51" t="str">
        <x:v>ACT-MERSCORPHOLDINGS</x:v>
      </x:c>
      <x:c r="B560" s="51" t="str">
        <x:v>MERSCORP Holdings</x:v>
      </x:c>
      <x:c r="C560" s="51" t="str">
        <x:v>Mortgage registry company</x:v>
      </x:c>
      <x:c r="D560" s="51" t="str">
        <x:v>United States</x:v>
      </x:c>
      <x:c r="E560" s="51" t="str">
        <x:v>Owns and operates the MERS System and MERS eRegistry</x:v>
      </x:c>
      <x:c r="F560" s="51" t="str"/>
    </x:row>
    <x:row r="561">
      <x:c r="A561" s="51" t="str">
        <x:v>ACT-REGULATIONX</x:v>
      </x:c>
      <x:c r="B561" s="51" t="str">
        <x:v>Regulation X</x:v>
      </x:c>
      <x:c r="C561" s="51" t="str">
        <x:v>Mortgage servicing and settlement rule</x:v>
      </x:c>
      <x:c r="D561" s="51" t="str">
        <x:v>United States</x:v>
      </x:c>
      <x:c r="E561" s="51" t="str">
        <x:v>Implements RESPA requirements for settlement and servicing</x:v>
      </x:c>
      <x:c r="F561" s="51" t="str"/>
    </x:row>
    <x:row r="562">
      <x:c r="A562" s="51" t="str">
        <x:v>ACT-WORLDBANKGROUPGUARANTEEP</x:v>
      </x:c>
      <x:c r="B562" s="51" t="str">
        <x:v>World Bank Group Guarantee Platform</x:v>
      </x:c>
      <x:c r="C562" s="51" t="str">
        <x:v>Multilateral guarantee platform</x:v>
      </x:c>
      <x:c r="D562" s="51" t="str">
        <x:v>International</x:v>
      </x:c>
      <x:c r="E562" s="51" t="str">
        <x:v>Coordinates World Bank Group guarantees through MIGA</x:v>
      </x:c>
      <x:c r="F562" s="51" t="str"/>
    </x:row>
    <x:row r="563">
      <x:c r="A563" s="51" t="str">
        <x:v>ACT-REPOTASKFORCE</x:v>
      </x:c>
      <x:c r="B563" s="51" t="str">
        <x:v>REPO Task Force</x:v>
      </x:c>
      <x:c r="C563" s="51" t="str">
        <x:v>Multilateral sanctions-enforcement coalition</x:v>
      </x:c>
      <x:c r="D563" s="51" t="str">
        <x:v>G7 and partners</x:v>
      </x:c>
      <x:c r="E563" s="51" t="str">
        <x:v>Coordinates tracking, freezing and restraint of sanctioned Russian assets</x:v>
      </x:c>
      <x:c r="F563" s="51" t="str"/>
    </x:row>
    <x:row r="564">
      <x:c r="A564" s="51" t="str">
        <x:v>ACT-ELECTRONICMUNICIPALMARKE</x:v>
      </x:c>
      <x:c r="B564" s="51" t="str">
        <x:v>Electronic Municipal Market Access</x:v>
      </x:c>
      <x:c r="C564" s="51" t="str">
        <x:v>Municipal disclosure platform</x:v>
      </x:c>
      <x:c r="D564" s="51" t="str">
        <x:v>United States</x:v>
      </x:c>
      <x:c r="E564" s="51" t="str">
        <x:v>Publishes official statements, continuing disclosures and trade data</x:v>
      </x:c>
      <x:c r="F564" s="51" t="str"/>
    </x:row>
    <x:row r="565">
      <x:c r="A565" s="51" t="str">
        <x:v>ACT-NEWYORKCITYZONINGRESOLUT</x:v>
      </x:c>
      <x:c r="B565" s="51" t="str">
        <x:v>New York City Zoning Resolution</x:v>
      </x:c>
      <x:c r="C565" s="51" t="str">
        <x:v>Municipal land-use code</x:v>
      </x:c>
      <x:c r="D565" s="51" t="str">
        <x:v>New York City, United States</x:v>
      </x:c>
      <x:c r="E565" s="51" t="str">
        <x:v>Defines use, bulk, density, special permits and development-right mechanisms</x:v>
      </x:c>
      <x:c r="F565" s="51" t="str"/>
    </x:row>
    <x:row r="566">
      <x:c r="A566" s="51" t="str">
        <x:v>ACT-MUNICIPALSECURITIESRULEM</x:v>
      </x:c>
      <x:c r="B566" s="51" t="str">
        <x:v>Municipal Securities Rulemaking Board</x:v>
      </x:c>
      <x:c r="C566" s="51" t="str">
        <x:v>Municipal market self-regulatory organisation</x:v>
      </x:c>
      <x:c r="D566" s="51" t="str">
        <x:v>United States</x:v>
      </x:c>
      <x:c r="E566" s="51" t="str">
        <x:v>Writes dealer and municipal-advisor rules and operates EMMA</x:v>
      </x:c>
      <x:c r="F566" s="51" t="str"/>
    </x:row>
    <x:row r="567">
      <x:c r="A567" s="51" t="str">
        <x:v>ACT-NEWYORKCITYDEPARTMENTOFC</x:v>
      </x:c>
      <x:c r="B567" s="51" t="str">
        <x:v>New York City Department of City Planning</x:v>
      </x:c>
      <x:c r="C567" s="51" t="str">
        <x:v>Municipal planning agency</x:v>
      </x:c>
      <x:c r="D567" s="51" t="str">
        <x:v>New York City, United States</x:v>
      </x:c>
      <x:c r="E567" s="51" t="str">
        <x:v>Administers NYC zoning policy and land-use review</x:v>
      </x:c>
      <x:c r="F567" s="51" t="str"/>
    </x:row>
    <x:row r="568">
      <x:c r="A568" s="51" t="str">
        <x:v>ACT-NEWYORKCITYCITYPLANNINGC</x:v>
      </x:c>
      <x:c r="B568" s="51" t="str">
        <x:v>New York City City Planning Commission</x:v>
      </x:c>
      <x:c r="C568" s="51" t="str">
        <x:v>Municipal planning commission</x:v>
      </x:c>
      <x:c r="D568" s="51" t="str">
        <x:v>New York City, United States</x:v>
      </x:c>
      <x:c r="E568" s="51" t="str">
        <x:v>Reviews zoning applications and grants specified special permits</x:v>
      </x:c>
      <x:c r="F568" s="51" t="str"/>
    </x:row>
    <x:row r="569">
      <x:c r="A569" s="51" t="str">
        <x:v>ACT-LOCALDATACENTERHOSTCOMMU</x:v>
      </x:c>
      <x:c r="B569" s="51" t="str">
        <x:v>Local data-center host communities</x:v>
      </x:c>
      <x:c r="C569" s="51" t="str">
        <x:v>Municipal stakeholder group</x:v>
      </x:c>
      <x:c r="D569" s="51" t="str">
        <x:v>United States / international</x:v>
      </x:c>
      <x:c r="E569" s="51" t="str">
        <x:v>Provide land, workforce, water and local infrastructure</x:v>
      </x:c>
      <x:c r="F569" s="51" t="str"/>
    </x:row>
    <x:row r="570">
      <x:c r="A570" s="51" t="str">
        <x:v>ACT-LLOYDSCENTRALFUND</x:v>
      </x:c>
      <x:c r="B570" s="51" t="str">
        <x:v>Lloyd's Central Fund</x:v>
      </x:c>
      <x:c r="C570" s="51" t="str">
        <x:v>Mutual insurance security fund</x:v>
      </x:c>
      <x:c r="D570" s="51" t="str">
        <x:v>United Kingdom</x:v>
      </x:c>
      <x:c r="E570" s="51" t="str">
        <x:v>Provides central market resources supporting policyholder security</x:v>
      </x:c>
      <x:c r="F570" s="51" t="str"/>
    </x:row>
    <x:row r="571">
      <x:c r="A571" s="51" t="str">
        <x:v>ACT-PICLUBS</x:v>
      </x:c>
      <x:c r="B571" s="51" t="str">
        <x:v>P&amp;I clubs</x:v>
      </x:c>
      <x:c r="C571" s="51" t="str">
        <x:v>Mutual marine insurer group</x:v>
      </x:c>
      <x:c r="D571" s="51" t="str">
        <x:v>International</x:v>
      </x:c>
      <x:c r="E571" s="51" t="str">
        <x:v>Insure shipowner third-party liabilities</x:v>
      </x:c>
      <x:c r="F571" s="51" t="str"/>
    </x:row>
    <x:row r="572">
      <x:c r="A572" s="51" t="str">
        <x:v>ACT-DEFAULTFUNDS</x:v>
      </x:c>
      <x:c r="B572" s="51" t="str">
        <x:v>Default funds</x:v>
      </x:c>
      <x:c r="C572" s="51" t="str">
        <x:v>Mutualised financial resource pool</x:v>
      </x:c>
      <x:c r="D572" s="51" t="str">
        <x:v>International</x:v>
      </x:c>
      <x:c r="E572" s="51" t="str">
        <x:v>Prefunded contributions available after specified default resources are exhausted</x:v>
      </x:c>
      <x:c r="F572" s="51" t="str"/>
    </x:row>
    <x:row r="573">
      <x:c r="A573" s="51" t="str">
        <x:v>ACT-AADHAAR</x:v>
      </x:c>
      <x:c r="B573" s="51" t="str">
        <x:v>Aadhaar</x:v>
      </x:c>
      <x:c r="C573" s="51" t="str">
        <x:v>National digital identity system</x:v>
      </x:c>
      <x:c r="D573" s="51" t="str">
        <x:v>India</x:v>
      </x:c>
      <x:c r="E573" s="51" t="str">
        <x:v>Provides a unique identifier and authentication infrastructure</x:v>
      </x:c>
      <x:c r="F573" s="51" t="str"/>
    </x:row>
    <x:row r="574">
      <x:c r="A574" s="51" t="str">
        <x:v>ACT-UIDAI</x:v>
      </x:c>
      <x:c r="B574" s="51" t="str">
        <x:v>UIDAI</x:v>
      </x:c>
      <x:c r="C574" s="51" t="str">
        <x:v>National digital-identity authority</x:v>
      </x:c>
      <x:c r="D574" s="51" t="str">
        <x:v>India</x:v>
      </x:c>
      <x:c r="E574" s="51" t="str">
        <x:v>Issues Aadhaar governance, authentication standards and ecosystem rules</x:v>
      </x:c>
      <x:c r="F574" s="51" t="str"/>
    </x:row>
    <x:row r="575">
      <x:c r="A575" s="51" t="str">
        <x:v>ACT-GOVERNMENTOFTHENETHERLAN</x:v>
      </x:c>
      <x:c r="B575" s="51" t="str">
        <x:v>Government of the Netherlands</x:v>
      </x:c>
      <x:c r="C575" s="51" t="str">
        <x:v>National government</x:v>
      </x:c>
      <x:c r="D575" s="51" t="str">
        <x:v>Netherlands</x:v>
      </x:c>
      <x:c r="E575" s="51" t="str">
        <x:v>Licenses exports of controlled semiconductor manufacturing equipment</x:v>
      </x:c>
      <x:c r="F575" s="51" t="str"/>
    </x:row>
    <x:row r="576">
      <x:c r="A576" s="51" t="str">
        <x:v>ACT-FATFMEMBERJURISDICTIONS</x:v>
      </x:c>
      <x:c r="B576" s="51" t="str">
        <x:v>FATF member jurisdictions</x:v>
      </x:c>
      <x:c r="C576" s="51" t="str">
        <x:v>National government group</x:v>
      </x:c>
      <x:c r="D576" s="51" t="str">
        <x:v>International</x:v>
      </x:c>
      <x:c r="E576" s="51" t="str">
        <x:v>Implement FATF standards through domestic law and supervision</x:v>
      </x:c>
      <x:c r="F576" s="51" t="str"/>
    </x:row>
    <x:row r="577">
      <x:c r="A577" s="51" t="str">
        <x:v>ACT-UNITEDSTATESPATENTANDTRA</x:v>
      </x:c>
      <x:c r="B577" s="51" t="str">
        <x:v>United States Patent and Trademark Office</x:v>
      </x:c>
      <x:c r="C577" s="51" t="str">
        <x:v>National intellectual-property office</x:v>
      </x:c>
      <x:c r="D577" s="51" t="str">
        <x:v>United States</x:v>
      </x:c>
      <x:c r="E577" s="51" t="str">
        <x:v>Examines patent and trademark applications and administers federal IP rights</x:v>
      </x:c>
      <x:c r="F577" s="51" t="str"/>
    </x:row>
    <x:row r="578">
      <x:c r="A578" s="51" t="str">
        <x:v>ACT-PDVSA</x:v>
      </x:c>
      <x:c r="B578" s="51" t="str">
        <x:v>PDVSA</x:v>
      </x:c>
      <x:c r="C578" s="51" t="str">
        <x:v>National oil company</x:v>
      </x:c>
      <x:c r="D578" s="51" t="str">
        <x:v>Venezuela</x:v>
      </x:c>
      <x:c r="E578" s="51" t="str">
        <x:v>State-owned Venezuelan oil producer and exporter</x:v>
      </x:c>
      <x:c r="F578" s="51" t="str"/>
    </x:row>
    <x:row r="579">
      <x:c r="A579" s="51" t="str">
        <x:v>ACT-STARSHIELD</x:v>
      </x:c>
      <x:c r="B579" s="51" t="str">
        <x:v>Starshield</x:v>
      </x:c>
      <x:c r="C579" s="51" t="str">
        <x:v>National-security satellite system</x:v>
      </x:c>
      <x:c r="D579" s="51" t="str">
        <x:v>United States</x:v>
      </x:c>
      <x:c r="E579" s="51" t="str">
        <x:v>SpaceX government satellite communications and sensing platform</x:v>
      </x:c>
      <x:c r="F579" s="51" t="str"/>
    </x:row>
    <x:row r="580">
      <x:c r="A580" s="51" t="str">
        <x:v>ACT-BENEFICIALOWNERS</x:v>
      </x:c>
      <x:c r="B580" s="51" t="str">
        <x:v>Beneficial owners</x:v>
      </x:c>
      <x:c r="C580" s="51" t="str">
        <x:v>Natural-person ownership group</x:v>
      </x:c>
      <x:c r="D580" s="51" t="str">
        <x:v>International</x:v>
      </x:c>
      <x:c r="E580" s="51" t="str">
        <x:v>Ultimately own or control legal persons or arrangements</x:v>
      </x:c>
      <x:c r="F580" s="51" t="str"/>
    </x:row>
    <x:row r="581">
      <x:c r="A581" s="51" t="str">
        <x:v>ACT-GOVERNINGINSTITUTIONALNE</x:v>
      </x:c>
      <x:c r="B581" s="51" t="str">
        <x:v>Governing institutional networks</x:v>
      </x:c>
      <x:c r="C581" s="51" t="str">
        <x:v>Network abstraction</x:v>
      </x:c>
      <x:c r="D581" s="51" t="str">
        <x:v>Global</x:v>
      </x:c>
      <x:c r="E581" s="51" t="str">
        <x:v>Decision, procurement and elite-access networks</x:v>
      </x:c>
      <x:c r="F581" s="51" t="str"/>
    </x:row>
    <x:row r="582">
      <x:c r="A582" s="51" t="str">
        <x:v>ACT-AUTONOMOUSSYSTEMOPERATOR</x:v>
      </x:c>
      <x:c r="B582" s="51" t="str">
        <x:v>Autonomous system operators</x:v>
      </x:c>
      <x:c r="C582" s="51" t="str">
        <x:v>Network operator group</x:v>
      </x:c>
      <x:c r="D582" s="51" t="str">
        <x:v>International</x:v>
      </x:c>
      <x:c r="E582" s="51" t="str">
        <x:v>Originate and route IP prefixes through BGP</x:v>
      </x:c>
      <x:c r="F582" s="51" t="str"/>
    </x:row>
    <x:row r="583">
      <x:c r="A583" s="51" t="str">
        <x:v>ACT-RECURSIVEDNSRESOLVEROPER</x:v>
      </x:c>
      <x:c r="B583" s="51" t="str">
        <x:v>Recursive DNS resolver operators</x:v>
      </x:c>
      <x:c r="C583" s="51" t="str">
        <x:v>Network service group</x:v>
      </x:c>
      <x:c r="D583" s="51" t="str">
        <x:v>International</x:v>
      </x:c>
      <x:c r="E583" s="51" t="str">
        <x:v>Translate user domain requests using cached and authoritative DNS data</x:v>
      </x:c>
      <x:c r="F583" s="51" t="str"/>
    </x:row>
    <x:row r="584">
      <x:c r="A584" s="51" t="str">
        <x:v>ACT-THEWASHINGTONPOST</x:v>
      </x:c>
      <x:c r="B584" s="51" t="str">
        <x:v>The Washington Post</x:v>
      </x:c>
      <x:c r="C584" s="51" t="str">
        <x:v>News organisation</x:v>
      </x:c>
      <x:c r="D584" s="51" t="str">
        <x:v>United States</x:v>
      </x:c>
      <x:c r="E584" s="51" t="str">
        <x:v>Privately owned newspaper and digital publication</x:v>
      </x:c>
      <x:c r="F584" s="51" t="str"/>
    </x:row>
    <x:row r="585">
      <x:c r="A585" s="51" t="str">
        <x:v>ACT-GATESFOUNDATIONGRANTEES</x:v>
      </x:c>
      <x:c r="B585" s="51" t="str">
        <x:v>Gates Foundation grantees</x:v>
      </x:c>
      <x:c r="C585" s="51" t="str">
        <x:v>Nonprofit and institutional recipient group</x:v>
      </x:c>
      <x:c r="D585" s="51" t="str">
        <x:v>International</x:v>
      </x:c>
      <x:c r="E585" s="51" t="str">
        <x:v>Receive grants for health, development, education and other programmes</x:v>
      </x:c>
      <x:c r="F585" s="51" t="str"/>
    </x:row>
    <x:row r="586">
      <x:c r="A586" s="51" t="str">
        <x:v>ACT-OPENAIFOUNDATION</x:v>
      </x:c>
      <x:c r="B586" s="51" t="str">
        <x:v>OpenAI Foundation</x:v>
      </x:c>
      <x:c r="C586" s="51" t="str">
        <x:v>Nonprofit foundation</x:v>
      </x:c>
      <x:c r="D586" s="51" t="str">
        <x:v>United States</x:v>
      </x:c>
      <x:c r="E586" s="51" t="str">
        <x:v>Governance controller of OpenAI Group</x:v>
      </x:c>
      <x:c r="F586" s="51" t="str"/>
    </x:row>
    <x:row r="587">
      <x:c r="A587" s="51" t="str">
        <x:v>ACT-INTERNATIONALPEACEINSTIT</x:v>
      </x:c>
      <x:c r="B587" s="51" t="str">
        <x:v>International Peace Institute</x:v>
      </x:c>
      <x:c r="C587" s="51" t="str">
        <x:v>Nonprofit policy institute</x:v>
      </x:c>
      <x:c r="D587" s="51" t="str">
        <x:v>International / United States</x:v>
      </x:c>
      <x:c r="E587" s="51" t="str">
        <x:v>Institution involved in Gates Foundation–Epstein philanthropy discussions</x:v>
      </x:c>
      <x:c r="F587" s="51" t="str"/>
    </x:row>
    <x:row r="588">
      <x:c r="A588" s="51" t="str">
        <x:v>ACT-CLINTONCLEANENERGYCENTER</x:v>
      </x:c>
      <x:c r="B588" s="51" t="str">
        <x:v>Clinton Clean Energy Center</x:v>
      </x:c>
      <x:c r="C588" s="51" t="str">
        <x:v>Nuclear generating station</x:v>
      </x:c>
      <x:c r="D588" s="51" t="str">
        <x:v>Illinois, United States</x:v>
      </x:c>
      <x:c r="E588" s="51" t="str">
        <x:v>Provides contracted nuclear energy supporting Meta</x:v>
      </x:c>
      <x:c r="F588" s="51" t="str"/>
    </x:row>
    <x:row r="589">
      <x:c r="A589" s="51" t="str">
        <x:v>ACT-PARISCLUB</x:v>
      </x:c>
      <x:c r="B589" s="51" t="str">
        <x:v>Paris Club</x:v>
      </x:c>
      <x:c r="C589" s="51" t="str">
        <x:v>Official bilateral creditor group</x:v>
      </x:c>
      <x:c r="D589" s="51" t="str">
        <x:v>International</x:v>
      </x:c>
      <x:c r="E589" s="51" t="str">
        <x:v>Coordinates sovereign debt treatments among member creditors</x:v>
      </x:c>
      <x:c r="F589" s="51" t="str"/>
    </x:row>
    <x:row r="590">
      <x:c r="A590" s="51" t="str">
        <x:v>ACT-RISCVISA</x:v>
      </x:c>
      <x:c r="B590" s="51" t="str">
        <x:v>RISC-V ISA</x:v>
      </x:c>
      <x:c r="C590" s="51" t="str">
        <x:v>Open instruction-set standard</x:v>
      </x:c>
      <x:c r="D590" s="51" t="str">
        <x:v>International</x:v>
      </x:c>
      <x:c r="E590" s="51" t="str">
        <x:v>Publicly available processor instruction-set architecture</x:v>
      </x:c>
      <x:c r="F590" s="51" t="str"/>
    </x:row>
    <x:row r="591">
      <x:c r="A591" s="51" t="str">
        <x:v>ACT-RISCVINTERNATIONAL</x:v>
      </x:c>
      <x:c r="B591" s="51" t="str">
        <x:v>RISC-V International</x:v>
      </x:c>
      <x:c r="C591" s="51" t="str">
        <x:v>Open standards organisation</x:v>
      </x:c>
      <x:c r="D591" s="51" t="str">
        <x:v>Switzerland / international</x:v>
      </x:c>
      <x:c r="E591" s="51" t="str">
        <x:v>Maintains and governs the RISC-V instruction-set architecture</x:v>
      </x:c>
      <x:c r="F591" s="51" t="str"/>
    </x:row>
    <x:row r="592">
      <x:c r="A592" s="51" t="str">
        <x:v>ACT-AMD</x:v>
      </x:c>
      <x:c r="B592" s="51" t="str">
        <x:v>AMD</x:v>
      </x:c>
      <x:c r="C592" s="51" t="str">
        <x:v>Organisation / person</x:v>
      </x:c>
      <x:c r="D592" s="51" t="str">
        <x:v>Unspecified</x:v>
      </x:c>
      <x:c r="E592" s="51" t="str">
        <x:v>Network participant</x:v>
      </x:c>
      <x:c r="F592" s="51" t="str"/>
    </x:row>
    <x:row r="593">
      <x:c r="A593" s="51" t="str">
        <x:v>ACT-AMAZONWEBSERVICES</x:v>
      </x:c>
      <x:c r="B593" s="51" t="str">
        <x:v>Amazon Web Services</x:v>
      </x:c>
      <x:c r="C593" s="51" t="str">
        <x:v>Organisation / person</x:v>
      </x:c>
      <x:c r="D593" s="51" t="str">
        <x:v>Unspecified</x:v>
      </x:c>
      <x:c r="E593" s="51" t="str">
        <x:v>Network participant</x:v>
      </x:c>
      <x:c r="F593" s="51" t="str"/>
    </x:row>
    <x:row r="594">
      <x:c r="A594" s="51" t="str">
        <x:v>ACT-GOOGLEGOOGLECLOUD</x:v>
      </x:c>
      <x:c r="B594" s="51" t="str">
        <x:v>Google / Google Cloud</x:v>
      </x:c>
      <x:c r="C594" s="51" t="str">
        <x:v>Organisation / person</x:v>
      </x:c>
      <x:c r="D594" s="51" t="str">
        <x:v>Unspecified</x:v>
      </x:c>
      <x:c r="E594" s="51" t="str">
        <x:v>Network participant</x:v>
      </x:c>
      <x:c r="F594" s="51" t="str"/>
    </x:row>
    <x:row r="595">
      <x:c r="A595" s="51" t="str">
        <x:v>ACT-HUMAIN</x:v>
      </x:c>
      <x:c r="B595" s="51" t="str">
        <x:v>HUMAIN</x:v>
      </x:c>
      <x:c r="C595" s="51" t="str">
        <x:v>Organisation / person</x:v>
      </x:c>
      <x:c r="D595" s="51" t="str">
        <x:v>Unspecified</x:v>
      </x:c>
      <x:c r="E595" s="51" t="str">
        <x:v>Network participant</x:v>
      </x:c>
      <x:c r="F595" s="51" t="str"/>
    </x:row>
    <x:row r="596">
      <x:c r="A596" s="51" t="str">
        <x:v>ACT-USDEPARTMENTOFJUSTICE</x:v>
      </x:c>
      <x:c r="B596" s="51" t="str">
        <x:v>US Department of Justice</x:v>
      </x:c>
      <x:c r="C596" s="51" t="str">
        <x:v>Organisation / person</x:v>
      </x:c>
      <x:c r="D596" s="51" t="str">
        <x:v>Unspecified</x:v>
      </x:c>
      <x:c r="E596" s="51" t="str">
        <x:v>Network participant</x:v>
      </x:c>
      <x:c r="F596" s="51" t="str"/>
    </x:row>
    <x:row r="597">
      <x:c r="A597" s="51" t="str">
        <x:v>ACT-AITRAININGCLUSTERS</x:v>
      </x:c>
      <x:c r="B597" s="51" t="str">
        <x:v>AI training clusters</x:v>
      </x:c>
      <x:c r="C597" s="51" t="str">
        <x:v>Organisation / system</x:v>
      </x:c>
      <x:c r="D597" s="51" t="str">
        <x:v>Unspecified</x:v>
      </x:c>
      <x:c r="E597" s="51" t="str">
        <x:v>Network participant</x:v>
      </x:c>
      <x:c r="F597" s="51" t="str"/>
    </x:row>
    <x:row r="598">
      <x:c r="A598" s="51" t="str">
        <x:v>ACT-ARM</x:v>
      </x:c>
      <x:c r="B598" s="51" t="str">
        <x:v>Arm</x:v>
      </x:c>
      <x:c r="C598" s="51" t="str">
        <x:v>Organisation / system</x:v>
      </x:c>
      <x:c r="D598" s="51" t="str">
        <x:v>Unspecified</x:v>
      </x:c>
      <x:c r="E598" s="51" t="str">
        <x:v>Network participant</x:v>
      </x:c>
      <x:c r="F598" s="51" t="str"/>
    </x:row>
    <x:row r="599">
      <x:c r="A599" s="51" t="str">
        <x:v>ACT-SEC</x:v>
      </x:c>
      <x:c r="B599" s="51" t="str">
        <x:v>SEC</x:v>
      </x:c>
      <x:c r="C599" s="51" t="str">
        <x:v>Organisation / system</x:v>
      </x:c>
      <x:c r="D599" s="51" t="str">
        <x:v>Unspecified</x:v>
      </x:c>
      <x:c r="E599" s="51" t="str">
        <x:v>Network participant</x:v>
      </x:c>
      <x:c r="F599" s="51" t="str"/>
    </x:row>
    <x:row r="600">
      <x:c r="A600" s="51" t="str">
        <x:v>ACT-SYNOPSYS</x:v>
      </x:c>
      <x:c r="B600" s="51" t="str">
        <x:v>Synopsys</x:v>
      </x:c>
      <x:c r="C600" s="51" t="str">
        <x:v>Organisation / system</x:v>
      </x:c>
      <x:c r="D600" s="51" t="str">
        <x:v>Unspecified</x:v>
      </x:c>
      <x:c r="E600" s="51" t="str">
        <x:v>Network participant</x:v>
      </x:c>
      <x:c r="F600" s="51" t="str"/>
    </x:row>
    <x:row r="601">
      <x:c r="A601" s="51" t="str">
        <x:v>ACT-TECHNOLOGYCOMPANIES</x:v>
      </x:c>
      <x:c r="B601" s="51" t="str">
        <x:v>Technology companies</x:v>
      </x:c>
      <x:c r="C601" s="51" t="str">
        <x:v>Organisation / system</x:v>
      </x:c>
      <x:c r="D601" s="51" t="str">
        <x:v>Unspecified</x:v>
      </x:c>
      <x:c r="E601" s="51" t="str">
        <x:v>Network participant</x:v>
      </x:c>
      <x:c r="F601" s="51" t="str"/>
    </x:row>
    <x:row r="602">
      <x:c r="A602" s="51" t="str">
        <x:v>ACT-USAIACTIONPLANANDDATACEN</x:v>
      </x:c>
      <x:c r="B602" s="51" t="str">
        <x:v>US AI Action Plan and data-center permitting initiative</x:v>
      </x:c>
      <x:c r="C602" s="51" t="str">
        <x:v>Organisation / system</x:v>
      </x:c>
      <x:c r="D602" s="51" t="str">
        <x:v>Unspecified</x:v>
      </x:c>
      <x:c r="E602" s="51" t="str">
        <x:v>Network participant</x:v>
      </x:c>
      <x:c r="F602" s="51" t="str"/>
    </x:row>
    <x:row r="603">
      <x:c r="A603" s="51" t="str">
        <x:v>ACT-USARMY</x:v>
      </x:c>
      <x:c r="B603" s="51" t="str">
        <x:v>US Army</x:v>
      </x:c>
      <x:c r="C603" s="51" t="str">
        <x:v>Organisation / system</x:v>
      </x:c>
      <x:c r="D603" s="51" t="str">
        <x:v>Unspecified</x:v>
      </x:c>
      <x:c r="E603" s="51" t="str">
        <x:v>Network participant</x:v>
      </x:c>
      <x:c r="F603" s="51" t="str"/>
    </x:row>
    <x:row r="604">
      <x:c r="A604" s="51" t="str">
        <x:v>ACT-STRIPE</x:v>
      </x:c>
      <x:c r="B604" s="51" t="str">
        <x:v>Stripe</x:v>
      </x:c>
      <x:c r="C604" s="51" t="str">
        <x:v>Payment and financial-infrastructure company</x:v>
      </x:c>
      <x:c r="D604" s="51" t="str">
        <x:v>United States / international</x:v>
      </x:c>
      <x:c r="E604" s="51" t="str">
        <x:v>Provides payment orchestration, billing, fraud and platform infrastructure</x:v>
      </x:c>
      <x:c r="F604" s="51" t="str"/>
    </x:row>
    <x:row r="605">
      <x:c r="A605" s="51" t="str">
        <x:v>ACT-CIPS</x:v>
      </x:c>
      <x:c r="B605" s="51" t="str">
        <x:v>CIPS</x:v>
      </x:c>
      <x:c r="C605" s="51" t="str">
        <x:v>Payment and settlement infrastructure</x:v>
      </x:c>
      <x:c r="D605" s="51" t="str">
        <x:v>China</x:v>
      </x:c>
      <x:c r="E605" s="51" t="str">
        <x:v>RMB cross-border clearing and settlement</x:v>
      </x:c>
      <x:c r="F605" s="51" t="str"/>
    </x:row>
    <x:row r="606">
      <x:c r="A606" s="51" t="str">
        <x:v>ACT-MERCHANTACQUIRERSANDPROC</x:v>
      </x:c>
      <x:c r="B606" s="51" t="str">
        <x:v>Merchant acquirers and processors</x:v>
      </x:c>
      <x:c r="C606" s="51" t="str">
        <x:v>Payment intermediary group</x:v>
      </x:c>
      <x:c r="D606" s="51" t="str">
        <x:v>International</x:v>
      </x:c>
      <x:c r="E606" s="51" t="str">
        <x:v>Connect merchants to card and account-payment networks</x:v>
      </x:c>
      <x:c r="F606" s="51" t="str"/>
    </x:row>
    <x:row r="607">
      <x:c r="A607" s="51" t="str">
        <x:v>ACT-SWIFT</x:v>
      </x:c>
      <x:c r="B607" s="51" t="str">
        <x:v>SWIFT</x:v>
      </x:c>
      <x:c r="C607" s="51" t="str">
        <x:v>Payment messaging network</x:v>
      </x:c>
      <x:c r="D607" s="51" t="str">
        <x:v>International</x:v>
      </x:c>
      <x:c r="E607" s="51" t="str">
        <x:v>Financial messaging and standards</x:v>
      </x:c>
      <x:c r="F607" s="51" t="str"/>
    </x:row>
    <x:row r="608">
      <x:c r="A608" s="51" t="str">
        <x:v>ACT-MASTERCARD</x:v>
      </x:c>
      <x:c r="B608" s="51" t="str">
        <x:v>Mastercard</x:v>
      </x:c>
      <x:c r="C608" s="51" t="str">
        <x:v>Payment network</x:v>
      </x:c>
      <x:c r="D608" s="51" t="str">
        <x:v>United States / international</x:v>
      </x:c>
      <x:c r="E608" s="51" t="str">
        <x:v>Global card and payment-processing network</x:v>
      </x:c>
      <x:c r="F608" s="51" t="str"/>
    </x:row>
    <x:row r="609">
      <x:c r="A609" s="51" t="str">
        <x:v>ACT-VISA</x:v>
      </x:c>
      <x:c r="B609" s="51" t="str">
        <x:v>Visa</x:v>
      </x:c>
      <x:c r="C609" s="51" t="str">
        <x:v>Payment network</x:v>
      </x:c>
      <x:c r="D609" s="51" t="str">
        <x:v>United States / international</x:v>
      </x:c>
      <x:c r="E609" s="51" t="str">
        <x:v>Global card and digital-payment acceptance and processing network</x:v>
      </x:c>
      <x:c r="F609" s="51" t="str"/>
    </x:row>
    <x:row r="610">
      <x:c r="A610" s="51" t="str">
        <x:v>ACT-PAYMENTTOKENSERVICEPROVI</x:v>
      </x:c>
      <x:c r="B610" s="51" t="str">
        <x:v>Payment token service providers</x:v>
      </x:c>
      <x:c r="C610" s="51" t="str">
        <x:v>Payment security infrastructure group</x:v>
      </x:c>
      <x:c r="D610" s="51" t="str">
        <x:v>International</x:v>
      </x:c>
      <x:c r="E610" s="51" t="str">
        <x:v>Replace primary account numbers with network or device tokens</x:v>
      </x:c>
      <x:c r="F610" s="51" t="str"/>
    </x:row>
    <x:row r="611">
      <x:c r="A611" s="51" t="str">
        <x:v>ACT-THECLEARINGHOUSE</x:v>
      </x:c>
      <x:c r="B611" s="51" t="str">
        <x:v>The Clearing House</x:v>
      </x:c>
      <x:c r="C611" s="51" t="str">
        <x:v>Payment-system operator</x:v>
      </x:c>
      <x:c r="D611" s="51" t="str">
        <x:v>United States</x:v>
      </x:c>
      <x:c r="E611" s="51" t="str">
        <x:v>Operator of CHIPS, RTP and other US payment infrastructure</x:v>
      </x:c>
      <x:c r="F611" s="51" t="str"/>
    </x:row>
    <x:row r="612">
      <x:c r="A612" s="51" t="str">
        <x:v>ACT-MICHAELMIEBACH</x:v>
      </x:c>
      <x:c r="B612" s="51" t="str">
        <x:v>Michael Miebach</x:v>
      </x:c>
      <x:c r="C612" s="51" t="str">
        <x:v>Payments executive</x:v>
      </x:c>
      <x:c r="D612" s="51" t="str">
        <x:v>United States</x:v>
      </x:c>
      <x:c r="E612" s="51" t="str">
        <x:v>Chief Executive Officer and President of Mastercard</x:v>
      </x:c>
      <x:c r="F612" s="51" t="str"/>
    </x:row>
    <x:row r="613">
      <x:c r="A613" s="51" t="str">
        <x:v>ACT-RYANMCINERNEY</x:v>
      </x:c>
      <x:c r="B613" s="51" t="str">
        <x:v>Ryan McInerney</x:v>
      </x:c>
      <x:c r="C613" s="51" t="str">
        <x:v>Payments executive</x:v>
      </x:c>
      <x:c r="D613" s="51" t="str">
        <x:v>United States</x:v>
      </x:c>
      <x:c r="E613" s="51" t="str">
        <x:v>Chief Executive Officer of Visa</x:v>
      </x:c>
      <x:c r="F613" s="51" t="str"/>
    </x:row>
    <x:row r="614">
      <x:c r="A614" s="51" t="str">
        <x:v>ACT-BUILDINGDEPARTMENTS</x:v>
      </x:c>
      <x:c r="B614" s="51" t="str">
        <x:v>Building departments</x:v>
      </x:c>
      <x:c r="C614" s="51" t="str">
        <x:v>Permit and code authority group</x:v>
      </x:c>
      <x:c r="D614" s="51" t="str">
        <x:v>United States</x:v>
      </x:c>
      <x:c r="E614" s="51" t="str">
        <x:v>Issue construction permits and enforce building codes</x:v>
      </x:c>
      <x:c r="F614" s="51" t="str"/>
    </x:row>
    <x:row r="615">
      <x:c r="A615" s="51" t="str">
        <x:v>ACT-ABDULELSAYED</x:v>
      </x:c>
      <x:c r="B615" s="51" t="str">
        <x:v>Abdul El-Sayed</x:v>
      </x:c>
      <x:c r="C615" s="51" t="str">
        <x:v>Person</x:v>
      </x:c>
      <x:c r="D615" s="51" t="str">
        <x:v>United States</x:v>
      </x:c>
      <x:c r="E615" s="51" t="str">
        <x:v>Candidate opposed within the same electoral contest</x:v>
      </x:c>
      <x:c r="F615" s="51" t="str"/>
    </x:row>
    <x:row r="616">
      <x:c r="A616" s="51" t="str">
        <x:v>ACT-ALEXKARP</x:v>
      </x:c>
      <x:c r="B616" s="51" t="str">
        <x:v>Alex Karp</x:v>
      </x:c>
      <x:c r="C616" s="51" t="str">
        <x:v>Person</x:v>
      </x:c>
      <x:c r="D616" s="51" t="str">
        <x:v>United States</x:v>
      </x:c>
      <x:c r="E616" s="51" t="str">
        <x:v>Palantir CEO and institutional representative</x:v>
      </x:c>
      <x:c r="F616" s="51" t="str"/>
    </x:row>
    <x:row r="617">
      <x:c r="A617" s="51" t="str">
        <x:v>ACT-EHUDBARAK</x:v>
      </x:c>
      <x:c r="B617" s="51" t="str">
        <x:v>Ehud Barak</x:v>
      </x:c>
      <x:c r="C617" s="51" t="str">
        <x:v>Person</x:v>
      </x:c>
      <x:c r="D617" s="51" t="str">
        <x:v>Israel</x:v>
      </x:c>
      <x:c r="E617" s="51" t="str">
        <x:v>Former prime minister/defence minister and technology investor</x:v>
      </x:c>
      <x:c r="F617" s="51" t="str"/>
    </x:row>
    <x:row r="618">
      <x:c r="A618" s="51" t="str">
        <x:v>ACT-HALEYSTEVENS</x:v>
      </x:c>
      <x:c r="B618" s="51" t="str">
        <x:v>Haley Stevens</x:v>
      </x:c>
      <x:c r="C618" s="51" t="str">
        <x:v>Person</x:v>
      </x:c>
      <x:c r="D618" s="51" t="str">
        <x:v>United States</x:v>
      </x:c>
      <x:c r="E618" s="51" t="str">
        <x:v>Candidate supported by major outside spending</x:v>
      </x:c>
      <x:c r="F618" s="51" t="str"/>
    </x:row>
    <x:row r="619">
      <x:c r="A619" s="51" t="str">
        <x:v>ACT-JEFFREYEPSTEIN</x:v>
      </x:c>
      <x:c r="B619" s="51" t="str">
        <x:v>Jeffrey Epstein</x:v>
      </x:c>
      <x:c r="C619" s="51" t="str">
        <x:v>Person</x:v>
      </x:c>
      <x:c r="D619" s="51" t="str">
        <x:v>United States</x:v>
      </x:c>
      <x:c r="E619" s="51" t="str">
        <x:v>Elite social/financial broker and convicted sex offender</x:v>
      </x:c>
      <x:c r="F619" s="51" t="str"/>
    </x:row>
    <x:row r="620">
      <x:c r="A620" s="51" t="str">
        <x:v>ACT-NAFTALIBENNETT</x:v>
      </x:c>
      <x:c r="B620" s="51" t="str">
        <x:v>Naftali Bennett</x:v>
      </x:c>
      <x:c r="C620" s="51" t="str">
        <x:v>Person</x:v>
      </x:c>
      <x:c r="D620" s="51" t="str">
        <x:v>Israel</x:v>
      </x:c>
      <x:c r="E620" s="51" t="str">
        <x:v>Former prime minister and public source of denial</x:v>
      </x:c>
      <x:c r="F620" s="51" t="str"/>
    </x:row>
    <x:row r="621">
      <x:c r="A621" s="51" t="str">
        <x:v>ACT-NICOLSMADURO</x:v>
      </x:c>
      <x:c r="B621" s="51" t="str">
        <x:v>Nicolás Maduro</x:v>
      </x:c>
      <x:c r="C621" s="51" t="str">
        <x:v>Person</x:v>
      </x:c>
      <x:c r="D621" s="51" t="str">
        <x:v>Venezuela</x:v>
      </x:c>
      <x:c r="E621" s="51" t="str">
        <x:v>Subject of reported 2026 US operation</x:v>
      </x:c>
      <x:c r="F621" s="51" t="str"/>
    </x:row>
    <x:row r="622">
      <x:c r="A622" s="51" t="str">
        <x:v>ACT-PETERTHIEL</x:v>
      </x:c>
      <x:c r="B622" s="51" t="str">
        <x:v>Peter Thiel</x:v>
      </x:c>
      <x:c r="C622" s="51" t="str">
        <x:v>Person</x:v>
      </x:c>
      <x:c r="D622" s="51" t="str">
        <x:v>United States</x:v>
      </x:c>
      <x:c r="E622" s="51" t="str">
        <x:v>Founder-investor connecting technology, capital, politics and defence</x:v>
      </x:c>
      <x:c r="F622" s="51" t="str"/>
    </x:row>
    <x:row r="623">
      <x:c r="A623" s="51" t="str">
        <x:v>ACT-ALEXANDRWANG</x:v>
      </x:c>
      <x:c r="B623" s="51" t="str">
        <x:v>Alexandr Wang</x:v>
      </x:c>
      <x:c r="C623" s="51" t="str">
        <x:v>Person / AI executive</x:v>
      </x:c>
      <x:c r="D623" s="51" t="str">
        <x:v>United States</x:v>
      </x:c>
      <x:c r="E623" s="51" t="str">
        <x:v>Scale AI co-founder and Meta AI leadership figure</x:v>
      </x:c>
      <x:c r="F623" s="51" t="str"/>
    </x:row>
    <x:row r="624">
      <x:c r="A624" s="51" t="str">
        <x:v>ACT-DANIELAAMODEI</x:v>
      </x:c>
      <x:c r="B624" s="51" t="str">
        <x:v>Daniela Amodei</x:v>
      </x:c>
      <x:c r="C624" s="51" t="str">
        <x:v>Person / AI executive</x:v>
      </x:c>
      <x:c r="D624" s="51" t="str">
        <x:v>United States</x:v>
      </x:c>
      <x:c r="E624" s="51" t="str">
        <x:v>Anthropic co-founder and president</x:v>
      </x:c>
      <x:c r="F624" s="51" t="str"/>
    </x:row>
    <x:row r="625">
      <x:c r="A625" s="51" t="str">
        <x:v>ACT-DARIOAMODEI</x:v>
      </x:c>
      <x:c r="B625" s="51" t="str">
        <x:v>Dario Amodei</x:v>
      </x:c>
      <x:c r="C625" s="51" t="str">
        <x:v>Person / AI executive</x:v>
      </x:c>
      <x:c r="D625" s="51" t="str">
        <x:v>United States</x:v>
      </x:c>
      <x:c r="E625" s="51" t="str">
        <x:v>Anthropic co-founder and CEO</x:v>
      </x:c>
      <x:c r="F625" s="51" t="str"/>
    </x:row>
    <x:row r="626">
      <x:c r="A626" s="51" t="str">
        <x:v>ACT-SAMALTMAN</x:v>
      </x:c>
      <x:c r="B626" s="51" t="str">
        <x:v>Sam Altman</x:v>
      </x:c>
      <x:c r="C626" s="51" t="str">
        <x:v>Person / AI executive</x:v>
      </x:c>
      <x:c r="D626" s="51" t="str">
        <x:v>United States</x:v>
      </x:c>
      <x:c r="E626" s="51" t="str">
        <x:v>OpenAI CEO and board member</x:v>
      </x:c>
      <x:c r="F626" s="51" t="str"/>
    </x:row>
    <x:row r="627">
      <x:c r="A627" s="51" t="str">
        <x:v>ACT-NOAMCHOMSKY</x:v>
      </x:c>
      <x:c r="B627" s="51" t="str">
        <x:v>Noam Chomsky</x:v>
      </x:c>
      <x:c r="C627" s="51" t="str">
        <x:v>Person / academic</x:v>
      </x:c>
      <x:c r="D627" s="51" t="str">
        <x:v>United States</x:v>
      </x:c>
      <x:c r="E627" s="51" t="str">
        <x:v>Documented meetings with Epstein</x:v>
      </x:c>
      <x:c r="F627" s="51" t="str"/>
    </x:row>
    <x:row r="628">
      <x:c r="A628" s="51" t="str">
        <x:v>ACT-JOIITO</x:v>
      </x:c>
      <x:c r="B628" s="51" t="str">
        <x:v>Joi Ito</x:v>
      </x:c>
      <x:c r="C628" s="51" t="str">
        <x:v>Person / academic executive</x:v>
      </x:c>
      <x:c r="D628" s="51" t="str">
        <x:v>Japan / United States</x:v>
      </x:c>
      <x:c r="E628" s="51" t="str">
        <x:v>Former MIT Media Lab director involved in Epstein donations</x:v>
      </x:c>
      <x:c r="F628" s="51" t="str"/>
    </x:row>
    <x:row r="629">
      <x:c r="A629" s="51" t="str">
        <x:v>ACT-JESSTALEY</x:v>
      </x:c>
      <x:c r="B629" s="51" t="str">
        <x:v>Jes Staley</x:v>
      </x:c>
      <x:c r="C629" s="51" t="str">
        <x:v>Person / bank executive</x:v>
      </x:c>
      <x:c r="D629" s="51" t="str">
        <x:v>United States / United Kingdom</x:v>
      </x:c>
      <x:c r="E629" s="51" t="str">
        <x:v>Former JPMorgan and Barclays executive with extensive Epstein correspondence</x:v>
      </x:c>
      <x:c r="F629" s="51" t="str"/>
    </x:row>
    <x:row r="630">
      <x:c r="A630" s="51" t="str">
        <x:v>ACT-DONALDTRUMPJR</x:v>
      </x:c>
      <x:c r="B630" s="51" t="str">
        <x:v>Donald Trump Jr.</x:v>
      </x:c>
      <x:c r="C630" s="51" t="str">
        <x:v>Person / business executive</x:v>
      </x:c>
      <x:c r="D630" s="51" t="str">
        <x:v>United States</x:v>
      </x:c>
      <x:c r="E630" s="51" t="str">
        <x:v>Trump-family business and political-network actor</x:v>
      </x:c>
      <x:c r="F630" s="51" t="str"/>
    </x:row>
    <x:row r="631">
      <x:c r="A631" s="51" t="str">
        <x:v>ACT-ERICTRUMP</x:v>
      </x:c>
      <x:c r="B631" s="51" t="str">
        <x:v>Eric Trump</x:v>
      </x:c>
      <x:c r="C631" s="51" t="str">
        <x:v>Person / business executive</x:v>
      </x:c>
      <x:c r="D631" s="51" t="str">
        <x:v>United States</x:v>
      </x:c>
      <x:c r="E631" s="51" t="str">
        <x:v>Trump-family business and crypto actor</x:v>
      </x:c>
      <x:c r="F631" s="51" t="str"/>
    </x:row>
    <x:row r="632">
      <x:c r="A632" s="51" t="str">
        <x:v>ACT-HOWARDLUTNICK</x:v>
      </x:c>
      <x:c r="B632" s="51" t="str">
        <x:v>Howard Lutnick</x:v>
      </x:c>
      <x:c r="C632" s="51" t="str">
        <x:v>Person / commerce secretary / executive</x:v>
      </x:c>
      <x:c r="D632" s="51" t="str">
        <x:v>United States</x:v>
      </x:c>
      <x:c r="E632" s="51" t="str">
        <x:v>Current public official with documented historical Epstein social contact</x:v>
      </x:c>
      <x:c r="F632" s="51" t="str"/>
    </x:row>
    <x:row r="633">
      <x:c r="A633" s="51" t="str">
        <x:v>ACT-GHISLAINEMAXWELL</x:v>
      </x:c>
      <x:c r="B633" s="51" t="str">
        <x:v>Ghislaine Maxwell</x:v>
      </x:c>
      <x:c r="C633" s="51" t="str">
        <x:v>Person / convicted trafficker</x:v>
      </x:c>
      <x:c r="D633" s="51" t="str">
        <x:v>United Kingdom / United States</x:v>
      </x:c>
      <x:c r="E633" s="51" t="str">
        <x:v>Epstein associate convicted for facilitating abuse</x:v>
      </x:c>
      <x:c r="F633" s="51" t="str"/>
    </x:row>
    <x:row r="634">
      <x:c r="A634" s="51" t="str">
        <x:v>ACT-TERJERDLARSEN</x:v>
      </x:c>
      <x:c r="B634" s="51" t="str">
        <x:v>Terje Rød-Larsen</x:v>
      </x:c>
      <x:c r="C634" s="51" t="str">
        <x:v>Person / diplomat / nonprofit executive</x:v>
      </x:c>
      <x:c r="D634" s="51" t="str">
        <x:v>Norway / international</x:v>
      </x:c>
      <x:c r="E634" s="51" t="str">
        <x:v>Former IPI president and Epstein associate</x:v>
      </x:c>
      <x:c r="F634" s="51" t="str"/>
    </x:row>
    <x:row r="635">
      <x:c r="A635" s="51" t="str">
        <x:v>ACT-BENBERNANKE</x:v>
      </x:c>
      <x:c r="B635" s="51" t="str">
        <x:v>Ben Bernanke</x:v>
      </x:c>
      <x:c r="C635" s="51" t="str">
        <x:v>Person / economist / former central banker</x:v>
      </x:c>
      <x:c r="D635" s="51" t="str">
        <x:v>United States</x:v>
      </x:c>
      <x:c r="E635" s="51" t="str">
        <x:v>Anthropic Long-Term Benefit Trust member</x:v>
      </x:c>
      <x:c r="F635" s="51" t="str"/>
    </x:row>
    <x:row r="636">
      <x:c r="A636" s="51" t="str">
        <x:v>ACT-LARRYSUMMERS</x:v>
      </x:c>
      <x:c r="B636" s="51" t="str">
        <x:v>Larry Summers</x:v>
      </x:c>
      <x:c r="C636" s="51" t="str">
        <x:v>Person / economist / former official</x:v>
      </x:c>
      <x:c r="D636" s="51" t="str">
        <x:v>United States</x:v>
      </x:c>
      <x:c r="E636" s="51" t="str">
        <x:v>Former Harvard president and documented Epstein associate</x:v>
      </x:c>
      <x:c r="F636" s="51" t="str"/>
    </x:row>
    <x:row r="637">
      <x:c r="A637" s="51" t="str">
        <x:v>ACT-ZACHWITKOFF</x:v>
      </x:c>
      <x:c r="B637" s="51" t="str">
        <x:v>Zach Witkoff</x:v>
      </x:c>
      <x:c r="C637" s="51" t="str">
        <x:v>Person / entrepreneur</x:v>
      </x:c>
      <x:c r="D637" s="51" t="str">
        <x:v>United States</x:v>
      </x:c>
      <x:c r="E637" s="51" t="str">
        <x:v>World Liberty co-founder and transaction representative</x:v>
      </x:c>
      <x:c r="F637" s="51" t="str"/>
    </x:row>
    <x:row r="638">
      <x:c r="A638" s="51" t="str">
        <x:v>ACT-CHRISLIDDELL</x:v>
      </x:c>
      <x:c r="B638" s="51" t="str">
        <x:v>Chris Liddell</x:v>
      </x:c>
      <x:c r="C638" s="51" t="str">
        <x:v>Person / executive / former official</x:v>
      </x:c>
      <x:c r="D638" s="51" t="str">
        <x:v>New Zealand / United States</x:v>
      </x:c>
      <x:c r="E638" s="51" t="str">
        <x:v>Anthropic director and former White House official</x:v>
      </x:c>
      <x:c r="F638" s="51" t="str"/>
    </x:row>
    <x:row r="639">
      <x:c r="A639" s="51" t="str">
        <x:v>ACT-BILLCLINTON</x:v>
      </x:c>
      <x:c r="B639" s="51" t="str">
        <x:v>Bill Clinton</x:v>
      </x:c>
      <x:c r="C639" s="51" t="str">
        <x:v>Person / former president</x:v>
      </x:c>
      <x:c r="D639" s="51" t="str">
        <x:v>United States</x:v>
      </x:c>
      <x:c r="E639" s="51" t="str">
        <x:v>Former president with documented Epstein association; no charge from file appearance alone</x:v>
      </x:c>
      <x:c r="F639" s="51" t="str"/>
    </x:row>
    <x:row r="640">
      <x:c r="A640" s="51" t="str">
        <x:v>ACT-ANDREWMOUNTBATTENWINDSOR</x:v>
      </x:c>
      <x:c r="B640" s="51" t="str">
        <x:v>Andrew Mountbatten-Windsor</x:v>
      </x:c>
      <x:c r="C640" s="51" t="str">
        <x:v>Person / former prince</x:v>
      </x:c>
      <x:c r="D640" s="51" t="str">
        <x:v>United Kingdom</x:v>
      </x:c>
      <x:c r="E640" s="51" t="str">
        <x:v>Extensively documented Epstein/Maxwell associate</x:v>
      </x:c>
      <x:c r="F640" s="51" t="str"/>
    </x:row>
    <x:row r="641">
      <x:c r="A641" s="51" t="str">
        <x:v>ACT-MARKSUZMAN</x:v>
      </x:c>
      <x:c r="B641" s="51" t="str">
        <x:v>Mark Suzman</x:v>
      </x:c>
      <x:c r="C641" s="51" t="str">
        <x:v>Person / foundation executive</x:v>
      </x:c>
      <x:c r="D641" s="51" t="str">
        <x:v>United States / South Africa</x:v>
      </x:c>
      <x:c r="E641" s="51" t="str">
        <x:v>Gates Foundation CEO and governance-reform authority</x:v>
      </x:c>
      <x:c r="F641" s="51" t="str"/>
    </x:row>
    <x:row r="642">
      <x:c r="A642" s="51" t="str">
        <x:v>ACT-BOBMUMGAARD</x:v>
      </x:c>
      <x:c r="B642" s="51" t="str">
        <x:v>Bob Mumgaard</x:v>
      </x:c>
      <x:c r="C642" s="51" t="str">
        <x:v>Person / fusion executive</x:v>
      </x:c>
      <x:c r="D642" s="51" t="str">
        <x:v>United States</x:v>
      </x:c>
      <x:c r="E642" s="51" t="str">
        <x:v>Commonwealth Fusion Systems CEO and PCAST member</x:v>
      </x:c>
      <x:c r="F642" s="51" t="str"/>
    </x:row>
    <x:row r="643">
      <x:c r="A643" s="51" t="str">
        <x:v>ACT-MICHAELKRATSIOS</x:v>
      </x:c>
      <x:c r="B643" s="51" t="str">
        <x:v>Michael Kratsios</x:v>
      </x:c>
      <x:c r="C643" s="51" t="str">
        <x:v>Person / government technology official</x:v>
      </x:c>
      <x:c r="D643" s="51" t="str">
        <x:v>United States</x:v>
      </x:c>
      <x:c r="E643" s="51" t="str">
        <x:v>PCAST co-chair and technology-policy official</x:v>
      </x:c>
      <x:c r="F643" s="51" t="str"/>
    </x:row>
    <x:row r="644">
      <x:c r="A644" s="51" t="str">
        <x:v>ACT-BORGEBRENDE</x:v>
      </x:c>
      <x:c r="B644" s="51" t="str">
        <x:v>Borge Brende</x:v>
      </x:c>
      <x:c r="C644" s="51" t="str">
        <x:v>Person / international-organisation executive</x:v>
      </x:c>
      <x:c r="D644" s="51" t="str">
        <x:v>Norway / international</x:v>
      </x:c>
      <x:c r="E644" s="51" t="str">
        <x:v>Documented Epstein dinners/emails and former WEF president</x:v>
      </x:c>
      <x:c r="F644" s="51" t="str"/>
    </x:row>
    <x:row r="645">
      <x:c r="A645" s="51" t="str">
        <x:v>ACT-ADEBAYOOGUNLESI</x:v>
      </x:c>
      <x:c r="B645" s="51" t="str">
        <x:v>Adebayo Ogunlesi</x:v>
      </x:c>
      <x:c r="C645" s="51" t="str">
        <x:v>Person / investor</x:v>
      </x:c>
      <x:c r="D645" s="51" t="str">
        <x:v>United States / Nigeria</x:v>
      </x:c>
      <x:c r="E645" s="51" t="str">
        <x:v>OpenAI Foundation director and infrastructure investor</x:v>
      </x:c>
      <x:c r="F645" s="51" t="str"/>
    </x:row>
    <x:row r="646">
      <x:c r="A646" s="51" t="str">
        <x:v>ACT-LEONBLACK</x:v>
      </x:c>
      <x:c r="B646" s="51" t="str">
        <x:v>Leon Black</x:v>
      </x:c>
      <x:c r="C646" s="51" t="str">
        <x:v>Person / investor</x:v>
      </x:c>
      <x:c r="D646" s="51" t="str">
        <x:v>United States</x:v>
      </x:c>
      <x:c r="E646" s="51" t="str">
        <x:v>Apollo co-founder who paid Epstein for tax and estate services</x:v>
      </x:c>
      <x:c r="F646" s="51" t="str"/>
    </x:row>
    <x:row r="647">
      <x:c r="A647" s="51" t="str">
        <x:v>ACT-FREDEHRSAM</x:v>
      </x:c>
      <x:c r="B647" s="51" t="str">
        <x:v>Fred Ehrsam</x:v>
      </x:c>
      <x:c r="C647" s="51" t="str">
        <x:v>Person / investor / crypto founder</x:v>
      </x:c>
      <x:c r="D647" s="51" t="str">
        <x:v>United States</x:v>
      </x:c>
      <x:c r="E647" s="51" t="str">
        <x:v>PCAST member and crypto/venture-capital actor</x:v>
      </x:c>
      <x:c r="F647" s="51" t="str"/>
    </x:row>
    <x:row r="648">
      <x:c r="A648" s="51" t="str">
        <x:v>ACT-DAVIDFRIEDBERG</x:v>
      </x:c>
      <x:c r="B648" s="51" t="str">
        <x:v>David Friedberg</x:v>
      </x:c>
      <x:c r="C648" s="51" t="str">
        <x:v>Person / investor / entrepreneur</x:v>
      </x:c>
      <x:c r="D648" s="51" t="str">
        <x:v>United States</x:v>
      </x:c>
      <x:c r="E648" s="51" t="str">
        <x:v>PCAST member and technology investor</x:v>
      </x:c>
      <x:c r="F648" s="51" t="str"/>
    </x:row>
    <x:row r="649">
      <x:c r="A649" s="51" t="str">
        <x:v>ACT-JAREDKUSHNER</x:v>
      </x:c>
      <x:c r="B649" s="51" t="str">
        <x:v>Jared Kushner</x:v>
      </x:c>
      <x:c r="C649" s="51" t="str">
        <x:v>Person / investor / former official</x:v>
      </x:c>
      <x:c r="D649" s="51" t="str">
        <x:v>United States</x:v>
      </x:c>
      <x:c r="E649" s="51" t="str">
        <x:v>Former White House adviser and owner of Affinity Partners</x:v>
      </x:c>
      <x:c r="F649" s="51" t="str"/>
    </x:row>
    <x:row r="650">
      <x:c r="A650" s="51" t="str">
        <x:v>ACT-DAVIDSACKS</x:v>
      </x:c>
      <x:c r="B650" s="51" t="str">
        <x:v>David Sacks</x:v>
      </x:c>
      <x:c r="C650" s="51" t="str">
        <x:v>Person / investor / former special government employee</x:v>
      </x:c>
      <x:c r="D650" s="51" t="str">
        <x:v>United States</x:v>
      </x:c>
      <x:c r="E650" s="51" t="str">
        <x:v>Former White House AI/crypto czar; PCAST co-chair</x:v>
      </x:c>
      <x:c r="F650" s="51" t="str"/>
    </x:row>
    <x:row r="651">
      <x:c r="A651" s="51" t="str">
        <x:v>ACT-MARIANOFLORENTINOCULLAR</x:v>
      </x:c>
      <x:c r="B651" s="51" t="str">
        <x:v>Mariano-Florentino Cuéllar</x:v>
      </x:c>
      <x:c r="C651" s="51" t="str">
        <x:v>Person / jurist / policy leader</x:v>
      </x:c>
      <x:c r="D651" s="51" t="str">
        <x:v>United States</x:v>
      </x:c>
      <x:c r="E651" s="51" t="str">
        <x:v>Anthropic Long-Term Benefit Trust member</x:v>
      </x:c>
      <x:c r="F651" s="51" t="str"/>
    </x:row>
    <x:row r="652">
      <x:c r="A652" s="51" t="str">
        <x:v>ACT-BRADKARP</x:v>
      </x:c>
      <x:c r="B652" s="51" t="str">
        <x:v>Brad Karp</x:v>
      </x:c>
      <x:c r="C652" s="51" t="str">
        <x:v>Person / lawyer</x:v>
      </x:c>
      <x:c r="D652" s="51" t="str">
        <x:v>United States</x:v>
      </x:c>
      <x:c r="E652" s="51" t="str">
        <x:v>Documented Epstein communications and former Paul Weiss chair</x:v>
      </x:c>
      <x:c r="F652" s="51" t="str"/>
    </x:row>
    <x:row r="653">
      <x:c r="A653" s="51" t="str">
        <x:v>ACT-KATHYRUEMMLER</x:v>
      </x:c>
      <x:c r="B653" s="51" t="str">
        <x:v>Kathy Ruemmler</x:v>
      </x:c>
      <x:c r="C653" s="51" t="str">
        <x:v>Person / lawyer / former official</x:v>
      </x:c>
      <x:c r="D653" s="51" t="str">
        <x:v>United States</x:v>
      </x:c>
      <x:c r="E653" s="51" t="str">
        <x:v>Documented Epstein relationship and former Goldman legal executive</x:v>
      </x:c>
      <x:c r="F653" s="51" t="str"/>
    </x:row>
    <x:row r="654">
      <x:c r="A654" s="51" t="str">
        <x:v>ACT-TAHNOONBINZAYEDALNAHYAN</x:v>
      </x:c>
      <x:c r="B654" s="51" t="str">
        <x:v>Tahnoon bin Zayed Al Nahyan</x:v>
      </x:c>
      <x:c r="C654" s="51" t="str">
        <x:v>Person / national security adviser / investor</x:v>
      </x:c>
      <x:c r="D654" s="51" t="str">
        <x:v>United Arab Emirates</x:v>
      </x:c>
      <x:c r="E654" s="51" t="str">
        <x:v>UAE national-security and AI-capital authority</x:v>
      </x:c>
      <x:c r="F654" s="51" t="str"/>
    </x:row>
    <x:row r="655">
      <x:c r="A655" s="51" t="str">
        <x:v>ACT-RICHARDFONTAINE</x:v>
      </x:c>
      <x:c r="B655" s="51" t="str">
        <x:v>Richard Fontaine</x:v>
      </x:c>
      <x:c r="C655" s="51" t="str">
        <x:v>Person / national-security policy leader</x:v>
      </x:c>
      <x:c r="D655" s="51" t="str">
        <x:v>United States</x:v>
      </x:c>
      <x:c r="E655" s="51" t="str">
        <x:v>Anthropic Long-Term Benefit Trust member</x:v>
      </x:c>
      <x:c r="F655" s="51" t="str"/>
    </x:row>
    <x:row r="656">
      <x:c r="A656" s="51" t="str">
        <x:v>ACT-JACOBDEWITTE</x:v>
      </x:c>
      <x:c r="B656" s="51" t="str">
        <x:v>Jacob DeWitte</x:v>
      </x:c>
      <x:c r="C656" s="51" t="str">
        <x:v>Person / nuclear-energy executive</x:v>
      </x:c>
      <x:c r="D656" s="51" t="str">
        <x:v>United States</x:v>
      </x:c>
      <x:c r="E656" s="51" t="str">
        <x:v>Oklo co-founder and PCAST member</x:v>
      </x:c>
      <x:c r="F656" s="51" t="str"/>
    </x:row>
    <x:row r="657">
      <x:c r="A657" s="51" t="str">
        <x:v>ACT-VASNARASIMHAN</x:v>
      </x:c>
      <x:c r="B657" s="51" t="str">
        <x:v>Vas Narasimhan</x:v>
      </x:c>
      <x:c r="C657" s="51" t="str">
        <x:v>Person / pharmaceutical executive</x:v>
      </x:c>
      <x:c r="D657" s="51" t="str">
        <x:v>Switzerland / United States</x:v>
      </x:c>
      <x:c r="E657" s="51" t="str">
        <x:v>Trust-appointed Anthropic director</x:v>
      </x:c>
      <x:c r="F657" s="51" t="str"/>
    </x:row>
    <x:row r="658">
      <x:c r="A658" s="51" t="str">
        <x:v>ACT-PETERATTIA</x:v>
      </x:c>
      <x:c r="B658" s="51" t="str">
        <x:v>Peter Attia</x:v>
      </x:c>
      <x:c r="C658" s="51" t="str">
        <x:v>Person / physician</x:v>
      </x:c>
      <x:c r="D658" s="51" t="str">
        <x:v>Canada / United States</x:v>
      </x:c>
      <x:c r="E658" s="51" t="str">
        <x:v>Documented Epstein meetings; no evidence of criminal participation</x:v>
      </x:c>
      <x:c r="F658" s="51" t="str"/>
    </x:row>
    <x:row r="659">
      <x:c r="A659" s="51" t="str">
        <x:v>ACT-SETHLLOYD</x:v>
      </x:c>
      <x:c r="B659" s="51" t="str">
        <x:v>Seth Lloyd</x:v>
      </x:c>
      <x:c r="C659" s="51" t="str">
        <x:v>Person / physicist</x:v>
      </x:c>
      <x:c r="D659" s="51" t="str">
        <x:v>United States</x:v>
      </x:c>
      <x:c r="E659" s="51" t="str">
        <x:v>MIT professor who received Epstein-related support</x:v>
      </x:c>
      <x:c r="F659" s="51" t="str"/>
    </x:row>
    <x:row r="660">
      <x:c r="A660" s="51" t="str">
        <x:v>ACT-REBEKAHMERCER</x:v>
      </x:c>
      <x:c r="B660" s="51" t="str">
        <x:v>Rebekah Mercer</x:v>
      </x:c>
      <x:c r="C660" s="51" t="str">
        <x:v>Person / political donor</x:v>
      </x:c>
      <x:c r="D660" s="51" t="str">
        <x:v>United States</x:v>
      </x:c>
      <x:c r="E660" s="51" t="str">
        <x:v>Conservative political donor associated with Rockbridge</x:v>
      </x:c>
      <x:c r="F660" s="51" t="str"/>
    </x:row>
    <x:row r="661">
      <x:c r="A661" s="51" t="str">
        <x:v>ACT-STEVEBANNON</x:v>
      </x:c>
      <x:c r="B661" s="51" t="str">
        <x:v>Steve Bannon</x:v>
      </x:c>
      <x:c r="C661" s="51" t="str">
        <x:v>Person / political strategist</x:v>
      </x:c>
      <x:c r="D661" s="51" t="str">
        <x:v>United States</x:v>
      </x:c>
      <x:c r="E661" s="51" t="str">
        <x:v>Political actor with extensive reported communications with Epstein</x:v>
      </x:c>
      <x:c r="F661" s="51" t="str"/>
    </x:row>
    <x:row r="662">
      <x:c r="A662" s="51" t="str">
        <x:v>ACT-DONALDTRUMP</x:v>
      </x:c>
      <x:c r="B662" s="51" t="str">
        <x:v>Donald Trump</x:v>
      </x:c>
      <x:c r="C662" s="51" t="str">
        <x:v>Person / president</x:v>
      </x:c>
      <x:c r="D662" s="51" t="str">
        <x:v>United States</x:v>
      </x:c>
      <x:c r="E662" s="51" t="str">
        <x:v>Current US president; historical Epstein associate; family-business and policy node</x:v>
      </x:c>
      <x:c r="F662" s="51" t="str"/>
    </x:row>
    <x:row r="663">
      <x:c r="A663" s="51" t="str">
        <x:v>ACT-LESLIEWEXNER</x:v>
      </x:c>
      <x:c r="B663" s="51" t="str">
        <x:v>Leslie Wexner</x:v>
      </x:c>
      <x:c r="C663" s="51" t="str">
        <x:v>Person / retailer / philanthropist</x:v>
      </x:c>
      <x:c r="D663" s="51" t="str">
        <x:v>United States</x:v>
      </x:c>
      <x:c r="E663" s="51" t="str">
        <x:v>Former Epstein client and major source of Epstein's early status and assets</x:v>
      </x:c>
      <x:c r="F663" s="51" t="str"/>
    </x:row>
    <x:row r="664">
      <x:c r="A664" s="51" t="str">
        <x:v>ACT-PAULMNAKASONE</x:v>
      </x:c>
      <x:c r="B664" s="51" t="str">
        <x:v>Paul M. Nakasone</x:v>
      </x:c>
      <x:c r="C664" s="51" t="str">
        <x:v>Person / retired general</x:v>
      </x:c>
      <x:c r="D664" s="51" t="str">
        <x:v>United States</x:v>
      </x:c>
      <x:c r="E664" s="51" t="str">
        <x:v>OpenAI Foundation director and former NSA/Cyber Command leader</x:v>
      </x:c>
      <x:c r="F664" s="51" t="str"/>
    </x:row>
    <x:row r="665">
      <x:c r="A665" s="51" t="str">
        <x:v>ACT-JOHNMARTINIS</x:v>
      </x:c>
      <x:c r="B665" s="51" t="str">
        <x:v>John Martinis</x:v>
      </x:c>
      <x:c r="C665" s="51" t="str">
        <x:v>Person / scientist</x:v>
      </x:c>
      <x:c r="D665" s="51" t="str">
        <x:v>United States</x:v>
      </x:c>
      <x:c r="E665" s="51" t="str">
        <x:v>Quantum-computing scientist and PCAST member</x:v>
      </x:c>
      <x:c r="F665" s="51" t="str"/>
    </x:row>
    <x:row r="666">
      <x:c r="A666" s="51" t="str">
        <x:v>ACT-MARTINNOWAK</x:v>
      </x:c>
      <x:c r="B666" s="51" t="str">
        <x:v>Martin Nowak</x:v>
      </x:c>
      <x:c r="C666" s="51" t="str">
        <x:v>Person / scientist</x:v>
      </x:c>
      <x:c r="D666" s="51" t="str">
        <x:v>Austria / United States</x:v>
      </x:c>
      <x:c r="E666" s="51" t="str">
        <x:v>Harvard professor and recipient of major Epstein-backed programme funding</x:v>
      </x:c>
      <x:c r="F666" s="51" t="str"/>
    </x:row>
    <x:row r="667">
      <x:c r="A667" s="51" t="str">
        <x:v>ACT-STEVEWITKOFF</x:v>
      </x:c>
      <x:c r="B667" s="51" t="str">
        <x:v>Steve Witkoff</x:v>
      </x:c>
      <x:c r="C667" s="51" t="str">
        <x:v>Person / special envoy / investor</x:v>
      </x:c>
      <x:c r="D667" s="51" t="str">
        <x:v>United States</x:v>
      </x:c>
      <x:c r="E667" s="51" t="str">
        <x:v>Trump envoy and World Liberty co-founder emeritus</x:v>
      </x:c>
      <x:c r="F667" s="51" t="str"/>
    </x:row>
    <x:row r="668">
      <x:c r="A668" s="51" t="str">
        <x:v>ACT-BRETTAYLOR</x:v>
      </x:c>
      <x:c r="B668" s="51" t="str">
        <x:v>Bret Taylor</x:v>
      </x:c>
      <x:c r="C668" s="51" t="str">
        <x:v>Person / technology executive</x:v>
      </x:c>
      <x:c r="D668" s="51" t="str">
        <x:v>United States</x:v>
      </x:c>
      <x:c r="E668" s="51" t="str">
        <x:v>OpenAI Foundation board chair</x:v>
      </x:c>
      <x:c r="F668" s="51" t="str"/>
    </x:row>
    <x:row r="669">
      <x:c r="A669" s="51" t="str">
        <x:v>ACT-ELONMUSK</x:v>
      </x:c>
      <x:c r="B669" s="51" t="str">
        <x:v>Elon Musk</x:v>
      </x:c>
      <x:c r="C669" s="51" t="str">
        <x:v>Person / technology executive</x:v>
      </x:c>
      <x:c r="D669" s="51" t="str">
        <x:v>United States</x:v>
      </x:c>
      <x:c r="E669" s="51" t="str">
        <x:v>Political donor, former DOGE leader, federal contractor and AI/space executive</x:v>
      </x:c>
      <x:c r="F669" s="51" t="str"/>
    </x:row>
    <x:row r="670">
      <x:c r="A670" s="51" t="str">
        <x:v>ACT-JENSENHUANG</x:v>
      </x:c>
      <x:c r="B670" s="51" t="str">
        <x:v>Jensen Huang</x:v>
      </x:c>
      <x:c r="C670" s="51" t="str">
        <x:v>Person / technology executive</x:v>
      </x:c>
      <x:c r="D670" s="51" t="str">
        <x:v>United States</x:v>
      </x:c>
      <x:c r="E670" s="51" t="str">
        <x:v>Nvidia founder/CEO and PCAST member</x:v>
      </x:c>
      <x:c r="F670" s="51" t="str"/>
    </x:row>
    <x:row r="671">
      <x:c r="A671" s="51" t="str">
        <x:v>ACT-LISASU</x:v>
      </x:c>
      <x:c r="B671" s="51" t="str">
        <x:v>Lisa Su</x:v>
      </x:c>
      <x:c r="C671" s="51" t="str">
        <x:v>Person / technology executive</x:v>
      </x:c>
      <x:c r="D671" s="51" t="str">
        <x:v>United States</x:v>
      </x:c>
      <x:c r="E671" s="51" t="str">
        <x:v>AMD chair/CEO and PCAST member</x:v>
      </x:c>
      <x:c r="F671" s="51" t="str"/>
    </x:row>
    <x:row r="672">
      <x:c r="A672" s="51" t="str">
        <x:v>ACT-MARKZUCKERBERG</x:v>
      </x:c>
      <x:c r="B672" s="51" t="str">
        <x:v>Mark Zuckerberg</x:v>
      </x:c>
      <x:c r="C672" s="51" t="str">
        <x:v>Person / technology executive</x:v>
      </x:c>
      <x:c r="D672" s="51" t="str">
        <x:v>United States</x:v>
      </x:c>
      <x:c r="E672" s="51" t="str">
        <x:v>Meta founder/CEO and PCAST member</x:v>
      </x:c>
      <x:c r="F672" s="51" t="str"/>
    </x:row>
    <x:row r="673">
      <x:c r="A673" s="51" t="str">
        <x:v>ACT-MICHAELDELL</x:v>
      </x:c>
      <x:c r="B673" s="51" t="str">
        <x:v>Michael Dell</x:v>
      </x:c>
      <x:c r="C673" s="51" t="str">
        <x:v>Person / technology executive</x:v>
      </x:c>
      <x:c r="D673" s="51" t="str">
        <x:v>United States</x:v>
      </x:c>
      <x:c r="E673" s="51" t="str">
        <x:v>Dell founder/CEO and PCAST member</x:v>
      </x:c>
      <x:c r="F673" s="51" t="str"/>
    </x:row>
    <x:row r="674">
      <x:c r="A674" s="51" t="str">
        <x:v>ACT-SAFRACATZ</x:v>
      </x:c>
      <x:c r="B674" s="51" t="str">
        <x:v>Safra Catz</x:v>
      </x:c>
      <x:c r="C674" s="51" t="str">
        <x:v>Person / technology executive</x:v>
      </x:c>
      <x:c r="D674" s="51" t="str">
        <x:v>United States</x:v>
      </x:c>
      <x:c r="E674" s="51" t="str">
        <x:v>Oracle executive and PCAST member</x:v>
      </x:c>
      <x:c r="F674" s="51" t="str"/>
    </x:row>
    <x:row r="675">
      <x:c r="A675" s="51" t="str">
        <x:v>ACT-LARRYELLISON</x:v>
      </x:c>
      <x:c r="B675" s="51" t="str">
        <x:v>Larry Ellison</x:v>
      </x:c>
      <x:c r="C675" s="51" t="str">
        <x:v>Person / technology founder</x:v>
      </x:c>
      <x:c r="D675" s="51" t="str">
        <x:v>United States</x:v>
      </x:c>
      <x:c r="E675" s="51" t="str">
        <x:v>Oracle founder and AI-infrastructure actor; PCAST member</x:v>
      </x:c>
      <x:c r="F675" s="51" t="str"/>
    </x:row>
    <x:row r="676">
      <x:c r="A676" s="51" t="str">
        <x:v>ACT-REEDHASTINGS</x:v>
      </x:c>
      <x:c r="B676" s="51" t="str">
        <x:v>Reed Hastings</x:v>
      </x:c>
      <x:c r="C676" s="51" t="str">
        <x:v>Person / technology founder</x:v>
      </x:c>
      <x:c r="D676" s="51" t="str">
        <x:v>United States</x:v>
      </x:c>
      <x:c r="E676" s="51" t="str">
        <x:v>Trust-appointed Anthropic director</x:v>
      </x:c>
      <x:c r="F676" s="51" t="str"/>
    </x:row>
    <x:row r="677">
      <x:c r="A677" s="51" t="str">
        <x:v>ACT-SERGEYBRIN</x:v>
      </x:c>
      <x:c r="B677" s="51" t="str">
        <x:v>Sergey Brin</x:v>
      </x:c>
      <x:c r="C677" s="51" t="str">
        <x:v>Person / technology founder</x:v>
      </x:c>
      <x:c r="D677" s="51" t="str">
        <x:v>United States</x:v>
      </x:c>
      <x:c r="E677" s="51" t="str">
        <x:v>Google co-founder; PCAST member; appears in Epstein file reporting</x:v>
      </x:c>
      <x:c r="F677" s="51" t="str"/>
    </x:row>
    <x:row r="678">
      <x:c r="A678" s="51" t="str">
        <x:v>ACT-BILLGATES</x:v>
      </x:c>
      <x:c r="B678" s="51" t="str">
        <x:v>Bill Gates</x:v>
      </x:c>
      <x:c r="C678" s="51" t="str">
        <x:v>Person / technology founder / philanthropist</x:v>
      </x:c>
      <x:c r="D678" s="51" t="str">
        <x:v>United States</x:v>
      </x:c>
      <x:c r="E678" s="51" t="str">
        <x:v>Gates Foundation chair and documented Epstein contact</x:v>
      </x:c>
      <x:c r="F678" s="51" t="str"/>
    </x:row>
    <x:row r="679">
      <x:c r="A679" s="51" t="str">
        <x:v>ACT-LEONBOTSTEIN</x:v>
      </x:c>
      <x:c r="B679" s="51" t="str">
        <x:v>Leon Botstein</x:v>
      </x:c>
      <x:c r="C679" s="51" t="str">
        <x:v>Person / university president</x:v>
      </x:c>
      <x:c r="D679" s="51" t="str">
        <x:v>United States</x:v>
      </x:c>
      <x:c r="E679" s="51" t="str">
        <x:v>Documented meetings and Epstein-directed donation to Bard</x:v>
      </x:c>
      <x:c r="F679" s="51" t="str"/>
    </x:row>
    <x:row r="680">
      <x:c r="A680" s="51" t="str">
        <x:v>ACT-MARCANDREESSEN</x:v>
      </x:c>
      <x:c r="B680" s="51" t="str">
        <x:v>Marc Andreessen</x:v>
      </x:c>
      <x:c r="C680" s="51" t="str">
        <x:v>Person / venture capitalist</x:v>
      </x:c>
      <x:c r="D680" s="51" t="str">
        <x:v>United States</x:v>
      </x:c>
      <x:c r="E680" s="51" t="str">
        <x:v>PCAST member and AI/defence-technology investor</x:v>
      </x:c>
      <x:c r="F680" s="51" t="str"/>
    </x:row>
    <x:row r="681">
      <x:c r="A681" s="51" t="str">
        <x:v>ACT-JDVANCE</x:v>
      </x:c>
      <x:c r="B681" s="51" t="str">
        <x:v>JD Vance</x:v>
      </x:c>
      <x:c r="C681" s="51" t="str">
        <x:v>Person / vice president</x:v>
      </x:c>
      <x:c r="D681" s="51" t="str">
        <x:v>United States</x:v>
      </x:c>
      <x:c r="E681" s="51" t="str">
        <x:v>Current US vice president and co-founder of Rockbridge network</x:v>
      </x:c>
      <x:c r="F681" s="51" t="str"/>
    </x:row>
    <x:row r="682">
      <x:c r="A682" s="51" t="str">
        <x:v>ACT-CHANZUCKERBERGINITIATIVE</x:v>
      </x:c>
      <x:c r="B682" s="51" t="str">
        <x:v>Chan Zuckerberg Initiative</x:v>
      </x:c>
      <x:c r="C682" s="51" t="str">
        <x:v>Philanthropic and investment organisation</x:v>
      </x:c>
      <x:c r="D682" s="51" t="str">
        <x:v>United States</x:v>
      </x:c>
      <x:c r="E682" s="51" t="str">
        <x:v>Funds science, education and community initiatives through grants and ventures</x:v>
      </x:c>
      <x:c r="F682" s="51" t="str"/>
    </x:row>
    <x:row r="683">
      <x:c r="A683" s="51" t="str">
        <x:v>ACT-CARITUNA</x:v>
      </x:c>
      <x:c r="B683" s="51" t="str">
        <x:v>Cari Tuna</x:v>
      </x:c>
      <x:c r="C683" s="51" t="str">
        <x:v>Philanthropic executive</x:v>
      </x:c>
      <x:c r="D683" s="51" t="str">
        <x:v>United States</x:v>
      </x:c>
      <x:c r="E683" s="51" t="str">
        <x:v>Co-founder and principal funder associated with Open Philanthropy</x:v>
      </x:c>
      <x:c r="F683" s="51" t="str"/>
    </x:row>
    <x:row r="684">
      <x:c r="A684" s="51" t="str">
        <x:v>ACT-GATESFOUNDATION</x:v>
      </x:c>
      <x:c r="B684" s="51" t="str">
        <x:v>Gates Foundation</x:v>
      </x:c>
      <x:c r="C684" s="51" t="str">
        <x:v>Philanthropic foundation</x:v>
      </x:c>
      <x:c r="D684" s="51" t="str">
        <x:v>United States / international</x:v>
      </x:c>
      <x:c r="E684" s="51" t="str">
        <x:v>Global-health institution that engaged with Epstein on proposed philanthropy</x:v>
      </x:c>
      <x:c r="F684" s="51" t="str"/>
    </x:row>
    <x:row r="685">
      <x:c r="A685" s="51" t="str">
        <x:v>ACT-BLOOMBERGPHILANTHROPIES</x:v>
      </x:c>
      <x:c r="B685" s="51" t="str">
        <x:v>Bloomberg Philanthropies</x:v>
      </x:c>
      <x:c r="C685" s="51" t="str">
        <x:v>Philanthropic organisation</x:v>
      </x:c>
      <x:c r="D685" s="51" t="str">
        <x:v>United States / international</x:v>
      </x:c>
      <x:c r="E685" s="51" t="str">
        <x:v>Funds public health, climate, government innovation, arts and education programmes</x:v>
      </x:c>
      <x:c r="F685" s="51" t="str"/>
    </x:row>
    <x:row r="686">
      <x:c r="A686" s="51" t="str">
        <x:v>ACT-THINKTANKDONORS</x:v>
      </x:c>
      <x:c r="B686" s="51" t="str">
        <x:v>Think-tank donors</x:v>
      </x:c>
      <x:c r="C686" s="51" t="str">
        <x:v>Philanthropic, corporate, individual and government donor group</x:v>
      </x:c>
      <x:c r="D686" s="51" t="str">
        <x:v>International</x:v>
      </x:c>
      <x:c r="E686" s="51" t="str">
        <x:v>Fund policy research institutions under varying disclosure and independence rules</x:v>
      </x:c>
      <x:c r="F686" s="51" t="str"/>
    </x:row>
    <x:row r="687">
      <x:c r="A687" s="51" t="str">
        <x:v>ACT-BABELMANDEB</x:v>
      </x:c>
      <x:c r="B687" s="51" t="str">
        <x:v>Bab el-Mandeb</x:v>
      </x:c>
      <x:c r="C687" s="51" t="str">
        <x:v>Physical chokepoint</x:v>
      </x:c>
      <x:c r="D687" s="51" t="str">
        <x:v>Red Sea / Gulf of Aden</x:v>
      </x:c>
      <x:c r="E687" s="51" t="str">
        <x:v>Red Sea access chokepoint</x:v>
      </x:c>
      <x:c r="F687" s="51" t="str"/>
    </x:row>
    <x:row r="688">
      <x:c r="A688" s="51" t="str">
        <x:v>ACT-PANAMACANAL</x:v>
      </x:c>
      <x:c r="B688" s="51" t="str">
        <x:v>Panama Canal</x:v>
      </x:c>
      <x:c r="C688" s="51" t="str">
        <x:v>Physical chokepoint</x:v>
      </x:c>
      <x:c r="D688" s="51" t="str">
        <x:v>Panama</x:v>
      </x:c>
      <x:c r="E688" s="51" t="str">
        <x:v>Atlantic–Pacific maritime route</x:v>
      </x:c>
      <x:c r="F688" s="51" t="str"/>
    </x:row>
    <x:row r="689">
      <x:c r="A689" s="51" t="str">
        <x:v>ACT-STRAITOFHORMUZ</x:v>
      </x:c>
      <x:c r="B689" s="51" t="str">
        <x:v>Strait of Hormuz</x:v>
      </x:c>
      <x:c r="C689" s="51" t="str">
        <x:v>Physical chokepoint</x:v>
      </x:c>
      <x:c r="D689" s="51" t="str">
        <x:v>Iran / Oman waters</x:v>
      </x:c>
      <x:c r="E689" s="51" t="str">
        <x:v>Oil and LNG transit chokepoint</x:v>
      </x:c>
      <x:c r="F689" s="51" t="str"/>
    </x:row>
    <x:row r="690">
      <x:c r="A690" s="51" t="str">
        <x:v>ACT-STRAITOFMALACCA</x:v>
      </x:c>
      <x:c r="B690" s="51" t="str">
        <x:v>Strait of Malacca</x:v>
      </x:c>
      <x:c r="C690" s="51" t="str">
        <x:v>Physical chokepoint</x:v>
      </x:c>
      <x:c r="D690" s="51" t="str">
        <x:v>Southeast Asia</x:v>
      </x:c>
      <x:c r="E690" s="51" t="str">
        <x:v>Oil and container transit chokepoint</x:v>
      </x:c>
      <x:c r="F690" s="51" t="str"/>
    </x:row>
    <x:row r="691">
      <x:c r="A691" s="51" t="str">
        <x:v>ACT-SUEZCANAL</x:v>
      </x:c>
      <x:c r="B691" s="51" t="str">
        <x:v>Suez Canal</x:v>
      </x:c>
      <x:c r="C691" s="51" t="str">
        <x:v>Physical chokepoint</x:v>
      </x:c>
      <x:c r="D691" s="51" t="str">
        <x:v>Egypt</x:v>
      </x:c>
      <x:c r="E691" s="51" t="str">
        <x:v>Europe–Asia maritime route</x:v>
      </x:c>
      <x:c r="F691" s="51" t="str"/>
    </x:row>
    <x:row r="692">
      <x:c r="A692" s="51" t="str">
        <x:v>ACT-COMMODITYCONSUMERSREFINE</x:v>
      </x:c>
      <x:c r="B692" s="51" t="str">
        <x:v>Commodity consumers, refiners and utilities</x:v>
      </x:c>
      <x:c r="C692" s="51" t="str">
        <x:v>Physical commodity buyer group</x:v>
      </x:c>
      <x:c r="D692" s="51" t="str">
        <x:v>International</x:v>
      </x:c>
      <x:c r="E692" s="51" t="str">
        <x:v>Purchase and transform energy and raw materials</x:v>
      </x:c>
      <x:c r="F692" s="51" t="str"/>
    </x:row>
    <x:row r="693">
      <x:c r="A693" s="51" t="str">
        <x:v>ACT-BRENTPHYSICALCARGOMARKET</x:v>
      </x:c>
      <x:c r="B693" s="51" t="str">
        <x:v>Brent physical cargo market</x:v>
      </x:c>
      <x:c r="C693" s="51" t="str">
        <x:v>Physical commodity market</x:v>
      </x:c>
      <x:c r="D693" s="51" t="str">
        <x:v>North Sea / Atlantic Basin</x:v>
      </x:c>
      <x:c r="E693" s="51" t="str">
        <x:v>Generates cargo transactions and assessments used by benchmarks</x:v>
      </x:c>
      <x:c r="F693" s="51" t="str"/>
    </x:row>
    <x:row r="694">
      <x:c r="A694" s="51" t="str">
        <x:v>ACT-COMMODITYPRODUCERSANDSTA</x:v>
      </x:c>
      <x:c r="B694" s="51" t="str">
        <x:v>Commodity producers and state sellers</x:v>
      </x:c>
      <x:c r="C694" s="51" t="str">
        <x:v>Physical commodity seller group</x:v>
      </x:c>
      <x:c r="D694" s="51" t="str">
        <x:v>International</x:v>
      </x:c>
      <x:c r="E694" s="51" t="str">
        <x:v>Sell crude, products, gas, metals and bulk commodities</x:v>
      </x:c>
      <x:c r="F694" s="51" t="str"/>
    </x:row>
    <x:row r="695">
      <x:c r="A695" s="51" t="str">
        <x:v>ACT-PLATTSDATEDBRENT</x:v>
      </x:c>
      <x:c r="B695" s="51" t="str">
        <x:v>Platts Dated Brent</x:v>
      </x:c>
      <x:c r="C695" s="51" t="str">
        <x:v>Physical crude oil benchmark</x:v>
      </x:c>
      <x:c r="D695" s="51" t="str">
        <x:v>International</x:v>
      </x:c>
      <x:c r="E695" s="51" t="str">
        <x:v>Prices Atlantic Basin crude cargoes through a published assessment process</x:v>
      </x:c>
      <x:c r="F695" s="51" t="str"/>
    </x:row>
    <x:row r="696">
      <x:c r="A696" s="51" t="str">
        <x:v>ACT-NATURALCATASTROPHES</x:v>
      </x:c>
      <x:c r="B696" s="51" t="str">
        <x:v>Natural catastrophes</x:v>
      </x:c>
      <x:c r="C696" s="51" t="str">
        <x:v>Physical hazard event group</x:v>
      </x:c>
      <x:c r="D696" s="51" t="str">
        <x:v>International</x:v>
      </x:c>
      <x:c r="E696" s="51" t="str">
        <x:v>Generate physical destruction, business interruption and insured or uninsured losses</x:v>
      </x:c>
      <x:c r="F696" s="51" t="str"/>
    </x:row>
    <x:row r="697">
      <x:c r="A697" s="51" t="str">
        <x:v>ACT-COMMODITYSTORAGETERMINAL</x:v>
      </x:c>
      <x:c r="B697" s="51" t="str">
        <x:v>Commodity storage terminals</x:v>
      </x:c>
      <x:c r="C697" s="51" t="str">
        <x:v>Physical infrastructure group</x:v>
      </x:c>
      <x:c r="D697" s="51" t="str">
        <x:v>International</x:v>
      </x:c>
      <x:c r="E697" s="51" t="str">
        <x:v>Store, blend and release oil, products, LNG and bulk commodities</x:v>
      </x:c>
      <x:c r="F697" s="51" t="str"/>
    </x:row>
    <x:row r="698">
      <x:c r="A698" s="51" t="str">
        <x:v>ACT-PRISCILLACHAN</x:v>
      </x:c>
      <x:c r="B698" s="51" t="str">
        <x:v>Priscilla Chan</x:v>
      </x:c>
      <x:c r="C698" s="51" t="str">
        <x:v>Physician and philanthropist</x:v>
      </x:c>
      <x:c r="D698" s="51" t="str">
        <x:v>United States</x:v>
      </x:c>
      <x:c r="E698" s="51" t="str">
        <x:v>Co-founder and co-CEO of the Chan Zuckerberg Initiative</x:v>
      </x:c>
      <x:c r="F698" s="51" t="str"/>
    </x:row>
    <x:row r="699">
      <x:c r="A699" s="51" t="str">
        <x:v>ACT-CITYPLANNINGDEPARTMENTS</x:v>
      </x:c>
      <x:c r="B699" s="51" t="str">
        <x:v>City planning departments</x:v>
      </x:c>
      <x:c r="C699" s="51" t="str">
        <x:v>Planning authority group</x:v>
      </x:c>
      <x:c r="D699" s="51" t="str">
        <x:v>United States / international</x:v>
      </x:c>
      <x:c r="E699" s="51" t="str">
        <x:v>Draft land-use plans, zoning amendments and development policy</x:v>
      </x:c>
      <x:c r="F699" s="51" t="str"/>
    </x:row>
    <x:row r="700">
      <x:c r="A700" s="51" t="str">
        <x:v>ACT-XINJIANGPUBLICSECURITYIN</x:v>
      </x:c>
      <x:c r="B700" s="51" t="str">
        <x:v>Xinjiang public-security institutions</x:v>
      </x:c>
      <x:c r="C700" s="51" t="str">
        <x:v>Police / security agencies</x:v>
      </x:c>
      <x:c r="D700" s="51" t="str">
        <x:v>China / Xinjiang</x:v>
      </x:c>
      <x:c r="E700" s="51" t="str">
        <x:v>Domain-specific surveillance and enforcement</x:v>
      </x:c>
      <x:c r="F700" s="51" t="str"/>
    </x:row>
    <x:row r="701">
      <x:c r="A701" s="51" t="str">
        <x:v>ACT-PROJECT2025</x:v>
      </x:c>
      <x:c r="B701" s="51" t="str">
        <x:v>Project 2025</x:v>
      </x:c>
      <x:c r="C701" s="51" t="str">
        <x:v>Policy blueprint and personnel initiative</x:v>
      </x:c>
      <x:c r="D701" s="51" t="str">
        <x:v>United States</x:v>
      </x:c>
      <x:c r="E701" s="51" t="str">
        <x:v>Produced a detailed conservative federal governance programme</x:v>
      </x:c>
      <x:c r="F701" s="51" t="str"/>
    </x:row>
    <x:row r="702">
      <x:c r="A702" s="51" t="str">
        <x:v>ACT-CHINAAIPLUSACTION</x:v>
      </x:c>
      <x:c r="B702" s="51" t="str">
        <x:v>China AI Plus action</x:v>
      </x:c>
      <x:c r="C702" s="51" t="str">
        <x:v>Policy programme</x:v>
      </x:c>
      <x:c r="D702" s="51" t="str">
        <x:v>China</x:v>
      </x:c>
      <x:c r="E702" s="51" t="str">
        <x:v>AI integration across economy, society and governance</x:v>
      </x:c>
      <x:c r="F702" s="51" t="str"/>
    </x:row>
    <x:row r="703">
      <x:c r="A703" s="51" t="str">
        <x:v>ACT-LEADINGTHEFUTURE</x:v>
      </x:c>
      <x:c r="B703" s="51" t="str">
        <x:v>Leading the Future</x:v>
      </x:c>
      <x:c r="C703" s="51" t="str">
        <x:v>Political advocacy network</x:v>
      </x:c>
      <x:c r="D703" s="51" t="str">
        <x:v>United States</x:v>
      </x:c>
      <x:c r="E703" s="51" t="str">
        <x:v>AI-industry political network generally opposing strict regulation</x:v>
      </x:c>
      <x:c r="F703" s="51" t="str"/>
    </x:row>
    <x:row r="704">
      <x:c r="A704" s="51" t="str">
        <x:v>ACT-PUBLICFIRSTACTION</x:v>
      </x:c>
      <x:c r="B704" s="51" t="str">
        <x:v>Public First Action</x:v>
      </x:c>
      <x:c r="C704" s="51" t="str">
        <x:v>Political advocacy organisation</x:v>
      </x:c>
      <x:c r="D704" s="51" t="str">
        <x:v>United States</x:v>
      </x:c>
      <x:c r="E704" s="51" t="str">
        <x:v>AI-regulation advocacy group funded by Anthropic</x:v>
      </x:c>
      <x:c r="F704" s="51" t="str"/>
    </x:row>
    <x:row r="705">
      <x:c r="A705" s="51" t="str">
        <x:v>ACT-FEDERALINDEPENDENTEXPEND</x:v>
      </x:c>
      <x:c r="B705" s="51" t="str">
        <x:v>Federal independent-expenditure committees</x:v>
      </x:c>
      <x:c r="C705" s="51" t="str">
        <x:v>Political committee group</x:v>
      </x:c>
      <x:c r="D705" s="51" t="str">
        <x:v>United States</x:v>
      </x:c>
      <x:c r="E705" s="51" t="str">
        <x:v>Raise and spend funds independently of candidate committees</x:v>
      </x:c>
      <x:c r="F705" s="51" t="str"/>
    </x:row>
    <x:row r="706">
      <x:c r="A706" s="51" t="str">
        <x:v>ACT-ROCKBRIDGENETWORK</x:v>
      </x:c>
      <x:c r="B706" s="51" t="str">
        <x:v>Rockbridge Network</x:v>
      </x:c>
      <x:c r="C706" s="51" t="str">
        <x:v>Political donor and policy network</x:v>
      </x:c>
      <x:c r="D706" s="51" t="str">
        <x:v>United States</x:v>
      </x:c>
      <x:c r="E706" s="51" t="str">
        <x:v>Conservative network co-founded by JD Vance and backed by tech donors</x:v>
      </x:c>
      <x:c r="F706" s="51" t="str"/>
    </x:row>
    <x:row r="707">
      <x:c r="A707" s="51" t="str">
        <x:v>ACT-LOBBYINGDISCLOSUREACTSYS</x:v>
      </x:c>
      <x:c r="B707" s="51" t="str">
        <x:v>Lobbying Disclosure Act system</x:v>
      </x:c>
      <x:c r="C707" s="51" t="str">
        <x:v>Political-transparency framework</x:v>
      </x:c>
      <x:c r="D707" s="51" t="str">
        <x:v>United States</x:v>
      </x:c>
      <x:c r="E707" s="51" t="str">
        <x:v>Registers federal lobbying relationships, issues, clients and reported amounts</x:v>
      </x:c>
      <x:c r="F707" s="51" t="str"/>
    </x:row>
    <x:row r="708">
      <x:c r="A708" s="51" t="str">
        <x:v>ACT-BAILINEQUITYHOLDERS</x:v>
      </x:c>
      <x:c r="B708" s="51" t="str">
        <x:v>Bail-in equity holders</x:v>
      </x:c>
      <x:c r="C708" s="51" t="str">
        <x:v>Post-resolution ownership group</x:v>
      </x:c>
      <x:c r="D708" s="51" t="str">
        <x:v>International</x:v>
      </x:c>
      <x:c r="E708" s="51" t="str">
        <x:v>Receive equity created through write-down or conversion of eligible liabilities</x:v>
      </x:c>
      <x:c r="F708" s="51" t="str"/>
    </x:row>
    <x:row r="709">
      <x:c r="A709" s="51" t="str">
        <x:v>ACT-CONSTELLATIONENERGY</x:v>
      </x:c>
      <x:c r="B709" s="51" t="str">
        <x:v>Constellation Energy</x:v>
      </x:c>
      <x:c r="C709" s="51" t="str">
        <x:v>Power producer</x:v>
      </x:c>
      <x:c r="D709" s="51" t="str">
        <x:v>United States</x:v>
      </x:c>
      <x:c r="E709" s="51" t="str">
        <x:v>Supplies nuclear and other electricity to large customers</x:v>
      </x:c>
      <x:c r="F709" s="51" t="str"/>
    </x:row>
    <x:row r="710">
      <x:c r="A710" s="51" t="str">
        <x:v>ACT-BLOOMENERGY</x:v>
      </x:c>
      <x:c r="B710" s="51" t="str">
        <x:v>Bloom Energy</x:v>
      </x:c>
      <x:c r="C710" s="51" t="str">
        <x:v>Power technology company</x:v>
      </x:c>
      <x:c r="D710" s="51" t="str">
        <x:v>United States</x:v>
      </x:c>
      <x:c r="E710" s="51" t="str">
        <x:v>On-site fuel-cell power supplier for data centres and AI infrastructure</x:v>
      </x:c>
      <x:c r="F710" s="51" t="str"/>
    </x:row>
    <x:row r="711">
      <x:c r="A711" s="51" t="str">
        <x:v>ACT-CALPINE</x:v>
      </x:c>
      <x:c r="B711" s="51" t="str">
        <x:v>Calpine</x:v>
      </x:c>
      <x:c r="C711" s="51" t="str">
        <x:v>Power-generation company</x:v>
      </x:c>
      <x:c r="D711" s="51" t="str">
        <x:v>United States</x:v>
      </x:c>
      <x:c r="E711" s="51" t="str">
        <x:v>Natural-gas generation and dedicated power partner for data-centre campuses</x:v>
      </x:c>
      <x:c r="F711" s="51" t="str"/>
    </x:row>
    <x:row r="712">
      <x:c r="A712" s="51" t="str">
        <x:v>ACT-SPGLOBALENERGYPLATTS</x:v>
      </x:c>
      <x:c r="B712" s="51" t="str">
        <x:v>S&amp;P Global Energy Platts</x:v>
      </x:c>
      <x:c r="C712" s="51" t="str">
        <x:v>Price reporting agency</x:v>
      </x:c>
      <x:c r="D712" s="51" t="str">
        <x:v>International</x:v>
      </x:c>
      <x:c r="E712" s="51" t="str">
        <x:v>Publishes commodity price assessments and methodologies</x:v>
      </x:c>
      <x:c r="F712" s="51" t="str"/>
    </x:row>
    <x:row r="713">
      <x:c r="A713" s="51" t="str">
        <x:v>ACT-TRUMPORGANIZATION</x:v>
      </x:c>
      <x:c r="B713" s="51" t="str">
        <x:v>Trump Organization</x:v>
      </x:c>
      <x:c r="C713" s="51" t="str">
        <x:v>Private company</x:v>
      </x:c>
      <x:c r="D713" s="51" t="str">
        <x:v>United States</x:v>
      </x:c>
      <x:c r="E713" s="51" t="str">
        <x:v>Trump-family holding and business organisation</x:v>
      </x:c>
      <x:c r="F713" s="51" t="str"/>
    </x:row>
    <x:row r="714">
      <x:c r="A714" s="51" t="str">
        <x:v>ACT-ICCARBITRATIONRULES</x:v>
      </x:c>
      <x:c r="B714" s="51" t="str">
        <x:v>ICC Arbitration Rules</x:v>
      </x:c>
      <x:c r="C714" s="51" t="str">
        <x:v>Private dispute-resolution rules</x:v>
      </x:c>
      <x:c r="D714" s="51" t="str">
        <x:v>International</x:v>
      </x:c>
      <x:c r="E714" s="51" t="str">
        <x:v>Define procedures for ICC-administered arbitration</x:v>
      </x:c>
      <x:c r="F714" s="51" t="str"/>
    </x:row>
    <x:row r="715">
      <x:c r="A715" s="51" t="str">
        <x:v>ACT-AFFINITYPARTNERS</x:v>
      </x:c>
      <x:c r="B715" s="51" t="str">
        <x:v>Affinity Partners</x:v>
      </x:c>
      <x:c r="C715" s="51" t="str">
        <x:v>Private equity firm</x:v>
      </x:c>
      <x:c r="D715" s="51" t="str">
        <x:v>United States</x:v>
      </x:c>
      <x:c r="E715" s="51" t="str">
        <x:v>Jared Kushner-owned investment firm funded substantially by Gulf investors</x:v>
      </x:c>
      <x:c r="F715" s="51" t="str"/>
    </x:row>
    <x:row r="716">
      <x:c r="A716" s="51" t="str">
        <x:v>ACT-SILVERLAKE</x:v>
      </x:c>
      <x:c r="B716" s="51" t="str">
        <x:v>Silver Lake</x:v>
      </x:c>
      <x:c r="C716" s="51" t="str">
        <x:v>Private equity firm</x:v>
      </x:c>
      <x:c r="D716" s="51" t="str">
        <x:v>United States</x:v>
      </x:c>
      <x:c r="E716" s="51" t="str">
        <x:v>Technology investor and PIF/Affinity deal partner</x:v>
      </x:c>
      <x:c r="F716" s="51" t="str"/>
    </x:row>
    <x:row r="717">
      <x:c r="A717" s="51" t="str">
        <x:v>ACT-VALOREQUITYPARTNERS</x:v>
      </x:c>
      <x:c r="B717" s="51" t="str">
        <x:v>Valor Equity Partners</x:v>
      </x:c>
      <x:c r="C717" s="51" t="str">
        <x:v>Private equity firm</x:v>
      </x:c>
      <x:c r="D717" s="51" t="str">
        <x:v>United States</x:v>
      </x:c>
      <x:c r="E717" s="51" t="str">
        <x:v>Manager of compute-infrastructure investment vehicles</x:v>
      </x:c>
      <x:c r="F717" s="51" t="str"/>
    </x:row>
    <x:row r="718">
      <x:c r="A718" s="51" t="str">
        <x:v>ACT-THIELFOUNDATION</x:v>
      </x:c>
      <x:c r="B718" s="51" t="str">
        <x:v>Thiel Foundation</x:v>
      </x:c>
      <x:c r="C718" s="51" t="str">
        <x:v>Private foundation</x:v>
      </x:c>
      <x:c r="D718" s="51" t="str">
        <x:v>United States</x:v>
      </x:c>
      <x:c r="E718" s="51" t="str">
        <x:v>Operates fellowship and intellectual programmes founded by Peter Thiel</x:v>
      </x:c>
      <x:c r="F718" s="51" t="str"/>
    </x:row>
    <x:row r="719">
      <x:c r="A719" s="51" t="str">
        <x:v>ACT-GOOGLEGLOBALNETWORK</x:v>
      </x:c>
      <x:c r="B719" s="51" t="str">
        <x:v>Google global network</x:v>
      </x:c>
      <x:c r="C719" s="51" t="str">
        <x:v>Private global network</x:v>
      </x:c>
      <x:c r="D719" s="51" t="str">
        <x:v>International</x:v>
      </x:c>
      <x:c r="E719" s="51" t="str">
        <x:v>Connects Google data centers, clouds, edge sites and subsea systems</x:v>
      </x:c>
      <x:c r="F719" s="51" t="str"/>
    </x:row>
    <x:row r="720">
      <x:c r="A720" s="51" t="str">
        <x:v>ACT-MERSSYSTEM</x:v>
      </x:c>
      <x:c r="B720" s="51" t="str">
        <x:v>MERS System</x:v>
      </x:c>
      <x:c r="C720" s="51" t="str">
        <x:v>Private mortgage registry</x:v>
      </x:c>
      <x:c r="D720" s="51" t="str">
        <x:v>United States</x:v>
      </x:c>
      <x:c r="E720" s="51" t="str">
        <x:v>Tracks servicing rights and beneficial ownership interests in registered mortgages</x:v>
      </x:c>
      <x:c r="F720" s="51" t="str"/>
    </x:row>
    <x:row r="721">
      <x:c r="A721" s="51" t="str">
        <x:v>ACT-GATESVENTURES</x:v>
      </x:c>
      <x:c r="B721" s="51" t="str">
        <x:v>Gates Ventures</x:v>
      </x:c>
      <x:c r="C721" s="51" t="str">
        <x:v>Private office</x:v>
      </x:c>
      <x:c r="D721" s="51" t="str">
        <x:v>United States</x:v>
      </x:c>
      <x:c r="E721" s="51" t="str">
        <x:v>Bill Gates's private office, outside the published Foundation review scope</x:v>
      </x:c>
      <x:c r="F721" s="51" t="str"/>
    </x:row>
    <x:row r="722">
      <x:c r="A722" s="51" t="str">
        <x:v>ACT-BLACKSTONEREALESTATEINCO</x:v>
      </x:c>
      <x:c r="B722" s="51" t="str">
        <x:v>Blackstone Real Estate Income Trust</x:v>
      </x:c>
      <x:c r="C722" s="51" t="str">
        <x:v>Private real-estate investment trust</x:v>
      </x:c>
      <x:c r="D722" s="51" t="str">
        <x:v>United States / international</x:v>
      </x:c>
      <x:c r="E722" s="51" t="str">
        <x:v>Owns diversified income-producing real estate including rental housing</x:v>
      </x:c>
      <x:c r="F722" s="51" t="str"/>
    </x:row>
    <x:row r="723">
      <x:c r="A723" s="51" t="str">
        <x:v>ACT-DEBARREDFIRMSANDINDIVIDU</x:v>
      </x:c>
      <x:c r="B723" s="51" t="str">
        <x:v>Debarred firms and individuals</x:v>
      </x:c>
      <x:c r="C723" s="51" t="str">
        <x:v>Procurement exclusion group</x:v>
      </x:c>
      <x:c r="D723" s="51" t="str">
        <x:v>International</x:v>
      </x:c>
      <x:c r="E723" s="51" t="str">
        <x:v>Are ineligible for specified financed contracts</x:v>
      </x:c>
      <x:c r="F723" s="51" t="str"/>
    </x:row>
    <x:row r="724">
      <x:c r="A724" s="51" t="str">
        <x:v>ACT-FEDERALACQUISITIONREGULA</x:v>
      </x:c>
      <x:c r="B724" s="51" t="str">
        <x:v>Federal Acquisition Regulation</x:v>
      </x:c>
      <x:c r="C724" s="51" t="str">
        <x:v>Procurement legal framework</x:v>
      </x:c>
      <x:c r="D724" s="51" t="str">
        <x:v>United States</x:v>
      </x:c>
      <x:c r="E724" s="51" t="str">
        <x:v>Primary acquisition regulation for executive agencies</x:v>
      </x:c>
      <x:c r="F724" s="51" t="str"/>
    </x:row>
    <x:row r="725">
      <x:c r="A725" s="51" t="str">
        <x:v>ACT-INDEFINITEDELIVERYINDEFI</x:v>
      </x:c>
      <x:c r="B725" s="51" t="str">
        <x:v>Indefinite-delivery indefinite-quantity contracts</x:v>
      </x:c>
      <x:c r="C725" s="51" t="str">
        <x:v>Procurement vehicle</x:v>
      </x:c>
      <x:c r="D725" s="51" t="str">
        <x:v>United States</x:v>
      </x:c>
      <x:c r="E725" s="51" t="str">
        <x:v>Authorise future orders within stated minima, maxima and periods</x:v>
      </x:c>
      <x:c r="F725" s="51" t="str"/>
    </x:row>
    <x:row r="726">
      <x:c r="A726" s="51" t="str">
        <x:v>ACT-MUNICIPALADVISORS</x:v>
      </x:c>
      <x:c r="B726" s="51" t="str">
        <x:v>Municipal advisors</x:v>
      </x:c>
      <x:c r="C726" s="51" t="str">
        <x:v>Professional advisory group</x:v>
      </x:c>
      <x:c r="D726" s="51" t="str">
        <x:v>United States</x:v>
      </x:c>
      <x:c r="E726" s="51" t="str">
        <x:v>Advise municipal entities on debt issuance and financial products</x:v>
      </x:c>
      <x:c r="F726" s="51" t="str"/>
    </x:row>
    <x:row r="727">
      <x:c r="A727" s="51" t="str">
        <x:v>ACT-LAWFIRMSREPRESENTINGFUND</x:v>
      </x:c>
      <x:c r="B727" s="51" t="str">
        <x:v>Law firms representing funded parties</x:v>
      </x:c>
      <x:c r="C727" s="51" t="str">
        <x:v>Professional intermediary group</x:v>
      </x:c>
      <x:c r="D727" s="51" t="str">
        <x:v>International</x:v>
      </x:c>
      <x:c r="E727" s="51" t="str">
        <x:v>Litigate claims financed by clients or third parties</x:v>
      </x:c>
      <x:c r="F727" s="51" t="str"/>
    </x:row>
    <x:row r="728">
      <x:c r="A728" s="51" t="str">
        <x:v>ACT-TITLEANDSETTLEMENTAGENTS</x:v>
      </x:c>
      <x:c r="B728" s="51" t="str">
        <x:v>Title and settlement agents</x:v>
      </x:c>
      <x:c r="C728" s="51" t="str">
        <x:v>Professional intermediary group</x:v>
      </x:c>
      <x:c r="D728" s="51" t="str">
        <x:v>United States</x:v>
      </x:c>
      <x:c r="E728" s="51" t="str">
        <x:v>Search records, close transactions, transfer funds and issue policies</x:v>
      </x:c>
      <x:c r="F728" s="51" t="str"/>
    </x:row>
    <x:row r="729">
      <x:c r="A729" s="51" t="str">
        <x:v>ACT-DEBTORPROFESSIONALSANDRE</x:v>
      </x:c>
      <x:c r="B729" s="51" t="str">
        <x:v>Debtor professionals and restructuring advisers</x:v>
      </x:c>
      <x:c r="C729" s="51" t="str">
        <x:v>Professional-services group</x:v>
      </x:c>
      <x:c r="D729" s="51" t="str">
        <x:v>United States / international</x:v>
      </x:c>
      <x:c r="E729" s="51" t="str">
        <x:v>Provide legal, financial and operational restructuring services</x:v>
      </x:c>
      <x:c r="F729" s="51" t="str"/>
    </x:row>
    <x:row r="730">
      <x:c r="A730" s="51" t="str">
        <x:v>ACT-LAWFIRMSANDLEGALCOUNSEL</x:v>
      </x:c>
      <x:c r="B730" s="51" t="str">
        <x:v>Law firms and legal counsel</x:v>
      </x:c>
      <x:c r="C730" s="51" t="str">
        <x:v>Professional-services group</x:v>
      </x:c>
      <x:c r="D730" s="51" t="str">
        <x:v>International</x:v>
      </x:c>
      <x:c r="E730" s="51" t="str">
        <x:v>Represent parties, draft arguments and manage litigation and transactions</x:v>
      </x:c>
      <x:c r="F730" s="51" t="str"/>
    </x:row>
    <x:row r="731">
      <x:c r="A731" s="51" t="str">
        <x:v>ACT-INSTITUTIONALSHAREHOLDER</x:v>
      </x:c>
      <x:c r="B731" s="51" t="str">
        <x:v>Institutional Shareholder Services</x:v>
      </x:c>
      <x:c r="C731" s="51" t="str">
        <x:v>Proxy advisory and governance firm</x:v>
      </x:c>
      <x:c r="D731" s="51" t="str">
        <x:v>United States / international</x:v>
      </x:c>
      <x:c r="E731" s="51" t="str">
        <x:v>Provides proxy research, voting infrastructure and governance analytics</x:v>
      </x:c>
      <x:c r="F731" s="51" t="str"/>
    </x:row>
    <x:row r="732">
      <x:c r="A732" s="51" t="str">
        <x:v>ACT-GLASSLEWIS</x:v>
      </x:c>
      <x:c r="B732" s="51" t="str">
        <x:v>Glass Lewis</x:v>
      </x:c>
      <x:c r="C732" s="51" t="str">
        <x:v>Proxy advisory firm</x:v>
      </x:c>
      <x:c r="D732" s="51" t="str">
        <x:v>United States / international</x:v>
      </x:c>
      <x:c r="E732" s="51" t="str">
        <x:v>Provides benchmark and custom proxy voting research</x:v>
      </x:c>
      <x:c r="F732" s="51" t="str"/>
    </x:row>
    <x:row r="733">
      <x:c r="A733" s="51" t="str">
        <x:v>ACT-RAMPID</x:v>
      </x:c>
      <x:c r="B733" s="51" t="str">
        <x:v>RampID</x:v>
      </x:c>
      <x:c r="C733" s="51" t="str">
        <x:v>Pseudonymous identity-resolution identifier</x:v>
      </x:c>
      <x:c r="D733" s="51" t="str">
        <x:v>International</x:v>
      </x:c>
      <x:c r="E733" s="51" t="str">
        <x:v>Links customer and media identities across participating systems</x:v>
      </x:c>
      <x:c r="F733" s="51" t="str"/>
    </x:row>
    <x:row r="734">
      <x:c r="A734" s="51" t="str">
        <x:v>ACT-GOVERNMENTBENEFITANDREVE</x:v>
      </x:c>
      <x:c r="B734" s="51" t="str">
        <x:v>Government benefit and revenue agencies</x:v>
      </x:c>
      <x:c r="C734" s="51" t="str">
        <x:v>Public administration group</x:v>
      </x:c>
      <x:c r="D734" s="51" t="str">
        <x:v>International</x:v>
      </x:c>
      <x:c r="E734" s="51" t="str">
        <x:v>Use identity and analytics for eligibility, fraud and collections</x:v>
      </x:c>
      <x:c r="F734" s="51" t="str"/>
    </x:row>
    <x:row r="735">
      <x:c r="A735" s="51" t="str">
        <x:v>ACT-MERCURYPUBLICAFFAIRS</x:v>
      </x:c>
      <x:c r="B735" s="51" t="str">
        <x:v>Mercury Public Affairs</x:v>
      </x:c>
      <x:c r="C735" s="51" t="str">
        <x:v>Public affairs and lobbying firm</x:v>
      </x:c>
      <x:c r="D735" s="51" t="str">
        <x:v>United States</x:v>
      </x:c>
      <x:c r="E735" s="51" t="str">
        <x:v>External policy and communications intermediary</x:v>
      </x:c>
      <x:c r="F735" s="51" t="str"/>
    </x:row>
    <x:row r="736">
      <x:c r="A736" s="51" t="str">
        <x:v>ACT-EUDICREDENTIALISSUERS</x:v>
      </x:c>
      <x:c r="B736" s="51" t="str">
        <x:v>EUDI credential issuers</x:v>
      </x:c>
      <x:c r="C736" s="51" t="str">
        <x:v>Public and private credential issuer group</x:v>
      </x:c>
      <x:c r="D736" s="51" t="str">
        <x:v>European Union</x:v>
      </x:c>
      <x:c r="E736" s="51" t="str">
        <x:v>Issue person-identification data and electronic attestations</x:v>
      </x:c>
      <x:c r="F736" s="51" t="str"/>
    </x:row>
    <x:row r="737">
      <x:c r="A737" s="51" t="str">
        <x:v>ACT-AADHAARAUTHENTICATIONUSE</x:v>
      </x:c>
      <x:c r="B737" s="51" t="str">
        <x:v>Aadhaar Authentication User Agencies</x:v>
      </x:c>
      <x:c r="C737" s="51" t="str">
        <x:v>Public and private relying-party group</x:v>
      </x:c>
      <x:c r="D737" s="51" t="str">
        <x:v>India</x:v>
      </x:c>
      <x:c r="E737" s="51" t="str">
        <x:v>Submit authentication requests through authorised ecosystem connections</x:v>
      </x:c>
      <x:c r="F737" s="51" t="str"/>
    </x:row>
    <x:row r="738">
      <x:c r="A738" s="51" t="str">
        <x:v>ACT-EUDIRELYINGPARTIES</x:v>
      </x:c>
      <x:c r="B738" s="51" t="str">
        <x:v>EUDI relying parties</x:v>
      </x:c>
      <x:c r="C738" s="51" t="str">
        <x:v>Public and private service-provider group</x:v>
      </x:c>
      <x:c r="D738" s="51" t="str">
        <x:v>European Union</x:v>
      </x:c>
      <x:c r="E738" s="51" t="str">
        <x:v>Request and verify wallet-held attributes</x:v>
      </x:c>
      <x:c r="F738" s="51" t="str"/>
    </x:row>
    <x:row r="739">
      <x:c r="A739" s="51" t="str">
        <x:v>ACT-EUROPEANUNIONMEMBERSTATE</x:v>
      </x:c>
      <x:c r="B739" s="51" t="str">
        <x:v>European Union Member States</x:v>
      </x:c>
      <x:c r="C739" s="51" t="str">
        <x:v>Public authority group</x:v>
      </x:c>
      <x:c r="D739" s="51" t="str">
        <x:v>European Union</x:v>
      </x:c>
      <x:c r="E739" s="51" t="str">
        <x:v>Issue or recognise EU Digital Identity Wallets and credentials</x:v>
      </x:c>
      <x:c r="F739" s="51" t="str"/>
    </x:row>
    <x:row r="740">
      <x:c r="A740" s="51" t="str">
        <x:v>ACT-LOCALGOVERNMENTS</x:v>
      </x:c>
      <x:c r="B740" s="51" t="str">
        <x:v>Local governments</x:v>
      </x:c>
      <x:c r="C740" s="51" t="str">
        <x:v>Public authority group</x:v>
      </x:c>
      <x:c r="D740" s="51" t="str">
        <x:v>United States / international</x:v>
      </x:c>
      <x:c r="E740" s="51" t="str">
        <x:v>Control zoning, permitting, property taxation and local infrastructure</x:v>
      </x:c>
      <x:c r="F740" s="51" t="str"/>
    </x:row>
    <x:row r="741">
      <x:c r="A741" s="51" t="str">
        <x:v>ACT-PATENTOFFICES</x:v>
      </x:c>
      <x:c r="B741" s="51" t="str">
        <x:v>Patent offices</x:v>
      </x:c>
      <x:c r="C741" s="51" t="str">
        <x:v>Public authority group</x:v>
      </x:c>
      <x:c r="D741" s="51" t="str">
        <x:v>International</x:v>
      </x:c>
      <x:c r="E741" s="51" t="str">
        <x:v>Grant territorial patent rights and publish patent applications</x:v>
      </x:c>
      <x:c r="F741" s="51" t="str"/>
    </x:row>
    <x:row r="742">
      <x:c r="A742" s="51" t="str">
        <x:v>ACT-TAXADMINISTRATIONS</x:v>
      </x:c>
      <x:c r="B742" s="51" t="str">
        <x:v>Tax administrations</x:v>
      </x:c>
      <x:c r="C742" s="51" t="str">
        <x:v>Public authority group</x:v>
      </x:c>
      <x:c r="D742" s="51" t="str">
        <x:v>International</x:v>
      </x:c>
      <x:c r="E742" s="51" t="str">
        <x:v>Assess, audit and exchange multinational tax information</x:v>
      </x:c>
      <x:c r="F742" s="51" t="str"/>
    </x:row>
    <x:row r="743">
      <x:c r="A743" s="51" t="str">
        <x:v>ACT-GRYPHONDIGITALMINING</x:v>
      </x:c>
      <x:c r="B743" s="51" t="str">
        <x:v>Gryphon Digital Mining</x:v>
      </x:c>
      <x:c r="C743" s="51" t="str">
        <x:v>Public company</x:v>
      </x:c>
      <x:c r="D743" s="51" t="str">
        <x:v>United States</x:v>
      </x:c>
      <x:c r="E743" s="51" t="str">
        <x:v>Merger vehicle for American Bitcoin</x:v>
      </x:c>
      <x:c r="F743" s="51" t="str"/>
    </x:row>
    <x:row r="744">
      <x:c r="A744" s="51" t="str">
        <x:v>ACT-FEDERALCREDITREFORMACTFR</x:v>
      </x:c>
      <x:c r="B744" s="51" t="str">
        <x:v>Federal Credit Reform Act framework</x:v>
      </x:c>
      <x:c r="C744" s="51" t="str">
        <x:v>Public credit accounting framework</x:v>
      </x:c>
      <x:c r="D744" s="51" t="str">
        <x:v>United States</x:v>
      </x:c>
      <x:c r="E744" s="51" t="str">
        <x:v>Measures expected long-term cost of direct loans and guarantees on a present-value basis</x:v>
      </x:c>
      <x:c r="F744" s="51" t="str"/>
    </x:row>
    <x:row r="745">
      <x:c r="A745" s="51" t="str">
        <x:v>ACT-FEDERALDIRECTLOANANDLOAN</x:v>
      </x:c>
      <x:c r="B745" s="51" t="str">
        <x:v>Federal direct loan and loan guarantee programmes</x:v>
      </x:c>
      <x:c r="C745" s="51" t="str">
        <x:v>Public credit programme group</x:v>
      </x:c>
      <x:c r="D745" s="51" t="str">
        <x:v>United States</x:v>
      </x:c>
      <x:c r="E745" s="51" t="str">
        <x:v>Extend or guarantee credit under statutory authorities</x:v>
      </x:c>
      <x:c r="F745" s="51" t="str"/>
    </x:row>
    <x:row r="746">
      <x:c r="A746" s="51" t="str">
        <x:v>ACT-DOECREDITREVIEWBOARD</x:v>
      </x:c>
      <x:c r="B746" s="51" t="str">
        <x:v>DOE Credit Review Board</x:v>
      </x:c>
      <x:c r="C746" s="51" t="str">
        <x:v>Public credit review body</x:v>
      </x:c>
      <x:c r="D746" s="51" t="str">
        <x:v>United States</x:v>
      </x:c>
      <x:c r="E746" s="51" t="str">
        <x:v>Reviews proposed DOE credit assistance</x:v>
      </x:c>
      <x:c r="F746" s="51" t="str"/>
    </x:row>
    <x:row r="747">
      <x:c r="A747" s="51" t="str">
        <x:v>ACT-RESOLUTIONAUTHORITIES</x:v>
      </x:c>
      <x:c r="B747" s="51" t="str">
        <x:v>Resolution authorities</x:v>
      </x:c>
      <x:c r="C747" s="51" t="str">
        <x:v>Public crisis-management group</x:v>
      </x:c>
      <x:c r="D747" s="51" t="str">
        <x:v>International</x:v>
      </x:c>
      <x:c r="E747" s="51" t="str">
        <x:v>Apply transfer, bail-in, bridge and wind-down tools to failing financial institutions</x:v>
      </x:c>
      <x:c r="F747" s="51" t="str"/>
    </x:row>
    <x:row r="748">
      <x:c r="A748" s="51" t="str">
        <x:v>ACT-FEDERALPOLICYMAKERSANDAG</x:v>
      </x:c>
      <x:c r="B748" s="51" t="str">
        <x:v>Federal policymakers and agencies</x:v>
      </x:c>
      <x:c r="C748" s="51" t="str">
        <x:v>Public decision-maker group</x:v>
      </x:c>
      <x:c r="D748" s="51" t="str">
        <x:v>United States</x:v>
      </x:c>
      <x:c r="E748" s="51" t="str">
        <x:v>Legislators and agencies targeted by disclosed lobbying</x:v>
      </x:c>
      <x:c r="F748" s="51" t="str"/>
    </x:row>
    <x:row r="749">
      <x:c r="A749" s="51" t="str">
        <x:v>ACT-FEDERALLAWENFORCEMENTAGE</x:v>
      </x:c>
      <x:c r="B749" s="51" t="str">
        <x:v>Federal law-enforcement agencies</x:v>
      </x:c>
      <x:c r="C749" s="51" t="str">
        <x:v>Public enforcement group</x:v>
      </x:c>
      <x:c r="D749" s="51" t="str">
        <x:v>United States</x:v>
      </x:c>
      <x:c r="E749" s="51" t="str">
        <x:v>Seize assets and investigate predicate offences</x:v>
      </x:c>
      <x:c r="F749" s="51" t="str"/>
    </x:row>
    <x:row r="750">
      <x:c r="A750" s="51" t="str">
        <x:v>ACT-STATEANDLOCALLAWENFORCEM</x:v>
      </x:c>
      <x:c r="B750" s="51" t="str">
        <x:v>State and local law-enforcement agencies</x:v>
      </x:c>
      <x:c r="C750" s="51" t="str">
        <x:v>Public enforcement group</x:v>
      </x:c>
      <x:c r="D750" s="51" t="str">
        <x:v>United States</x:v>
      </x:c>
      <x:c r="E750" s="51" t="str">
        <x:v>May receive equitable-sharing payments under federal rules</x:v>
      </x:c>
      <x:c r="F750" s="51" t="str"/>
    </x:row>
    <x:row r="751">
      <x:c r="A751" s="51" t="str">
        <x:v>ACT-USASPENDINGGOV</x:v>
      </x:c>
      <x:c r="B751" s="51" t="str">
        <x:v>USAspending.gov</x:v>
      </x:c>
      <x:c r="C751" s="51" t="str">
        <x:v>Public expenditure data platform</x:v>
      </x:c>
      <x:c r="D751" s="51" t="str">
        <x:v>United States</x:v>
      </x:c>
      <x:c r="E751" s="51" t="str">
        <x:v>Publishes federal award and account data</x:v>
      </x:c>
      <x:c r="F751" s="51" t="str"/>
    </x:row>
    <x:row r="752">
      <x:c r="A752" s="51" t="str">
        <x:v>ACT-OFFICEOFFINANCIALRESEARC</x:v>
      </x:c>
      <x:c r="B752" s="51" t="str">
        <x:v>Office of Financial Research</x:v>
      </x:c>
      <x:c r="C752" s="51" t="str">
        <x:v>Public financial-data and research office</x:v>
      </x:c>
      <x:c r="D752" s="51" t="str">
        <x:v>United States</x:v>
      </x:c>
      <x:c r="E752" s="51" t="str">
        <x:v>Collects and analyses repo, fund and systemic-risk data</x:v>
      </x:c>
      <x:c r="F752" s="51" t="str"/>
    </x:row>
    <x:row r="753">
      <x:c r="A753" s="51" t="str">
        <x:v>ACT-EUFINANCIALINTELLIGENCEU</x:v>
      </x:c>
      <x:c r="B753" s="51" t="str">
        <x:v>EU financial intelligence units</x:v>
      </x:c>
      <x:c r="C753" s="51" t="str">
        <x:v>Public financial-intelligence group</x:v>
      </x:c>
      <x:c r="D753" s="51" t="str">
        <x:v>European Union</x:v>
      </x:c>
      <x:c r="E753" s="51" t="str">
        <x:v>Receive and exchange suspicious transaction information</x:v>
      </x:c>
      <x:c r="F753" s="51" t="str"/>
    </x:row>
    <x:row r="754">
      <x:c r="A754" s="51" t="str">
        <x:v>ACT-FINANCIALINTELLIGENCEUNI</x:v>
      </x:c>
      <x:c r="B754" s="51" t="str">
        <x:v>Financial intelligence units</x:v>
      </x:c>
      <x:c r="C754" s="51" t="str">
        <x:v>Public financial-intelligence group</x:v>
      </x:c>
      <x:c r="D754" s="51" t="str">
        <x:v>International</x:v>
      </x:c>
      <x:c r="E754" s="51" t="str">
        <x:v>Receive, analyse and disseminate financial intelligence</x:v>
      </x:c>
      <x:c r="F754" s="51" t="str"/>
    </x:row>
    <x:row r="755">
      <x:c r="A755" s="51" t="str">
        <x:v>ACT-LOCALPUBLICUTILITIESANDA</x:v>
      </x:c>
      <x:c r="B755" s="51" t="str">
        <x:v>Local public utilities and authorities</x:v>
      </x:c>
      <x:c r="C755" s="51" t="str">
        <x:v>Public infrastructure operator group</x:v>
      </x:c>
      <x:c r="D755" s="51" t="str">
        <x:v>United States</x:v>
      </x:c>
      <x:c r="E755" s="51" t="str">
        <x:v>Operate water, sewer, transit and other systems financed through taxes, rates and debt</x:v>
      </x:c>
      <x:c r="F755" s="51" t="str"/>
    </x:row>
    <x:row r="756">
      <x:c r="A756" s="51" t="str">
        <x:v>ACT-PORTSTATESANDMARITIMEAUT</x:v>
      </x:c>
      <x:c r="B756" s="51" t="str">
        <x:v>Port states and maritime authorities</x:v>
      </x:c>
      <x:c r="C756" s="51" t="str">
        <x:v>Public maritime authority group</x:v>
      </x:c>
      <x:c r="D756" s="51" t="str">
        <x:v>International</x:v>
      </x:c>
      <x:c r="E756" s="51" t="str">
        <x:v>Inspect vessels and regulate port access and safety</x:v>
      </x:c>
      <x:c r="F756" s="51" t="str"/>
    </x:row>
    <x:row r="757">
      <x:c r="A757" s="51" t="str">
        <x:v>ACT-HOMEMORTGAGEDISCLOSUREAC</x:v>
      </x:c>
      <x:c r="B757" s="51" t="str">
        <x:v>Home Mortgage Disclosure Act dataset</x:v>
      </x:c>
      <x:c r="C757" s="51" t="str">
        <x:v>Public mortgage data system</x:v>
      </x:c>
      <x:c r="D757" s="51" t="str">
        <x:v>United States</x:v>
      </x:c>
      <x:c r="E757" s="51" t="str">
        <x:v>Publishes modified loan-level mortgage application and origination data</x:v>
      </x:c>
      <x:c r="F757" s="51" t="str"/>
    </x:row>
    <x:row r="758">
      <x:c r="A758" s="51" t="str">
        <x:v>ACT-FEDERALHOUSINGADMINISTRA</x:v>
      </x:c>
      <x:c r="B758" s="51" t="str">
        <x:v>Federal Housing Administration</x:v>
      </x:c>
      <x:c r="C758" s="51" t="str">
        <x:v>Public mortgage insurer</x:v>
      </x:c>
      <x:c r="D758" s="51" t="str">
        <x:v>United States</x:v>
      </x:c>
      <x:c r="E758" s="51" t="str">
        <x:v>Insures qualifying residential mortgages</x:v>
      </x:c>
      <x:c r="F758" s="51" t="str"/>
    </x:row>
    <x:row r="759">
      <x:c r="A759" s="51" t="str">
        <x:v>ACT-FEDERALCONTRACTINGOFFICE</x:v>
      </x:c>
      <x:c r="B759" s="51" t="str">
        <x:v>Federal contracting officers</x:v>
      </x:c>
      <x:c r="C759" s="51" t="str">
        <x:v>Public procurement official group</x:v>
      </x:c>
      <x:c r="D759" s="51" t="str">
        <x:v>United States</x:v>
      </x:c>
      <x:c r="E759" s="51" t="str">
        <x:v>Select contract types, negotiate terms and issue awards and orders</x:v>
      </x:c>
      <x:c r="F759" s="51" t="str"/>
    </x:row>
    <x:row r="760">
      <x:c r="A760" s="51" t="str">
        <x:v>ACT-FEDERALAIPROCUREMENTPROG</x:v>
      </x:c>
      <x:c r="B760" s="51" t="str">
        <x:v>Federal AI procurement programmes</x:v>
      </x:c>
      <x:c r="C760" s="51" t="str">
        <x:v>Public procurement programme group</x:v>
      </x:c>
      <x:c r="D760" s="51" t="str">
        <x:v>United States</x:v>
      </x:c>
      <x:c r="E760" s="51" t="str">
        <x:v>Acquire commercial and custom AI capabilities for agencies</x:v>
      </x:c>
      <x:c r="F760" s="51" t="str"/>
    </x:row>
    <x:row r="761">
      <x:c r="A761" s="51" t="str">
        <x:v>ACT-PATENTEXAMINERS</x:v>
      </x:c>
      <x:c r="B761" s="51" t="str">
        <x:v>Patent examiners</x:v>
      </x:c>
      <x:c r="C761" s="51" t="str">
        <x:v>Public professional group</x:v>
      </x:c>
      <x:c r="D761" s="51" t="str">
        <x:v>International</x:v>
      </x:c>
      <x:c r="E761" s="51" t="str">
        <x:v>Evaluate patentability under applicable law and office procedure</x:v>
      </x:c>
      <x:c r="F761" s="51" t="str"/>
    </x:row>
    <x:row r="762">
      <x:c r="A762" s="51" t="str">
        <x:v>ACT-COMPANYANDBENEFICIALOWNE</x:v>
      </x:c>
      <x:c r="B762" s="51" t="str">
        <x:v>Company and beneficial-ownership registries</x:v>
      </x:c>
      <x:c r="C762" s="51" t="str">
        <x:v>Public registry group</x:v>
      </x:c>
      <x:c r="D762" s="51" t="str">
        <x:v>International</x:v>
      </x:c>
      <x:c r="E762" s="51" t="str">
        <x:v>Collect legal and beneficial ownership information</x:v>
      </x:c>
      <x:c r="F762" s="51" t="str"/>
    </x:row>
    <x:row r="763">
      <x:c r="A763" s="51" t="str">
        <x:v>ACT-STATEUCCFILINGOFFICES</x:v>
      </x:c>
      <x:c r="B763" s="51" t="str">
        <x:v>State UCC filing offices</x:v>
      </x:c>
      <x:c r="C763" s="51" t="str">
        <x:v>Public registry group</x:v>
      </x:c>
      <x:c r="D763" s="51" t="str">
        <x:v>United States</x:v>
      </x:c>
      <x:c r="E763" s="51" t="str">
        <x:v>Record financing statements and amendments</x:v>
      </x:c>
      <x:c r="F763" s="51" t="str"/>
    </x:row>
    <x:row r="764">
      <x:c r="A764" s="51" t="str">
        <x:v>ACT-BANKSUPERVISORS</x:v>
      </x:c>
      <x:c r="B764" s="51" t="str">
        <x:v>Bank supervisors</x:v>
      </x:c>
      <x:c r="C764" s="51" t="str">
        <x:v>Public regulatory group</x:v>
      </x:c>
      <x:c r="D764" s="51" t="str">
        <x:v>International</x:v>
      </x:c>
      <x:c r="E764" s="51" t="str">
        <x:v>Implement and enforce bank capital, liquidity and governance requirements</x:v>
      </x:c>
      <x:c r="F764" s="51" t="str"/>
    </x:row>
    <x:row r="765">
      <x:c r="A765" s="51" t="str">
        <x:v>ACT-EXPORTCONTROLLICENSINGAU</x:v>
      </x:c>
      <x:c r="B765" s="51" t="str">
        <x:v>Export-control licensing authorities</x:v>
      </x:c>
      <x:c r="C765" s="51" t="str">
        <x:v>Public regulatory group</x:v>
      </x:c>
      <x:c r="D765" s="51" t="str">
        <x:v>United States and partners</x:v>
      </x:c>
      <x:c r="E765" s="51" t="str">
        <x:v>Approve, restrict or condition advanced-computing exports</x:v>
      </x:c>
      <x:c r="F765" s="51" t="str"/>
    </x:row>
    <x:row r="766">
      <x:c r="A766" s="51" t="str">
        <x:v>ACT-INSURANCESUPERVISORS</x:v>
      </x:c>
      <x:c r="B766" s="51" t="str">
        <x:v>Insurance supervisors</x:v>
      </x:c>
      <x:c r="C766" s="51" t="str">
        <x:v>Public regulatory group</x:v>
      </x:c>
      <x:c r="D766" s="51" t="str">
        <x:v>International</x:v>
      </x:c>
      <x:c r="E766" s="51" t="str">
        <x:v>Licence and supervise insurers and insurance groups</x:v>
      </x:c>
      <x:c r="F766" s="51" t="str"/>
    </x:row>
    <x:row r="767">
      <x:c r="A767" s="51" t="str">
        <x:v>ACT-NATIONALTELECOMMUNICATIO</x:v>
      </x:c>
      <x:c r="B767" s="51" t="str">
        <x:v>National telecommunications regulators</x:v>
      </x:c>
      <x:c r="C767" s="51" t="str">
        <x:v>Public regulatory group</x:v>
      </x:c>
      <x:c r="D767" s="51" t="str">
        <x:v>International</x:v>
      </x:c>
      <x:c r="E767" s="51" t="str">
        <x:v>Allocate spectrum, license operators and regulate communications markets</x:v>
      </x:c>
      <x:c r="F767" s="51" t="str"/>
    </x:row>
    <x:row r="768">
      <x:c r="A768" s="51" t="str">
        <x:v>ACT-FOREIGNOFFICIALINSTITUTI</x:v>
      </x:c>
      <x:c r="B768" s="51" t="str">
        <x:v>Foreign official institutions</x:v>
      </x:c>
      <x:c r="C768" s="51" t="str">
        <x:v>Public reserve-holder group</x:v>
      </x:c>
      <x:c r="D768" s="51" t="str">
        <x:v>International</x:v>
      </x:c>
      <x:c r="E768" s="51" t="str">
        <x:v>Hold official dollar reserves and may access the FIMA repo facility</x:v>
      </x:c>
      <x:c r="F768" s="51" t="str"/>
    </x:row>
    <x:row r="769">
      <x:c r="A769" s="51" t="str">
        <x:v>ACT-RESOLUTIONAUTHORITIESFOR</x:v>
      </x:c>
      <x:c r="B769" s="51" t="str">
        <x:v>Resolution authorities for CCPs</x:v>
      </x:c>
      <x:c r="C769" s="51" t="str">
        <x:v>Public resolution authority group</x:v>
      </x:c>
      <x:c r="D769" s="51" t="str">
        <x:v>International</x:v>
      </x:c>
      <x:c r="E769" s="51" t="str">
        <x:v>Plan and execute orderly resolution of systemically important CCPs</x:v>
      </x:c>
      <x:c r="F769" s="51" t="str"/>
    </x:row>
    <x:row r="770">
      <x:c r="A770" s="51" t="str">
        <x:v>ACT-RADIOFREQUENCYSPECTRUMRI</x:v>
      </x:c>
      <x:c r="B770" s="51" t="str">
        <x:v>Radio-frequency spectrum rights</x:v>
      </x:c>
      <x:c r="C770" s="51" t="str">
        <x:v>Public resource right</x:v>
      </x:c>
      <x:c r="D770" s="51" t="str">
        <x:v>International</x:v>
      </x:c>
      <x:c r="E770" s="51" t="str">
        <x:v>Authorise defined frequency use under national and international rules</x:v>
      </x:c>
      <x:c r="F770" s="51" t="str"/>
    </x:row>
    <x:row r="771">
      <x:c r="A771" s="51" t="str">
        <x:v>ACT-PUBLICTAXPAYERSANDBUDGET</x:v>
      </x:c>
      <x:c r="B771" s="51" t="str">
        <x:v>Public taxpayers and budget</x:v>
      </x:c>
      <x:c r="C771" s="51" t="str">
        <x:v>Public risk-bearing constituency</x:v>
      </x:c>
      <x:c r="D771" s="51" t="str">
        <x:v>United States / international</x:v>
      </x:c>
      <x:c r="E771" s="51" t="str">
        <x:v>Ultimately absorb realised public credit costs and receive programme benefits</x:v>
      </x:c>
      <x:c r="F771" s="51" t="str"/>
    </x:row>
    <x:row r="772">
      <x:c r="A772" s="51" t="str">
        <x:v>ACT-EUNATIONALAMLSUPERVISORS</x:v>
      </x:c>
      <x:c r="B772" s="51" t="str">
        <x:v>EU national AML supervisors</x:v>
      </x:c>
      <x:c r="C772" s="51" t="str">
        <x:v>Public supervisory group</x:v>
      </x:c>
      <x:c r="D772" s="51" t="str">
        <x:v>European Union</x:v>
      </x:c>
      <x:c r="E772" s="51" t="str">
        <x:v>Supervise obliged entities and provide data to AMLA</x:v>
      </x:c>
      <x:c r="F772" s="51" t="str"/>
    </x:row>
    <x:row r="773">
      <x:c r="A773" s="51" t="str">
        <x:v>ACT-OPENAIGROUP</x:v>
      </x:c>
      <x:c r="B773" s="51" t="str">
        <x:v>OpenAI Group</x:v>
      </x:c>
      <x:c r="C773" s="51" t="str">
        <x:v>Public-benefit / for-profit AI company</x:v>
      </x:c>
      <x:c r="D773" s="51" t="str">
        <x:v>United States</x:v>
      </x:c>
      <x:c r="E773" s="51" t="str">
        <x:v>Operating and capital-raising entity controlled by OpenAI Foundation</x:v>
      </x:c>
      <x:c r="F773" s="51" t="str"/>
    </x:row>
    <x:row r="774">
      <x:c r="A774" s="51" t="str">
        <x:v>ACT-BROOKINGSINSTITUTION</x:v>
      </x:c>
      <x:c r="B774" s="51" t="str">
        <x:v>Brookings Institution</x:v>
      </x:c>
      <x:c r="C774" s="51" t="str">
        <x:v>Public-policy research institution</x:v>
      </x:c>
      <x:c r="D774" s="51" t="str">
        <x:v>United States / international</x:v>
      </x:c>
      <x:c r="E774" s="51" t="str">
        <x:v>Produces research and policy analysis funded by diverse donors</x:v>
      </x:c>
      <x:c r="F774" s="51" t="str"/>
    </x:row>
    <x:row r="775">
      <x:c r="A775" s="51" t="str">
        <x:v>ACT-HERITAGEFOUNDATION</x:v>
      </x:c>
      <x:c r="B775" s="51" t="str">
        <x:v>Heritage Foundation</x:v>
      </x:c>
      <x:c r="C775" s="51" t="str">
        <x:v>Public-policy think tank</x:v>
      </x:c>
      <x:c r="D775" s="51" t="str">
        <x:v>United States</x:v>
      </x:c>
      <x:c r="E775" s="51" t="str">
        <x:v>Produces conservative policy research and institutional programmes</x:v>
      </x:c>
      <x:c r="F775" s="51" t="str"/>
    </x:row>
    <x:row r="776">
      <x:c r="A776" s="51" t="str">
        <x:v>ACT-SOVEREIGNAIINFRASTRUCTUR</x:v>
      </x:c>
      <x:c r="B776" s="51" t="str">
        <x:v>Sovereign AI infrastructure programmes</x:v>
      </x:c>
      <x:c r="C776" s="51" t="str">
        <x:v>Public-private programme group</x:v>
      </x:c>
      <x:c r="D776" s="51" t="str">
        <x:v>International</x:v>
      </x:c>
      <x:c r="E776" s="51" t="str">
        <x:v>Develop jurisdiction-specific compute and model deployment</x:v>
      </x:c>
      <x:c r="F776" s="51" t="str"/>
    </x:row>
    <x:row r="777">
      <x:c r="A777" s="51" t="str">
        <x:v>ACT-NATIONALAIRESEARCHRESOUR</x:v>
      </x:c>
      <x:c r="B777" s="51" t="str">
        <x:v>National AI Research Resource</x:v>
      </x:c>
      <x:c r="C777" s="51" t="str">
        <x:v>Public-private research infrastructure</x:v>
      </x:c>
      <x:c r="D777" s="51" t="str">
        <x:v>United States</x:v>
      </x:c>
      <x:c r="E777" s="51" t="str">
        <x:v>Allocates compute, data, models and tools to researchers and educators</x:v>
      </x:c>
      <x:c r="F777" s="51" t="str"/>
    </x:row>
    <x:row r="778">
      <x:c r="A778" s="51" t="str">
        <x:v>ACT-DEPOSITINSURANCEFUND</x:v>
      </x:c>
      <x:c r="B778" s="51" t="str">
        <x:v>Deposit Insurance Fund</x:v>
      </x:c>
      <x:c r="C778" s="51" t="str">
        <x:v>Public-purpose insurance fund</x:v>
      </x:c>
      <x:c r="D778" s="51" t="str">
        <x:v>United States</x:v>
      </x:c>
      <x:c r="E778" s="51" t="str">
        <x:v>Receives assessments and pays insured-deposit and resolution costs</x:v>
      </x:c>
      <x:c r="F778" s="51" t="str"/>
    </x:row>
    <x:row r="779">
      <x:c r="A779" s="51" t="str">
        <x:v>ACT-DEPARTMENTOFJUSTICEEPSTE</x:v>
      </x:c>
      <x:c r="B779" s="51" t="str">
        <x:v>Department of Justice Epstein Library</x:v>
      </x:c>
      <x:c r="C779" s="51" t="str">
        <x:v>Public-record repository</x:v>
      </x:c>
      <x:c r="D779" s="51" t="str">
        <x:v>United States</x:v>
      </x:c>
      <x:c r="E779" s="51" t="str">
        <x:v>Publishes responsive materials and statutory reports concerning Jeffrey Epstein</x:v>
      </x:c>
      <x:c r="F779" s="51" t="str"/>
    </x:row>
    <x:row r="780">
      <x:c r="A780" s="51" t="str">
        <x:v>ACT-FLOCKSAFETY</x:v>
      </x:c>
      <x:c r="B780" s="51" t="str">
        <x:v>Flock Safety</x:v>
      </x:c>
      <x:c r="C780" s="51" t="str">
        <x:v>Public-safety sensor and evidence company</x:v>
      </x:c>
      <x:c r="D780" s="51" t="str">
        <x:v>United States</x:v>
      </x:c>
      <x:c r="E780" s="51" t="str">
        <x:v>Operates licence-plate recognition, video, drone and investigation platforms</x:v>
      </x:c>
      <x:c r="F780" s="51" t="str"/>
    </x:row>
    <x:row r="781">
      <x:c r="A781" s="51" t="str">
        <x:v>ACT-LOCALPOLICECAMERANETWORK</x:v>
      </x:c>
      <x:c r="B781" s="51" t="str">
        <x:v>Local police camera networks</x:v>
      </x:c>
      <x:c r="C781" s="51" t="str">
        <x:v>Public-safety sensor network group</x:v>
      </x:c>
      <x:c r="D781" s="51" t="str">
        <x:v>United States</x:v>
      </x:c>
      <x:c r="E781" s="51" t="str">
        <x:v>Collect and search locally governed licence-plate and video evidence</x:v>
      </x:c>
      <x:c r="F781" s="51" t="str"/>
    </x:row>
    <x:row r="782">
      <x:c r="A782" s="51" t="str">
        <x:v>ACT-AXONENTERPRISE</x:v>
      </x:c>
      <x:c r="B782" s="51" t="str">
        <x:v>Axon Enterprise</x:v>
      </x:c>
      <x:c r="C782" s="51" t="str">
        <x:v>Public-safety technology company</x:v>
      </x:c>
      <x:c r="D782" s="51" t="str">
        <x:v>United States / international</x:v>
      </x:c>
      <x:c r="E782" s="51" t="str">
        <x:v>Connects sensors, evidence, records and AI tools</x:v>
      </x:c>
      <x:c r="F782" s="51" t="str"/>
    </x:row>
    <x:row r="783">
      <x:c r="A783" s="51" t="str">
        <x:v>ACT-RICKSMITH</x:v>
      </x:c>
      <x:c r="B783" s="51" t="str">
        <x:v>Rick Smith</x:v>
      </x:c>
      <x:c r="C783" s="51" t="str">
        <x:v>Public-safety technology executive</x:v>
      </x:c>
      <x:c r="D783" s="51" t="str">
        <x:v>United States</x:v>
      </x:c>
      <x:c r="E783" s="51" t="str">
        <x:v>Founder and Chief Executive Officer of Axon</x:v>
      </x:c>
      <x:c r="F783" s="51" t="str"/>
    </x:row>
    <x:row r="784">
      <x:c r="A784" s="51" t="str">
        <x:v>ACT-GOVERNMENTOPERATIONALCUS</x:v>
      </x:c>
      <x:c r="B784" s="51" t="str">
        <x:v>Government operational customers</x:v>
      </x:c>
      <x:c r="C784" s="51" t="str">
        <x:v>Public-sector customer group</x:v>
      </x:c>
      <x:c r="D784" s="51" t="str">
        <x:v>International</x:v>
      </x:c>
      <x:c r="E784" s="51" t="str">
        <x:v>Use integrated data and analytics for operational decisions</x:v>
      </x:c>
      <x:c r="F784" s="51" t="str"/>
    </x:row>
    <x:row r="785">
      <x:c r="A785" s="51" t="str">
        <x:v>ACT-LAWENFORCEMENTANDPUBLICS</x:v>
      </x:c>
      <x:c r="B785" s="51" t="str">
        <x:v>Law-enforcement and public-safety agencies</x:v>
      </x:c>
      <x:c r="C785" s="51" t="str">
        <x:v>Public-sector customer group</x:v>
      </x:c>
      <x:c r="D785" s="51" t="str">
        <x:v>International</x:v>
      </x:c>
      <x:c r="E785" s="51" t="str">
        <x:v>Deploy sensors, evidence systems and operational analytics</x:v>
      </x:c>
      <x:c r="F785" s="51" t="str"/>
    </x:row>
    <x:row r="786">
      <x:c r="A786" s="51" t="str">
        <x:v>ACT-ANTHROPICLONGTERMBENEFIT</x:v>
      </x:c>
      <x:c r="B786" s="51" t="str">
        <x:v>Anthropic Long-Term Benefit Trust</x:v>
      </x:c>
      <x:c r="C786" s="51" t="str">
        <x:v>Purpose trust / governance institution</x:v>
      </x:c>
      <x:c r="D786" s="51" t="str">
        <x:v>United States</x:v>
      </x:c>
      <x:c r="E786" s="51" t="str">
        <x:v>Appoints directors and protects Anthropic public-benefit mission</x:v>
      </x:c>
      <x:c r="F786" s="51" t="str"/>
    </x:row>
    <x:row r="787">
      <x:c r="A787" s="51" t="str">
        <x:v>ACT-CITYPLANNINGCOMMISSIONS</x:v>
      </x:c>
      <x:c r="B787" s="51" t="str">
        <x:v>City planning commissions</x:v>
      </x:c>
      <x:c r="C787" s="51" t="str">
        <x:v>Quasi-legislative planning body group</x:v>
      </x:c>
      <x:c r="D787" s="51" t="str">
        <x:v>United States</x:v>
      </x:c>
      <x:c r="E787" s="51" t="str">
        <x:v>Review major land-use applications and grant defined special permits</x:v>
      </x:c>
      <x:c r="F787" s="51" t="str"/>
    </x:row>
    <x:row r="788">
      <x:c r="A788" s="51" t="str">
        <x:v>ACT-INSTITUTIONALPROPERTYMAN</x:v>
      </x:c>
      <x:c r="B788" s="51" t="str">
        <x:v>Institutional property managers</x:v>
      </x:c>
      <x:c r="C788" s="51" t="str">
        <x:v>Real-estate operating intermediary group</x:v>
      </x:c>
      <x:c r="D788" s="51" t="str">
        <x:v>United States / international</x:v>
      </x:c>
      <x:c r="E788" s="51" t="str">
        <x:v>Operate rental portfolios and administer leasing and maintenance</x:v>
      </x:c>
      <x:c r="F788" s="51" t="str"/>
    </x:row>
    <x:row r="789">
      <x:c r="A789" s="51" t="str">
        <x:v>ACT-FEDWIREFUNDSSERVICE</x:v>
      </x:c>
      <x:c r="B789" s="51" t="str">
        <x:v>Fedwire Funds Service</x:v>
      </x:c>
      <x:c r="C789" s="51" t="str">
        <x:v>Real-time gross settlement system</x:v>
      </x:c>
      <x:c r="D789" s="51" t="str">
        <x:v>United States</x:v>
      </x:c>
      <x:c r="E789" s="51" t="str">
        <x:v>Central-bank money settlement for large-value dollar payments</x:v>
      </x:c>
      <x:c r="F789" s="51" t="str"/>
    </x:row>
    <x:row r="790">
      <x:c r="A790" s="51" t="str">
        <x:v>ACT-PEOPLENAMEDORREFERENCEDI</x:v>
      </x:c>
      <x:c r="B790" s="51" t="str">
        <x:v>People named or referenced in Epstein records</x:v>
      </x:c>
      <x:c r="C790" s="51" t="str">
        <x:v>Record-subject group</x:v>
      </x:c>
      <x:c r="D790" s="51" t="str">
        <x:v>International</x:v>
      </x:c>
      <x:c r="E790" s="51" t="str">
        <x:v>Appear in released records in contexts that vary widely</x:v>
      </x:c>
      <x:c r="F790" s="51" t="str"/>
    </x:row>
    <x:row r="791">
      <x:c r="A791" s="51" t="str">
        <x:v>ACT-FATFSTYLEREGIONALBODIES</x:v>
      </x:c>
      <x:c r="B791" s="51" t="str">
        <x:v>FATF-style regional bodies</x:v>
      </x:c>
      <x:c r="C791" s="51" t="str">
        <x:v>Regional standards and evaluation network</x:v>
      </x:c>
      <x:c r="D791" s="51" t="str">
        <x:v>International</x:v>
      </x:c>
      <x:c r="E791" s="51" t="str">
        <x:v>Conduct regional mutual evaluations and implementation support</x:v>
      </x:c>
      <x:c r="F791" s="51" t="str"/>
    </x:row>
    <x:row r="792">
      <x:c r="A792" s="51" t="str">
        <x:v>ACT-PJMINTERCONNECTION</x:v>
      </x:c>
      <x:c r="B792" s="51" t="str">
        <x:v>PJM Interconnection</x:v>
      </x:c>
      <x:c r="C792" s="51" t="str">
        <x:v>Regional transmission organisation</x:v>
      </x:c>
      <x:c r="D792" s="51" t="str">
        <x:v>United States</x:v>
      </x:c>
      <x:c r="E792" s="51" t="str">
        <x:v>Grid planner and market operator serving a major data-centre region</x:v>
      </x:c>
      <x:c r="F792" s="51" t="str"/>
    </x:row>
    <x:row r="793">
      <x:c r="A793" s="51" t="str">
        <x:v>ACT-MONEYMARKETFUNDS</x:v>
      </x:c>
      <x:c r="B793" s="51" t="str">
        <x:v>Money market funds</x:v>
      </x:c>
      <x:c r="C793" s="51" t="str">
        <x:v>Registered investment-fund group</x:v>
      </x:c>
      <x:c r="D793" s="51" t="str">
        <x:v>United States</x:v>
      </x:c>
      <x:c r="E793" s="51" t="str">
        <x:v>Issue redeemable shares and invest in short-duration money-market assets</x:v>
      </x:c>
      <x:c r="F793" s="51" t="str"/>
    </x:row>
    <x:row r="794">
      <x:c r="A794" s="51" t="str">
        <x:v>ACT-FUTURESCOMMISSIONMERCHAN</x:v>
      </x:c>
      <x:c r="B794" s="51" t="str">
        <x:v>Futures commission merchants</x:v>
      </x:c>
      <x:c r="C794" s="51" t="str">
        <x:v>Regulated derivatives intermediaries</x:v>
      </x:c>
      <x:c r="D794" s="51" t="str">
        <x:v>United States</x:v>
      </x:c>
      <x:c r="E794" s="51" t="str">
        <x:v>Hold customer collateral and provide futures and cleared-swaps access</x:v>
      </x:c>
      <x:c r="F794" s="51" t="str"/>
    </x:row>
    <x:row r="795">
      <x:c r="A795" s="51" t="str">
        <x:v>ACT-FINANCIALINSTITUTIONS</x:v>
      </x:c>
      <x:c r="B795" s="51" t="str">
        <x:v>Financial institutions</x:v>
      </x:c>
      <x:c r="C795" s="51" t="str">
        <x:v>Regulated financial institution group</x:v>
      </x:c>
      <x:c r="D795" s="51" t="str">
        <x:v>International</x:v>
      </x:c>
      <x:c r="E795" s="51" t="str">
        <x:v>Implement customer due diligence, payment transparency, monitoring and reporting obligations</x:v>
      </x:c>
      <x:c r="F795" s="51" t="str"/>
    </x:row>
    <x:row r="796">
      <x:c r="A796" s="51" t="str">
        <x:v>ACT-USFINANCIALINSTITUTIONS</x:v>
      </x:c>
      <x:c r="B796" s="51" t="str">
        <x:v>U.S. financial institutions</x:v>
      </x:c>
      <x:c r="C796" s="51" t="str">
        <x:v>Regulated financial institution group</x:v>
      </x:c>
      <x:c r="D796" s="51" t="str">
        <x:v>United States</x:v>
      </x:c>
      <x:c r="E796" s="51" t="str">
        <x:v>File BSA reports and apply AML/CFT controls</x:v>
      </x:c>
      <x:c r="F796" s="51" t="str"/>
    </x:row>
    <x:row r="797">
      <x:c r="A797" s="51" t="str">
        <x:v>ACT-EUHIGHRISKFINANCIALINSTI</x:v>
      </x:c>
      <x:c r="B797" s="51" t="str">
        <x:v>EU high-risk financial institutions</x:v>
      </x:c>
      <x:c r="C797" s="51" t="str">
        <x:v>Regulated institution group</x:v>
      </x:c>
      <x:c r="D797" s="51" t="str">
        <x:v>European Union</x:v>
      </x:c>
      <x:c r="E797" s="51" t="str">
        <x:v>Potential candidates for AMLA direct supervision from 2028</x:v>
      </x:c>
      <x:c r="F797" s="51" t="str"/>
    </x:row>
    <x:row r="798">
      <x:c r="A798" s="51" t="str">
        <x:v>ACT-ENTERPRISEHOUSINGGOALS</x:v>
      </x:c>
      <x:c r="B798" s="51" t="str">
        <x:v>Enterprise housing goals</x:v>
      </x:c>
      <x:c r="C798" s="51" t="str">
        <x:v>Regulatory affordability framework</x:v>
      </x:c>
      <x:c r="D798" s="51" t="str">
        <x:v>United States</x:v>
      </x:c>
      <x:c r="E798" s="51" t="str">
        <x:v>Set low-income and multifamily mortgage-purchase benchmarks</x:v>
      </x:c>
      <x:c r="F798" s="51" t="str"/>
    </x:row>
    <x:row r="799">
      <x:c r="A799" s="51" t="str">
        <x:v>ACT-AICOMPUTEEXPORTLICENCES</x:v>
      </x:c>
      <x:c r="B799" s="51" t="str">
        <x:v>AI compute export licences</x:v>
      </x:c>
      <x:c r="C799" s="51" t="str">
        <x:v>Regulatory permission group</x:v>
      </x:c>
      <x:c r="D799" s="51" t="str">
        <x:v>United States</x:v>
      </x:c>
      <x:c r="E799" s="51" t="str">
        <x:v>Authorise defined cross-border transfers of advanced chips and servers</x:v>
      </x:c>
      <x:c r="F799" s="51" t="str"/>
    </x:row>
    <x:row r="800">
      <x:c r="A800" s="51" t="str">
        <x:v>ACT-MUNICHRE</x:v>
      </x:c>
      <x:c r="B800" s="51" t="str">
        <x:v>Munich Re</x:v>
      </x:c>
      <x:c r="C800" s="51" t="str">
        <x:v>Reinsurance company</x:v>
      </x:c>
      <x:c r="D800" s="51" t="str">
        <x:v>Germany / international</x:v>
      </x:c>
      <x:c r="E800" s="51" t="str">
        <x:v>Global reinsurance and insurance-risk capital provider</x:v>
      </x:c>
      <x:c r="F800" s="51" t="str"/>
    </x:row>
    <x:row r="801">
      <x:c r="A801" s="51" t="str">
        <x:v>ACT-SWISSRE</x:v>
      </x:c>
      <x:c r="B801" s="51" t="str">
        <x:v>Swiss Re</x:v>
      </x:c>
      <x:c r="C801" s="51" t="str">
        <x:v>Reinsurance company</x:v>
      </x:c>
      <x:c r="D801" s="51" t="str">
        <x:v>Switzerland / international</x:v>
      </x:c>
      <x:c r="E801" s="51" t="str">
        <x:v>Global catastrophe, life and property-casualty risk absorber</x:v>
      </x:c>
      <x:c r="F801" s="51" t="str"/>
    </x:row>
    <x:row r="802">
      <x:c r="A802" s="51" t="str">
        <x:v>ACT-RETROCESSIONAIRES</x:v>
      </x:c>
      <x:c r="B802" s="51" t="str">
        <x:v>Retrocessionaires</x:v>
      </x:c>
      <x:c r="C802" s="51" t="str">
        <x:v>Reinsurance company group</x:v>
      </x:c>
      <x:c r="D802" s="51" t="str">
        <x:v>International</x:v>
      </x:c>
      <x:c r="E802" s="51" t="str">
        <x:v>Assume risk transferred by reinsurers</x:v>
      </x:c>
      <x:c r="F802" s="51" t="str"/>
    </x:row>
    <x:row r="803">
      <x:c r="A803" s="51" t="str">
        <x:v>ACT-MARINEREINSURERS</x:v>
      </x:c>
      <x:c r="B803" s="51" t="str">
        <x:v>Marine reinsurers</x:v>
      </x:c>
      <x:c r="C803" s="51" t="str">
        <x:v>Reinsurance group</x:v>
      </x:c>
      <x:c r="D803" s="51" t="str">
        <x:v>International</x:v>
      </x:c>
      <x:c r="E803" s="51" t="str">
        <x:v>Absorb high layers of pooled marine liability losses</x:v>
      </x:c>
      <x:c r="F803" s="51" t="str"/>
    </x:row>
    <x:row r="804">
      <x:c r="A804" s="51" t="str">
        <x:v>ACT-POLICYRESEARCHERSANDFELL</x:v>
      </x:c>
      <x:c r="B804" s="51" t="str">
        <x:v>Policy researchers and fellows</x:v>
      </x:c>
      <x:c r="C804" s="51" t="str">
        <x:v>Research and expert group</x:v>
      </x:c>
      <x:c r="D804" s="51" t="str">
        <x:v>International</x:v>
      </x:c>
      <x:c r="E804" s="51" t="str">
        <x:v>Produce analysis, testimony, publications and policy proposals</x:v>
      </x:c>
      <x:c r="F804" s="51" t="str"/>
    </x:row>
    <x:row r="805">
      <x:c r="A805" s="51" t="str">
        <x:v>ACT-AIRESEARCHERSANDEDUCATOR</x:v>
      </x:c>
      <x:c r="B805" s="51" t="str">
        <x:v>AI researchers and educators</x:v>
      </x:c>
      <x:c r="C805" s="51" t="str">
        <x:v>Research community</x:v>
      </x:c>
      <x:c r="D805" s="51" t="str">
        <x:v>United States / international</x:v>
      </x:c>
      <x:c r="E805" s="51" t="str">
        <x:v>Applicants for public and private AI research resources</x:v>
      </x:c>
      <x:c r="F805" s="51" t="str"/>
    </x:row>
    <x:row r="806">
      <x:c r="A806" s="51" t="str">
        <x:v>ACT-AIFORGE</x:v>
      </x:c>
      <x:c r="B806" s="51" t="str">
        <x:v>AI Forge</x:v>
      </x:c>
      <x:c r="C806" s="51" t="str">
        <x:v>Research consortium programme</x:v>
      </x:c>
      <x:c r="D806" s="51" t="str">
        <x:v>United States</x:v>
      </x:c>
      <x:c r="E806" s="51" t="str">
        <x:v>University-industry-government AI research forum for national security</x:v>
      </x:c>
      <x:c r="F806" s="51" t="str"/>
    </x:row>
    <x:row r="807">
      <x:c r="A807" s="51" t="str">
        <x:v>ACT-NATIONALSCIENCEFOUNDATIO</x:v>
      </x:c>
      <x:c r="B807" s="51" t="str">
        <x:v>National Science Foundation</x:v>
      </x:c>
      <x:c r="C807" s="51" t="str">
        <x:v>Research funding agency</x:v>
      </x:c>
      <x:c r="D807" s="51" t="str">
        <x:v>United States</x:v>
      </x:c>
      <x:c r="E807" s="51" t="str">
        <x:v>Funds AI research, infrastructure and workforce development</x:v>
      </x:c>
      <x:c r="F807" s="51" t="str"/>
    </x:row>
    <x:row r="808">
      <x:c r="A808" s="51" t="str">
        <x:v>ACT-UNIVERSITYLEDAIRESEARCHT</x:v>
      </x:c>
      <x:c r="B808" s="51" t="str">
        <x:v>University-led AI research teams</x:v>
      </x:c>
      <x:c r="C808" s="51" t="str">
        <x:v>Research team group</x:v>
      </x:c>
      <x:c r="D808" s="51" t="str">
        <x:v>United States</x:v>
      </x:c>
      <x:c r="E808" s="51" t="str">
        <x:v>Teams competing for public and mission-driven AI research support</x:v>
      </x:c>
      <x:c r="F808" s="51" t="str"/>
    </x:row>
    <x:row r="809">
      <x:c r="A809" s="51" t="str">
        <x:v>ACT-AADHAARNUMBERHOLDERS</x:v>
      </x:c>
      <x:c r="B809" s="51" t="str">
        <x:v>Aadhaar number holders</x:v>
      </x:c>
      <x:c r="C809" s="51" t="str">
        <x:v>Resident and identity-holder group</x:v>
      </x:c>
      <x:c r="D809" s="51" t="str">
        <x:v>India</x:v>
      </x:c>
      <x:c r="E809" s="51" t="str">
        <x:v>Use Aadhaar credentials for authentication and service access</x:v>
      </x:c>
      <x:c r="F809" s="51" t="str"/>
    </x:row>
    <x:row r="810">
      <x:c r="A810" s="51" t="str">
        <x:v>ACT-EQUITYHOLDERSINBANKRUPTC</x:v>
      </x:c>
      <x:c r="B810" s="51" t="str">
        <x:v>Equity holders in bankruptcy</x:v>
      </x:c>
      <x:c r="C810" s="51" t="str">
        <x:v>Residual claimant group</x:v>
      </x:c>
      <x:c r="D810" s="51" t="str">
        <x:v>International</x:v>
      </x:c>
      <x:c r="E810" s="51" t="str">
        <x:v>Hold subordinated residual interests after creditor claims</x:v>
      </x:c>
      <x:c r="F810" s="51" t="str"/>
    </x:row>
    <x:row r="811">
      <x:c r="A811" s="51" t="str">
        <x:v>ACT-FAILEDBANKRECEIVERSHIPS</x:v>
      </x:c>
      <x:c r="B811" s="51" t="str">
        <x:v>Failed bank receiverships</x:v>
      </x:c>
      <x:c r="C811" s="51" t="str">
        <x:v>Resolution estate group</x:v>
      </x:c>
      <x:c r="D811" s="51" t="str">
        <x:v>United States</x:v>
      </x:c>
      <x:c r="E811" s="51" t="str">
        <x:v>Hold and liquidate assets and distribute recoveries under statutory priority</x:v>
      </x:c>
      <x:c r="F811" s="51" t="str"/>
    </x:row>
    <x:row r="812">
      <x:c r="A812" s="51" t="str">
        <x:v>ACT-DEFENDANTS</x:v>
      </x:c>
      <x:c r="B812" s="51" t="str">
        <x:v>Defendants</x:v>
      </x:c>
      <x:c r="C812" s="51" t="str">
        <x:v>Respondent group</x:v>
      </x:c>
      <x:c r="D812" s="51" t="str">
        <x:v>International</x:v>
      </x:c>
      <x:c r="E812" s="51" t="str">
        <x:v>Defend against claims and may assert counterclaims</x:v>
      </x:c>
      <x:c r="F812" s="51" t="str"/>
    </x:row>
    <x:row r="813">
      <x:c r="A813" s="51" t="str">
        <x:v>ACT-CATASTROPHEBONDSPONSORS</x:v>
      </x:c>
      <x:c r="B813" s="51" t="str">
        <x:v>Catastrophe bond sponsors</x:v>
      </x:c>
      <x:c r="C813" s="51" t="str">
        <x:v>Risk-transfer sponsor group</x:v>
      </x:c>
      <x:c r="D813" s="51" t="str">
        <x:v>International</x:v>
      </x:c>
      <x:c r="E813" s="51" t="str">
        <x:v>Transfer specified catastrophe risk to capital-market investors</x:v>
      </x:c>
      <x:c r="F813" s="51" t="str"/>
    </x:row>
    <x:row r="814">
      <x:c r="A814" s="51" t="str">
        <x:v>ACT-OFFICEOFFOREIGNASSETSCON</x:v>
      </x:c>
      <x:c r="B814" s="51" t="str">
        <x:v>Office of Foreign Assets Control</x:v>
      </x:c>
      <x:c r="C814" s="51" t="str">
        <x:v>Sanctions authority</x:v>
      </x:c>
      <x:c r="D814" s="51" t="str">
        <x:v>United States</x:v>
      </x:c>
      <x:c r="E814" s="51" t="str">
        <x:v>Administers and enforces US economic and trade sanctions</x:v>
      </x:c>
      <x:c r="F814" s="51" t="str"/>
    </x:row>
    <x:row r="815">
      <x:c r="A815" s="51" t="str">
        <x:v>ACT-SPECIALLYDESIGNATEDNATIO</x:v>
      </x:c>
      <x:c r="B815" s="51" t="str">
        <x:v>Specially Designated Nationals List</x:v>
      </x:c>
      <x:c r="C815" s="51" t="str">
        <x:v>Sanctions list</x:v>
      </x:c>
      <x:c r="D815" s="51" t="str">
        <x:v>United States / international effect</x:v>
      </x:c>
      <x:c r="E815" s="51" t="str">
        <x:v>Identifies persons and entities subject to blocking sanctions</x:v>
      </x:c>
      <x:c r="F815" s="51" t="str"/>
    </x:row>
    <x:row r="816">
      <x:c r="A816" s="51" t="str">
        <x:v>ACT-PRICECAPCOALITION</x:v>
      </x:c>
      <x:c r="B816" s="51" t="str">
        <x:v>Price Cap Coalition</x:v>
      </x:c>
      <x:c r="C816" s="51" t="str">
        <x:v>Sanctions policy coalition</x:v>
      </x:c>
      <x:c r="D816" s="51" t="str">
        <x:v>G7, EU and partners</x:v>
      </x:c>
      <x:c r="E816" s="51" t="str">
        <x:v>Conditions access to maritime services for Russian-origin oil</x:v>
      </x:c>
      <x:c r="F816" s="51" t="str"/>
    </x:row>
    <x:row r="817">
      <x:c r="A817" s="51" t="str">
        <x:v>ACT-OFACCONSOLIDATEDNONSDNLI</x:v>
      </x:c>
      <x:c r="B817" s="51" t="str">
        <x:v>OFAC consolidated non-SDN lists</x:v>
      </x:c>
      <x:c r="C817" s="51" t="str">
        <x:v>Sanctions restriction lists</x:v>
      </x:c>
      <x:c r="D817" s="51" t="str">
        <x:v>United States / international effect</x:v>
      </x:c>
      <x:c r="E817" s="51" t="str">
        <x:v>Identify persons and entities subject to non-blocking restrictions</x:v>
      </x:c>
      <x:c r="F817" s="51" t="str"/>
    </x:row>
    <x:row r="818">
      <x:c r="A818" s="51" t="str">
        <x:v>ACT-RUSSIANORIGINOILCARGOES</x:v>
      </x:c>
      <x:c r="B818" s="51" t="str">
        <x:v>Russian-origin oil cargoes</x:v>
      </x:c>
      <x:c r="C818" s="51" t="str">
        <x:v>Sanctions-sensitive commodity flow</x:v>
      </x:c>
      <x:c r="D818" s="51" t="str">
        <x:v>Russia / international</x:v>
      </x:c>
      <x:c r="E818" s="51" t="str">
        <x:v>Cargoes subject to price-cap and petroleum-service restrictions</x:v>
      </x:c>
      <x:c r="F818" s="51" t="str"/>
    </x:row>
    <x:row r="819">
      <x:c r="A819" s="51" t="str">
        <x:v>ACT-BLOCKEDPERSONSANDENTITIE</x:v>
      </x:c>
      <x:c r="B819" s="51" t="str">
        <x:v>Blocked persons and entities</x:v>
      </x:c>
      <x:c r="C819" s="51" t="str">
        <x:v>Sanctions-target group</x:v>
      </x:c>
      <x:c r="D819" s="51" t="str">
        <x:v>International</x:v>
      </x:c>
      <x:c r="E819" s="51" t="str">
        <x:v>Persons whose property may be blocked under applicable sanctions</x:v>
      </x:c>
      <x:c r="F819" s="51" t="str"/>
    </x:row>
    <x:row r="820">
      <x:c r="A820" s="51" t="str">
        <x:v>ACT-EUTELSATGROUP</x:v>
      </x:c>
      <x:c r="B820" s="51" t="str">
        <x:v>Eutelsat Group</x:v>
      </x:c>
      <x:c r="C820" s="51" t="str">
        <x:v>Satellite communications company</x:v>
      </x:c>
      <x:c r="D820" s="51" t="str">
        <x:v>France / international</x:v>
      </x:c>
      <x:c r="E820" s="51" t="str">
        <x:v>Operates GEO and OneWeb LEO connectivity</x:v>
      </x:c>
      <x:c r="F820" s="51" t="str"/>
    </x:row>
    <x:row r="821">
      <x:c r="A821" s="51" t="str">
        <x:v>ACT-WORLDBANKSANCTIONSBOARD</x:v>
      </x:c>
      <x:c r="B821" s="51" t="str">
        <x:v>World Bank Sanctions Board</x:v>
      </x:c>
      <x:c r="C821" s="51" t="str">
        <x:v>Second-tier adjudicative body</x:v>
      </x:c>
      <x:c r="D821" s="51" t="str">
        <x:v>International</x:v>
      </x:c>
      <x:c r="E821" s="51" t="str">
        <x:v>Reviews contested World Bank sanctions cases</x:v>
      </x:c>
      <x:c r="F821" s="51" t="str"/>
    </x:row>
    <x:row r="822">
      <x:c r="A822" s="51" t="str">
        <x:v>ACT-COMMODITYBORROWINGBASELE</x:v>
      </x:c>
      <x:c r="B822" s="51" t="str">
        <x:v>Commodity borrowing-base lenders</x:v>
      </x:c>
      <x:c r="C822" s="51" t="str">
        <x:v>Secured lender group</x:v>
      </x:c>
      <x:c r="D822" s="51" t="str">
        <x:v>International</x:v>
      </x:c>
      <x:c r="E822" s="51" t="str">
        <x:v>Lend against eligible inventory, receivables and hedged commodity positions</x:v>
      </x:c>
      <x:c r="F822" s="51" t="str"/>
    </x:row>
    <x:row r="823">
      <x:c r="A823" s="51" t="str">
        <x:v>ACT-FHLBANKADVANCES</x:v>
      </x:c>
      <x:c r="B823" s="51" t="str">
        <x:v>FHLBank advances</x:v>
      </x:c>
      <x:c r="C823" s="51" t="str">
        <x:v>Secured wholesale funding instrument category</x:v>
      </x:c>
      <x:c r="D823" s="51" t="str">
        <x:v>United States</x:v>
      </x:c>
      <x:c r="E823" s="51" t="str">
        <x:v>Provide collateralised loans from Federal Home Loan Banks to members</x:v>
      </x:c>
      <x:c r="F823" s="51" t="str"/>
    </x:row>
    <x:row r="824">
      <x:c r="A824" s="51" t="str">
        <x:v>ACT-REPOCASHBORROWERS</x:v>
      </x:c>
      <x:c r="B824" s="51" t="str">
        <x:v>Repo cash borrowers</x:v>
      </x:c>
      <x:c r="C824" s="51" t="str">
        <x:v>Secured-funding borrower group</x:v>
      </x:c>
      <x:c r="D824" s="51" t="str">
        <x:v>International</x:v>
      </x:c>
      <x:c r="E824" s="51" t="str">
        <x:v>Borrow cash and transfer securities under repurchase agreements</x:v>
      </x:c>
      <x:c r="F824" s="51" t="str"/>
    </x:row>
    <x:row r="825">
      <x:c r="A825" s="51" t="str">
        <x:v>ACT-REPOCASHLENDERS</x:v>
      </x:c>
      <x:c r="B825" s="51" t="str">
        <x:v>Repo cash lenders</x:v>
      </x:c>
      <x:c r="C825" s="51" t="str">
        <x:v>Secured-funding provider group</x:v>
      </x:c>
      <x:c r="D825" s="51" t="str">
        <x:v>International</x:v>
      </x:c>
      <x:c r="E825" s="51" t="str">
        <x:v>Lend cash against securities under repurchase agreements</x:v>
      </x:c>
      <x:c r="F825" s="51" t="str"/>
    </x:row>
    <x:row r="826">
      <x:c r="A826" s="51" t="str">
        <x:v>ACT-UCCARTICLE9</x:v>
      </x:c>
      <x:c r="B826" s="51" t="str">
        <x:v>UCC Article 9</x:v>
      </x:c>
      <x:c r="C826" s="51" t="str">
        <x:v>Secured-transactions legal framework</x:v>
      </x:c>
      <x:c r="D826" s="51" t="str">
        <x:v>United States</x:v>
      </x:c>
      <x:c r="E826" s="51" t="str">
        <x:v>Governs security interests in personal property</x:v>
      </x:c>
      <x:c r="F826" s="51" t="str"/>
    </x:row>
    <x:row r="827">
      <x:c r="A827" s="51" t="str">
        <x:v>ACT-MUNICIPALBONDUNDERWRITER</x:v>
      </x:c>
      <x:c r="B827" s="51" t="str">
        <x:v>Municipal bond underwriters</x:v>
      </x:c>
      <x:c r="C827" s="51" t="str">
        <x:v>Securities intermediary group</x:v>
      </x:c>
      <x:c r="D827" s="51" t="str">
        <x:v>United States</x:v>
      </x:c>
      <x:c r="E827" s="51" t="str">
        <x:v>Purchase and distribute municipal securities in primary offerings</x:v>
      </x:c>
      <x:c r="F827" s="51" t="str"/>
    </x:row>
    <x:row r="828">
      <x:c r="A828" s="51" t="str">
        <x:v>ACT-CEDECO</x:v>
      </x:c>
      <x:c r="B828" s="51" t="str">
        <x:v>Cede &amp; Co.</x:v>
      </x:c>
      <x:c r="C828" s="51" t="str">
        <x:v>Securities nominee</x:v>
      </x:c>
      <x:c r="D828" s="51" t="str">
        <x:v>United States</x:v>
      </x:c>
      <x:c r="E828" s="51" t="str">
        <x:v>Registered owner nominee for securities held through DTC</x:v>
      </x:c>
      <x:c r="F828" s="51" t="str"/>
    </x:row>
    <x:row r="829">
      <x:c r="A829" s="51" t="str">
        <x:v>ACT-SECURITIESANDEXCHANGECOM</x:v>
      </x:c>
      <x:c r="B829" s="51" t="str">
        <x:v>Securities and Exchange Commission</x:v>
      </x:c>
      <x:c r="C829" s="51" t="str">
        <x:v>Securities-market regulator</x:v>
      </x:c>
      <x:c r="D829" s="51" t="str">
        <x:v>United States</x:v>
      </x:c>
      <x:c r="E829" s="51" t="str">
        <x:v>Regulates money market funds, broker-dealers and Treasury clearing agencies</x:v>
      </x:c>
      <x:c r="F829" s="51" t="str"/>
    </x:row>
    <x:row r="830">
      <x:c r="A830" s="51" t="str">
        <x:v>ACT-NVIDIA</x:v>
      </x:c>
      <x:c r="B830" s="51" t="str">
        <x:v>NVIDIA</x:v>
      </x:c>
      <x:c r="C830" s="51" t="str">
        <x:v>Semiconductor / AI company</x:v>
      </x:c>
      <x:c r="D830" s="51" t="str">
        <x:v>United States</x:v>
      </x:c>
      <x:c r="E830" s="51" t="str">
        <x:v>AI accelerators and platform ecosystem</x:v>
      </x:c>
      <x:c r="F830" s="51" t="str"/>
    </x:row>
    <x:row r="831">
      <x:c r="A831" s="51" t="str">
        <x:v>ACT-ARMHOLDINGS</x:v>
      </x:c>
      <x:c r="B831" s="51" t="str">
        <x:v>Arm Holdings</x:v>
      </x:c>
      <x:c r="C831" s="51" t="str">
        <x:v>Semiconductor IP company</x:v>
      </x:c>
      <x:c r="D831" s="51" t="str">
        <x:v>United Kingdom / United States</x:v>
      </x:c>
      <x:c r="E831" s="51" t="str">
        <x:v>Licenses processor architecture and collects royalties across device markets</x:v>
      </x:c>
      <x:c r="F831" s="51" t="str"/>
    </x:row>
    <x:row r="832">
      <x:c r="A832" s="51" t="str">
        <x:v>ACT-SIFIVE</x:v>
      </x:c>
      <x:c r="B832" s="51" t="str">
        <x:v>SiFive</x:v>
      </x:c>
      <x:c r="C832" s="51" t="str">
        <x:v>Semiconductor IP company</x:v>
      </x:c>
      <x:c r="D832" s="51" t="str">
        <x:v>United States</x:v>
      </x:c>
      <x:c r="E832" s="51" t="str">
        <x:v>Commercial RISC-V core and custom-silicon vendor</x:v>
      </x:c>
      <x:c r="F832" s="51" t="str"/>
    </x:row>
    <x:row r="833">
      <x:c r="A833" s="51" t="str">
        <x:v>ACT-ARMCHINA</x:v>
      </x:c>
      <x:c r="B833" s="51" t="str">
        <x:v>Arm China</x:v>
      </x:c>
      <x:c r="C833" s="51" t="str">
        <x:v>Semiconductor IP intermediary</x:v>
      </x:c>
      <x:c r="D833" s="51" t="str">
        <x:v>China</x:v>
      </x:c>
      <x:c r="E833" s="51" t="str">
        <x:v>Sub-licenses Arm IP and remits a share of royalties</x:v>
      </x:c>
      <x:c r="F833" s="51" t="str"/>
    </x:row>
    <x:row r="834">
      <x:c r="A834" s="51" t="str">
        <x:v>ACT-BROADCOM</x:v>
      </x:c>
      <x:c r="B834" s="51" t="str">
        <x:v>Broadcom</x:v>
      </x:c>
      <x:c r="C834" s="51" t="str">
        <x:v>Semiconductor and infrastructure software company</x:v>
      </x:c>
      <x:c r="D834" s="51" t="str">
        <x:v>United States</x:v>
      </x:c>
      <x:c r="E834" s="51" t="str">
        <x:v>Designs networking, custom silicon and AI accelerator components</x:v>
      </x:c>
      <x:c r="F834" s="51" t="str"/>
    </x:row>
    <x:row r="835">
      <x:c r="A835" s="51" t="str">
        <x:v>ACT-AINETWORKINGSUPPLIERS</x:v>
      </x:c>
      <x:c r="B835" s="51" t="str">
        <x:v>AI networking suppliers</x:v>
      </x:c>
      <x:c r="C835" s="51" t="str">
        <x:v>Semiconductor and systems group</x:v>
      </x:c>
      <x:c r="D835" s="51" t="str">
        <x:v>International</x:v>
      </x:c>
      <x:c r="E835" s="51" t="str">
        <x:v>Supply high-speed interconnects, switches and optical networking</x:v>
      </x:c>
      <x:c r="F835" s="51" t="str"/>
    </x:row>
    <x:row r="836">
      <x:c r="A836" s="51" t="str">
        <x:v>ACT-INTEL</x:v>
      </x:c>
      <x:c r="B836" s="51" t="str">
        <x:v>Intel</x:v>
      </x:c>
      <x:c r="C836" s="51" t="str">
        <x:v>Semiconductor company</x:v>
      </x:c>
      <x:c r="D836" s="51" t="str">
        <x:v>United States</x:v>
      </x:c>
      <x:c r="E836" s="51" t="str">
        <x:v>Processors and computing infrastructure</x:v>
      </x:c>
      <x:c r="F836" s="51" t="str"/>
    </x:row>
    <x:row r="837">
      <x:c r="A837" s="51" t="str">
        <x:v>ACT-ARMARCHITECTURELICENSEES</x:v>
      </x:c>
      <x:c r="B837" s="51" t="str">
        <x:v>Arm architecture licensees</x:v>
      </x:c>
      <x:c r="C837" s="51" t="str">
        <x:v>Semiconductor company group</x:v>
      </x:c>
      <x:c r="D837" s="51" t="str">
        <x:v>International</x:v>
      </x:c>
      <x:c r="E837" s="51" t="str">
        <x:v>Companies licensing Arm architecture or core designs</x:v>
      </x:c>
      <x:c r="F837" s="51" t="str"/>
    </x:row>
    <x:row r="838">
      <x:c r="A838" s="51" t="str">
        <x:v>ACT-CHIPDESIGNCOMPANIES</x:v>
      </x:c>
      <x:c r="B838" s="51" t="str">
        <x:v>Chip design companies</x:v>
      </x:c>
      <x:c r="C838" s="51" t="str">
        <x:v>Semiconductor company group</x:v>
      </x:c>
      <x:c r="D838" s="51" t="str">
        <x:v>International</x:v>
      </x:c>
      <x:c r="E838" s="51" t="str">
        <x:v>Create processor architectures, logic designs and system specifications</x:v>
      </x:c>
      <x:c r="F838" s="51" t="str"/>
    </x:row>
    <x:row r="839">
      <x:c r="A839" s="51" t="str">
        <x:v>ACT-ASML</x:v>
      </x:c>
      <x:c r="B839" s="51" t="str">
        <x:v>ASML</x:v>
      </x:c>
      <x:c r="C839" s="51" t="str">
        <x:v>Semiconductor equipment company</x:v>
      </x:c>
      <x:c r="D839" s="51" t="str">
        <x:v>Netherlands</x:v>
      </x:c>
      <x:c r="E839" s="51" t="str">
        <x:v>Advanced lithography chokepoint</x:v>
      </x:c>
      <x:c r="F839" s="51" t="str"/>
    </x:row>
    <x:row r="840">
      <x:c r="A840" s="51" t="str">
        <x:v>ACT-ASMLHOLDING</x:v>
      </x:c>
      <x:c r="B840" s="51" t="str">
        <x:v>ASML Holding</x:v>
      </x:c>
      <x:c r="C840" s="51" t="str">
        <x:v>Semiconductor equipment company</x:v>
      </x:c>
      <x:c r="D840" s="51" t="str">
        <x:v>Netherlands</x:v>
      </x:c>
      <x:c r="E840" s="51" t="str">
        <x:v>Dominant lithography and metrology equipment supplier</x:v>
      </x:c>
      <x:c r="F840" s="51" t="str"/>
    </x:row>
    <x:row r="841">
      <x:c r="A841" s="51" t="str">
        <x:v>ACT-APPLIEDMATERIALS</x:v>
      </x:c>
      <x:c r="B841" s="51" t="str">
        <x:v>Applied Materials</x:v>
      </x:c>
      <x:c r="C841" s="51" t="str">
        <x:v>Semiconductor equipment company</x:v>
      </x:c>
      <x:c r="D841" s="51" t="str">
        <x:v>United States</x:v>
      </x:c>
      <x:c r="E841" s="51" t="str">
        <x:v>Supplier of semiconductor manufacturing equipment and policy-advocacy client</x:v>
      </x:c>
      <x:c r="F841" s="51" t="str"/>
    </x:row>
    <x:row r="842">
      <x:c r="A842" s="51" t="str">
        <x:v>ACT-CHRISTOPHEFOUQUET</x:v>
      </x:c>
      <x:c r="B842" s="51" t="str">
        <x:v>Christophe Fouquet</x:v>
      </x:c>
      <x:c r="C842" s="51" t="str">
        <x:v>Semiconductor equipment executive</x:v>
      </x:c>
      <x:c r="D842" s="51" t="str">
        <x:v>Netherlands</x:v>
      </x:c>
      <x:c r="E842" s="51" t="str">
        <x:v>President and CEO of ASML</x:v>
      </x:c>
      <x:c r="F842" s="51" t="str"/>
    </x:row>
    <x:row r="843">
      <x:c r="A843" s="51" t="str">
        <x:v>ACT-CCWEI</x:v>
      </x:c>
      <x:c r="B843" s="51" t="str">
        <x:v>C.C. Wei</x:v>
      </x:c>
      <x:c r="C843" s="51" t="str">
        <x:v>Semiconductor executive</x:v>
      </x:c>
      <x:c r="D843" s="51" t="str">
        <x:v>Taiwan</x:v>
      </x:c>
      <x:c r="E843" s="51" t="str">
        <x:v>Chairman and CEO of TSMC</x:v>
      </x:c>
      <x:c r="F843" s="51" t="str"/>
    </x:row>
    <x:row r="844">
      <x:c r="A844" s="51" t="str">
        <x:v>ACT-TSMC</x:v>
      </x:c>
      <x:c r="B844" s="51" t="str">
        <x:v>TSMC</x:v>
      </x:c>
      <x:c r="C844" s="51" t="str">
        <x:v>Semiconductor foundry</x:v>
      </x:c>
      <x:c r="D844" s="51" t="str">
        <x:v>Taiwan</x:v>
      </x:c>
      <x:c r="E844" s="51" t="str">
        <x:v>Advanced chip fabrication</x:v>
      </x:c>
      <x:c r="F844" s="51" t="str"/>
    </x:row>
    <x:row r="845">
      <x:c r="A845" s="51" t="str">
        <x:v>ACT-ROBERTBOSCHSEMICONDUCTOR</x:v>
      </x:c>
      <x:c r="B845" s="51" t="str">
        <x:v>Robert Bosch Semiconductor LLC</x:v>
      </x:c>
      <x:c r="C845" s="51" t="str">
        <x:v>Semiconductor manufacturer</x:v>
      </x:c>
      <x:c r="D845" s="51" t="str">
        <x:v>United States / Germany</x:v>
      </x:c>
      <x:c r="E845" s="51" t="str">
        <x:v>Recipient of a 2026 CHIPS direct funding agreement</x:v>
      </x:c>
      <x:c r="F845" s="51" t="str"/>
    </x:row>
    <x:row r="846">
      <x:c r="A846" s="51" t="str">
        <x:v>ACT-ADVANCEDPACKAGINGPROVIDE</x:v>
      </x:c>
      <x:c r="B846" s="51" t="str">
        <x:v>Advanced packaging providers</x:v>
      </x:c>
      <x:c r="C846" s="51" t="str">
        <x:v>Semiconductor manufacturing group</x:v>
      </x:c>
      <x:c r="D846" s="51" t="str">
        <x:v>International</x:v>
      </x:c>
      <x:c r="E846" s="51" t="str">
        <x:v>Integrate chiplets, high-bandwidth memory and substrates</x:v>
      </x:c>
      <x:c r="F846" s="51" t="str"/>
    </x:row>
    <x:row r="847">
      <x:c r="A847" s="51" t="str">
        <x:v>ACT-ASMLEUVLITHOGRAPHY</x:v>
      </x:c>
      <x:c r="B847" s="51" t="str">
        <x:v>ASML EUV lithography</x:v>
      </x:c>
      <x:c r="C847" s="51" t="str">
        <x:v>Semiconductor manufacturing platform</x:v>
      </x:c>
      <x:c r="D847" s="51" t="str">
        <x:v>Netherlands / international</x:v>
      </x:c>
      <x:c r="E847" s="51" t="str">
        <x:v>Enables leading-edge patterning for advanced logic</x:v>
      </x:c>
      <x:c r="F847" s="51" t="str"/>
    </x:row>
    <x:row r="848">
      <x:c r="A848" s="51" t="str">
        <x:v>ACT-SKHYNIX</x:v>
      </x:c>
      <x:c r="B848" s="51" t="str">
        <x:v>SK Hynix</x:v>
      </x:c>
      <x:c r="C848" s="51" t="str">
        <x:v>Semiconductor memory company</x:v>
      </x:c>
      <x:c r="D848" s="51" t="str">
        <x:v>South Korea</x:v>
      </x:c>
      <x:c r="E848" s="51" t="str">
        <x:v>Major high-bandwidth-memory supplier</x:v>
      </x:c>
      <x:c r="F848" s="51" t="str"/>
    </x:row>
    <x:row r="849">
      <x:c r="A849" s="51" t="str">
        <x:v>ACT-VARIATIONMARGINCASHFLOWS</x:v>
      </x:c>
      <x:c r="B849" s="51" t="str">
        <x:v>Variation margin cash flows</x:v>
      </x:c>
      <x:c r="C849" s="51" t="str">
        <x:v>Settlement cash-flow object</x:v>
      </x:c>
      <x:c r="D849" s="51" t="str">
        <x:v>International</x:v>
      </x:c>
      <x:c r="E849" s="51" t="str">
        <x:v>Daily or intraday transfers reflecting current mark-to-market gains and losses</x:v>
      </x:c>
      <x:c r="F849" s="51" t="str"/>
    </x:row>
    <x:row r="850">
      <x:c r="A850" s="51" t="str">
        <x:v>ACT-MARITIMESERVICEPROVIDERS</x:v>
      </x:c>
      <x:c r="B850" s="51" t="str">
        <x:v>Maritime service providers</x:v>
      </x:c>
      <x:c r="C850" s="51" t="str">
        <x:v>Shipping service group</x:v>
      </x:c>
      <x:c r="D850" s="51" t="str">
        <x:v>International</x:v>
      </x:c>
      <x:c r="E850" s="51" t="str">
        <x:v>Provide insurance, broking, finance, flagging, bunkering and transportation</x:v>
      </x:c>
      <x:c r="F850" s="51" t="str"/>
    </x:row>
    <x:row r="851">
      <x:c r="A851" s="51" t="str">
        <x:v>ACT-AMERICANHOMES4RENT</x:v>
      </x:c>
      <x:c r="B851" s="51" t="str">
        <x:v>American Homes 4 Rent</x:v>
      </x:c>
      <x:c r="C851" s="51" t="str">
        <x:v>Single-family rental REIT</x:v>
      </x:c>
      <x:c r="D851" s="51" t="str">
        <x:v>United States</x:v>
      </x:c>
      <x:c r="E851" s="51" t="str">
        <x:v>Owns and develops large portfolios of single-family rental homes</x:v>
      </x:c>
      <x:c r="F851" s="51" t="str"/>
    </x:row>
    <x:row r="852">
      <x:c r="A852" s="51" t="str">
        <x:v>ACT-INVITATIONHOMES</x:v>
      </x:c>
      <x:c r="B852" s="51" t="str">
        <x:v>Invitation Homes</x:v>
      </x:c>
      <x:c r="C852" s="51" t="str">
        <x:v>Single-family rental REIT</x:v>
      </x:c>
      <x:c r="D852" s="51" t="str">
        <x:v>United States</x:v>
      </x:c>
      <x:c r="E852" s="51" t="str">
        <x:v>Owns, jointly owns and manages large portfolios of leased homes</x:v>
      </x:c>
      <x:c r="F852" s="51" t="str"/>
    </x:row>
    <x:row r="853">
      <x:c r="A853" s="51" t="str">
        <x:v>ACT-TIKTOK</x:v>
      </x:c>
      <x:c r="B853" s="51" t="str">
        <x:v>TikTok</x:v>
      </x:c>
      <x:c r="C853" s="51" t="str">
        <x:v>Social media platform</x:v>
      </x:c>
      <x:c r="D853" s="51" t="str">
        <x:v>International / China-linked</x:v>
      </x:c>
      <x:c r="E853" s="51" t="str">
        <x:v>Short-video platform and political-communication gatekeeper</x:v>
      </x:c>
      <x:c r="F853" s="51" t="str"/>
    </x:row>
    <x:row r="854">
      <x:c r="A854" s="51" t="str">
        <x:v>ACT-NONDEFAULTINGCLEARINGMEM</x:v>
      </x:c>
      <x:c r="B854" s="51" t="str">
        <x:v>Non-defaulting clearing members</x:v>
      </x:c>
      <x:c r="C854" s="51" t="str">
        <x:v>Solvent mutualised participant group</x:v>
      </x:c>
      <x:c r="D854" s="51" t="str">
        <x:v>International</x:v>
      </x:c>
      <x:c r="E854" s="51" t="str">
        <x:v>Provide default-fund resources and may participate in default management</x:v>
      </x:c>
      <x:c r="F854" s="51" t="str"/>
    </x:row>
    <x:row r="855">
      <x:c r="A855" s="51" t="str">
        <x:v>ACT-HOSTSTATES</x:v>
      </x:c>
      <x:c r="B855" s="51" t="str">
        <x:v>Host states</x:v>
      </x:c>
      <x:c r="C855" s="51" t="str">
        <x:v>Sovereign actor group</x:v>
      </x:c>
      <x:c r="D855" s="51" t="str">
        <x:v>International</x:v>
      </x:c>
      <x:c r="E855" s="51" t="str">
        <x:v>Regulate investment and defend investor-state claims</x:v>
      </x:c>
      <x:c r="F855" s="51" t="str"/>
    </x:row>
    <x:row r="856">
      <x:c r="A856" s="51" t="str">
        <x:v>ACT-DEBTORSOVEREIGNS</x:v>
      </x:c>
      <x:c r="B856" s="51" t="str">
        <x:v>Debtor sovereigns</x:v>
      </x:c>
      <x:c r="C856" s="51" t="str">
        <x:v>Sovereign borrower group</x:v>
      </x:c>
      <x:c r="D856" s="51" t="str">
        <x:v>International</x:v>
      </x:c>
      <x:c r="E856" s="51" t="str">
        <x:v>Seek debt relief, reprofiling or restructuring</x:v>
      </x:c>
      <x:c r="F856" s="51" t="str"/>
    </x:row>
    <x:row r="857">
      <x:c r="A857" s="51" t="str">
        <x:v>ACT-AWSEUROPEANSOVEREIGNCLOU</x:v>
      </x:c>
      <x:c r="B857" s="51" t="str">
        <x:v>AWS European Sovereign Cloud</x:v>
      </x:c>
      <x:c r="C857" s="51" t="str">
        <x:v>Sovereign cloud environment</x:v>
      </x:c>
      <x:c r="D857" s="51" t="str">
        <x:v>European Union</x:v>
      </x:c>
      <x:c r="E857" s="51" t="str">
        <x:v>AWS cloud designed for European data, operational and legal sovereignty requirements</x:v>
      </x:c>
      <x:c r="F857" s="51" t="str"/>
    </x:row>
    <x:row r="858">
      <x:c r="A858" s="51" t="str">
        <x:v>ACT-PARISCLUBCREDITORGOVERNM</x:v>
      </x:c>
      <x:c r="B858" s="51" t="str">
        <x:v>Paris Club creditor governments</x:v>
      </x:c>
      <x:c r="C858" s="51" t="str">
        <x:v>Sovereign creditor group</x:v>
      </x:c>
      <x:c r="D858" s="51" t="str">
        <x:v>International</x:v>
      </x:c>
      <x:c r="E858" s="51" t="str">
        <x:v>Hold official bilateral claims</x:v>
      </x:c>
      <x:c r="F858" s="51" t="str"/>
    </x:row>
    <x:row r="859">
      <x:c r="A859" s="51" t="str">
        <x:v>ACT-G20COMMONFRAMEWORK</x:v>
      </x:c>
      <x:c r="B859" s="51" t="str">
        <x:v>G20 Common Framework</x:v>
      </x:c>
      <x:c r="C859" s="51" t="str">
        <x:v>Sovereign debt coordination framework</x:v>
      </x:c>
      <x:c r="D859" s="51" t="str">
        <x:v>International</x:v>
      </x:c>
      <x:c r="E859" s="51" t="str">
        <x:v>Coordinates official creditor treatments beyond the DSSI</x:v>
      </x:c>
      <x:c r="F859" s="51" t="str"/>
    </x:row>
    <x:row r="860">
      <x:c r="A860" s="51" t="str">
        <x:v>ACT-COMPARABILITYOFTREATMENT</x:v>
      </x:c>
      <x:c r="B860" s="51" t="str">
        <x:v>Comparability of treatment principle</x:v>
      </x:c>
      <x:c r="C860" s="51" t="str">
        <x:v>Sovereign debt coordination principle</x:v>
      </x:c>
      <x:c r="D860" s="51" t="str">
        <x:v>International</x:v>
      </x:c>
      <x:c r="E860" s="51" t="str">
        <x:v>Seeks broadly comparable relief across creditor groups</x:v>
      </x:c>
      <x:c r="F860" s="51" t="str"/>
    </x:row>
    <x:row r="861">
      <x:c r="A861" s="51" t="str">
        <x:v>ACT-ADQ</x:v>
      </x:c>
      <x:c r="B861" s="51" t="str">
        <x:v>ADQ</x:v>
      </x:c>
      <x:c r="C861" s="51" t="str">
        <x:v>Sovereign investment company</x:v>
      </x:c>
      <x:c r="D861" s="51" t="str">
        <x:v>United Arab Emirates</x:v>
      </x:c>
      <x:c r="E861" s="51" t="str">
        <x:v>Strategic infrastructure and operating holdings</x:v>
      </x:c>
      <x:c r="F861" s="51" t="str"/>
    </x:row>
    <x:row r="862">
      <x:c r="A862" s="51" t="str">
        <x:v>ACT-MUBADALA</x:v>
      </x:c>
      <x:c r="B862" s="51" t="str">
        <x:v>Mubadala</x:v>
      </x:c>
      <x:c r="C862" s="51" t="str">
        <x:v>Sovereign investment company</x:v>
      </x:c>
      <x:c r="D862" s="51" t="str">
        <x:v>United Arab Emirates</x:v>
      </x:c>
      <x:c r="E862" s="51" t="str">
        <x:v>Strategic investment and industrial development</x:v>
      </x:c>
      <x:c r="F862" s="51" t="str"/>
    </x:row>
    <x:row r="863">
      <x:c r="A863" s="51" t="str">
        <x:v>ACT-OPECANDNONOPECDECLARATIO</x:v>
      </x:c>
      <x:c r="B863" s="51" t="str">
        <x:v>OPEC and non-OPEC Declaration of Cooperation participants</x:v>
      </x:c>
      <x:c r="C863" s="51" t="str">
        <x:v>Sovereign producer coalition</x:v>
      </x:c>
      <x:c r="D863" s="51" t="str">
        <x:v>International</x:v>
      </x:c>
      <x:c r="E863" s="51" t="str">
        <x:v>Coordinate crude production levels and market monitoring</x:v>
      </x:c>
      <x:c r="F863" s="51" t="str"/>
    </x:row>
    <x:row r="864">
      <x:c r="A864" s="51" t="str">
        <x:v>ACT-OPECMEMBERCOUNTRIES</x:v>
      </x:c>
      <x:c r="B864" s="51" t="str">
        <x:v>OPEC Member Countries</x:v>
      </x:c>
      <x:c r="C864" s="51" t="str">
        <x:v>Sovereign producer group</x:v>
      </x:c>
      <x:c r="D864" s="51" t="str">
        <x:v>International</x:v>
      </x:c>
      <x:c r="E864" s="51" t="str">
        <x:v>Coordinate petroleum policy through OPEC institutions</x:v>
      </x:c>
      <x:c r="F864" s="51" t="str"/>
    </x:row>
    <x:row r="865">
      <x:c r="A865" s="51" t="str">
        <x:v>ACT-ABUDHABIINVESTMENTAUTHOR</x:v>
      </x:c>
      <x:c r="B865" s="51" t="str">
        <x:v>Abu Dhabi Investment Authority</x:v>
      </x:c>
      <x:c r="C865" s="51" t="str">
        <x:v>Sovereign wealth fund</x:v>
      </x:c>
      <x:c r="D865" s="51" t="str">
        <x:v>United Arab Emirates</x:v>
      </x:c>
      <x:c r="E865" s="51" t="str">
        <x:v>Long-horizon state investment</x:v>
      </x:c>
      <x:c r="F865" s="51" t="str"/>
    </x:row>
    <x:row r="866">
      <x:c r="A866" s="51" t="str">
        <x:v>ACT-KUWAITINVESTMENTAUTHORIT</x:v>
      </x:c>
      <x:c r="B866" s="51" t="str">
        <x:v>Kuwait Investment Authority</x:v>
      </x:c>
      <x:c r="C866" s="51" t="str">
        <x:v>Sovereign wealth fund</x:v>
      </x:c>
      <x:c r="D866" s="51" t="str">
        <x:v>Kuwait</x:v>
      </x:c>
      <x:c r="E866" s="51" t="str">
        <x:v>State capital allocation</x:v>
      </x:c>
      <x:c r="F866" s="51" t="str"/>
    </x:row>
    <x:row r="867">
      <x:c r="A867" s="51" t="str">
        <x:v>ACT-PUBLICINVESTMENTFUND</x:v>
      </x:c>
      <x:c r="B867" s="51" t="str">
        <x:v>Public Investment Fund</x:v>
      </x:c>
      <x:c r="C867" s="51" t="str">
        <x:v>Sovereign wealth fund</x:v>
      </x:c>
      <x:c r="D867" s="51" t="str">
        <x:v>Saudi Arabia</x:v>
      </x:c>
      <x:c r="E867" s="51" t="str">
        <x:v>Converts state capital into strategic assets</x:v>
      </x:c>
      <x:c r="F867" s="51" t="str"/>
    </x:row>
    <x:row r="868">
      <x:c r="A868" s="51" t="str">
        <x:v>ACT-QATARINVESTMENTAUTHORITY</x:v>
      </x:c>
      <x:c r="B868" s="51" t="str">
        <x:v>Qatar Investment Authority</x:v>
      </x:c>
      <x:c r="C868" s="51" t="str">
        <x:v>Sovereign wealth fund</x:v>
      </x:c>
      <x:c r="D868" s="51" t="str">
        <x:v>Qatar</x:v>
      </x:c>
      <x:c r="E868" s="51" t="str">
        <x:v>Converts hydrocarbon surplus into global assets</x:v>
      </x:c>
      <x:c r="F868" s="51" t="str"/>
    </x:row>
    <x:row r="869">
      <x:c r="A869" s="51" t="str">
        <x:v>ACT-GOOGLEDISTRIBUTEDCLOUDAI</x:v>
      </x:c>
      <x:c r="B869" s="51" t="str">
        <x:v>Google Distributed Cloud Air-Gapped</x:v>
      </x:c>
      <x:c r="C869" s="51" t="str">
        <x:v>Sovereign/classified cloud system</x:v>
      </x:c>
      <x:c r="D869" s="51" t="str">
        <x:v>International / United States</x:v>
      </x:c>
      <x:c r="E869" s="51" t="str">
        <x:v>Disconnected cloud and AI environment for sensitive workloads</x:v>
      </x:c>
      <x:c r="F869" s="51" t="str"/>
    </x:row>
    <x:row r="870">
      <x:c r="A870" s="51" t="str">
        <x:v>ACT-SATELLITELAUNCHPROVIDERS</x:v>
      </x:c>
      <x:c r="B870" s="51" t="str">
        <x:v>Satellite launch providers</x:v>
      </x:c>
      <x:c r="C870" s="51" t="str">
        <x:v>Space launch group</x:v>
      </x:c>
      <x:c r="D870" s="51" t="str">
        <x:v>International</x:v>
      </x:c>
      <x:c r="E870" s="51" t="str">
        <x:v>Deploy constellations into orbit</x:v>
      </x:c>
      <x:c r="F870" s="51" t="str"/>
    </x:row>
    <x:row r="871">
      <x:c r="A871" s="51" t="str">
        <x:v>ACT-TOPANGARELTD</x:v>
      </x:c>
      <x:c r="B871" s="51" t="str">
        <x:v>Topanga Re Ltd.</x:v>
      </x:c>
      <x:c r="C871" s="51" t="str">
        <x:v>Special purpose insurer</x:v>
      </x:c>
      <x:c r="D871" s="51" t="str">
        <x:v>Bermuda / international</x:v>
      </x:c>
      <x:c r="E871" s="51" t="str">
        <x:v>Issued catastrophe bond notes providing collateralised reinsurance to Farmers</x:v>
      </x:c>
      <x:c r="F871" s="51" t="str"/>
    </x:row>
    <x:row r="872">
      <x:c r="A872" s="51" t="str">
        <x:v>ACT-CABLEREPAIRFLEETS</x:v>
      </x:c>
      <x:c r="B872" s="51" t="str">
        <x:v>Cable repair fleets</x:v>
      </x:c>
      <x:c r="C872" s="51" t="str">
        <x:v>Specialised infrastructure</x:v>
      </x:c>
      <x:c r="D872" s="51" t="str">
        <x:v>International</x:v>
      </x:c>
      <x:c r="E872" s="51" t="str">
        <x:v>Ships and crews that repair damaged submarine cables</x:v>
      </x:c>
      <x:c r="F872" s="51" t="str"/>
    </x:row>
    <x:row r="873">
      <x:c r="A873" s="51" t="str">
        <x:v>ACT-USD1</x:v>
      </x:c>
      <x:c r="B873" s="51" t="str">
        <x:v>USD1</x:v>
      </x:c>
      <x:c r="C873" s="51" t="str">
        <x:v>Stablecoin</x:v>
      </x:c>
      <x:c r="D873" s="51" t="str">
        <x:v>United States / international</x:v>
      </x:c>
      <x:c r="E873" s="51" t="str">
        <x:v>Dollar-pegged token issued by World Liberty Financial</x:v>
      </x:c>
      <x:c r="F873" s="51" t="str"/>
    </x:row>
    <x:row r="874">
      <x:c r="A874" s="51" t="str">
        <x:v>ACT-USDC</x:v>
      </x:c>
      <x:c r="B874" s="51" t="str">
        <x:v>USDC</x:v>
      </x:c>
      <x:c r="C874" s="51" t="str">
        <x:v>Stablecoin</x:v>
      </x:c>
      <x:c r="D874" s="51" t="str">
        <x:v>United States / public blockchains</x:v>
      </x:c>
      <x:c r="E874" s="51" t="str">
        <x:v>Dollar-linked token backed by segregated reserves</x:v>
      </x:c>
      <x:c r="F874" s="51" t="str"/>
    </x:row>
    <x:row r="875">
      <x:c r="A875" s="51" t="str">
        <x:v>ACT-USDT</x:v>
      </x:c>
      <x:c r="B875" s="51" t="str">
        <x:v>USDT</x:v>
      </x:c>
      <x:c r="C875" s="51" t="str">
        <x:v>Stablecoin</x:v>
      </x:c>
      <x:c r="D875" s="51" t="str">
        <x:v>International / public blockchains</x:v>
      </x:c>
      <x:c r="E875" s="51" t="str">
        <x:v>Dollar-linked token with issuer-controlled blacklist and freeze functions</x:v>
      </x:c>
      <x:c r="F875" s="51" t="str"/>
    </x:row>
    <x:row r="876">
      <x:c r="A876" s="51" t="str">
        <x:v>ACT-TETHER</x:v>
      </x:c>
      <x:c r="B876" s="51" t="str">
        <x:v>Tether</x:v>
      </x:c>
      <x:c r="C876" s="51" t="str">
        <x:v>Stablecoin issuer</x:v>
      </x:c>
      <x:c r="D876" s="51" t="str">
        <x:v>El Salvador / international</x:v>
      </x:c>
      <x:c r="E876" s="51" t="str">
        <x:v>Issuer of USDT with wallet-freeze and law-enforcement coordination capacity</x:v>
      </x:c>
      <x:c r="F876" s="51" t="str"/>
    </x:row>
    <x:row r="877">
      <x:c r="A877" s="51" t="str">
        <x:v>ACT-CIRCLEINTERNETGROUP</x:v>
      </x:c>
      <x:c r="B877" s="51" t="str">
        <x:v>Circle Internet Group</x:v>
      </x:c>
      <x:c r="C877" s="51" t="str">
        <x:v>Stablecoin issuer / financial technology company</x:v>
      </x:c>
      <x:c r="D877" s="51" t="str">
        <x:v>United States</x:v>
      </x:c>
      <x:c r="E877" s="51" t="str">
        <x:v>Issuer of USDC and operator of private dollar settlement infrastructure</x:v>
      </x:c>
      <x:c r="F877" s="51" t="str"/>
    </x:row>
    <x:row r="878">
      <x:c r="A878" s="51" t="str">
        <x:v>ACT-NATIONALINSTITUTEOFSTAND</x:v>
      </x:c>
      <x:c r="B878" s="51" t="str">
        <x:v>National Institute of Standards and Technology</x:v>
      </x:c>
      <x:c r="C878" s="51" t="str">
        <x:v>Standards and measurement agency</x:v>
      </x:c>
      <x:c r="D878" s="51" t="str">
        <x:v>United States</x:v>
      </x:c>
      <x:c r="E878" s="51" t="str">
        <x:v>Develops voluntary frameworks, measurements and AI standards leadership</x:v>
      </x:c>
      <x:c r="F878" s="51" t="str"/>
    </x:row>
    <x:row r="879">
      <x:c r="A879" s="51" t="str">
        <x:v>ACT-IEEESTANDARDSASSOCIATION</x:v>
      </x:c>
      <x:c r="B879" s="51" t="str">
        <x:v>IEEE Standards Association</x:v>
      </x:c>
      <x:c r="C879" s="51" t="str">
        <x:v>Standards organisation</x:v>
      </x:c>
      <x:c r="D879" s="51" t="str">
        <x:v>International</x:v>
      </x:c>
      <x:c r="E879" s="51" t="str">
        <x:v>Develops technical and ethical standards and certification programmes</x:v>
      </x:c>
      <x:c r="F879" s="51" t="str"/>
    </x:row>
    <x:row r="880">
      <x:c r="A880" s="51" t="str">
        <x:v>ACT-CYBERSPACEADMINISTRATION</x:v>
      </x:c>
      <x:c r="B880" s="51" t="str">
        <x:v>Cyberspace Administration of China</x:v>
      </x:c>
      <x:c r="C880" s="51" t="str">
        <x:v>State agency</x:v>
      </x:c>
      <x:c r="D880" s="51" t="str">
        <x:v>China</x:v>
      </x:c>
      <x:c r="E880" s="51" t="str">
        <x:v>Internet, data and platform regulator</x:v>
      </x:c>
      <x:c r="F880" s="51" t="str"/>
    </x:row>
    <x:row r="881">
      <x:c r="A881" s="51" t="str">
        <x:v>ACT-MINISTRYOFPUBLICSECURITY</x:v>
      </x:c>
      <x:c r="B881" s="51" t="str">
        <x:v>Ministry of Public Security of China</x:v>
      </x:c>
      <x:c r="C881" s="51" t="str">
        <x:v>State agency</x:v>
      </x:c>
      <x:c r="D881" s="51" t="str">
        <x:v>China</x:v>
      </x:c>
      <x:c r="E881" s="51" t="str">
        <x:v>Police and identity authority</x:v>
      </x:c>
      <x:c r="F881" s="51" t="str"/>
    </x:row>
    <x:row r="882">
      <x:c r="A882" s="51" t="str">
        <x:v>ACT-MUNICIPALISSUERS</x:v>
      </x:c>
      <x:c r="B882" s="51" t="str">
        <x:v>Municipal issuers</x:v>
      </x:c>
      <x:c r="C882" s="51" t="str">
        <x:v>State and local public borrower group</x:v>
      </x:c>
      <x:c r="D882" s="51" t="str">
        <x:v>United States</x:v>
      </x:c>
      <x:c r="E882" s="51" t="str">
        <x:v>Issue debt to finance infrastructure and public operations</x:v>
      </x:c>
      <x:c r="F882" s="51" t="str"/>
    </x:row>
    <x:row r="883">
      <x:c r="A883" s="51" t="str">
        <x:v>ACT-MGX</x:v>
      </x:c>
      <x:c r="B883" s="51" t="str">
        <x:v>MGX</x:v>
      </x:c>
      <x:c r="C883" s="51" t="str">
        <x:v>State-linked AI investment company</x:v>
      </x:c>
      <x:c r="D883" s="51" t="str">
        <x:v>United Arab Emirates</x:v>
      </x:c>
      <x:c r="E883" s="51" t="str">
        <x:v>AI and advanced-technology investment</x:v>
      </x:c>
      <x:c r="F883" s="51" t="str"/>
    </x:row>
    <x:row r="884">
      <x:c r="A884" s="51" t="str">
        <x:v>ACT-NATIONALOILANDGASCOMPANI</x:v>
      </x:c>
      <x:c r="B884" s="51" t="str">
        <x:v>National oil and gas companies</x:v>
      </x:c>
      <x:c r="C884" s="51" t="str">
        <x:v>State-linked producer group</x:v>
      </x:c>
      <x:c r="D884" s="51" t="str">
        <x:v>International</x:v>
      </x:c>
      <x:c r="E884" s="51" t="str">
        <x:v>Hold or operate sovereign hydrocarbon production and marketing rights</x:v>
      </x:c>
      <x:c r="F884" s="51" t="str"/>
    </x:row>
    <x:row r="885">
      <x:c r="A885" s="51" t="str">
        <x:v>ACT-TEMASEK</x:v>
      </x:c>
      <x:c r="B885" s="51" t="str">
        <x:v>Temasek</x:v>
      </x:c>
      <x:c r="C885" s="51" t="str">
        <x:v>State-owned investment company</x:v>
      </x:c>
      <x:c r="D885" s="51" t="str">
        <x:v>Singapore</x:v>
      </x:c>
      <x:c r="E885" s="51" t="str">
        <x:v>Global strategic and financial investment</x:v>
      </x:c>
      <x:c r="F885" s="51" t="str"/>
    </x:row>
    <x:row r="886">
      <x:c r="A886" s="51" t="str">
        <x:v>ACT-ADNOCMURBANRSC</x:v>
      </x:c>
      <x:c r="B886" s="51" t="str">
        <x:v>ADNOC Murban RSC</x:v>
      </x:c>
      <x:c r="C886" s="51" t="str">
        <x:v>Structured resource-finance company</x:v>
      </x:c>
      <x:c r="D886" s="51" t="str">
        <x:v>United Arab Emirates</x:v>
      </x:c>
      <x:c r="E886" s="51" t="str">
        <x:v>Receives assigned crude interests and sells crude under material contracts</x:v>
      </x:c>
      <x:c r="F886" s="51" t="str"/>
    </x:row>
    <x:row r="887">
      <x:c r="A887" s="51" t="str">
        <x:v>ACT-AMERICAINDIACONNECT</x:v>
      </x:c>
      <x:c r="B887" s="51" t="str">
        <x:v>America-India Connect</x:v>
      </x:c>
      <x:c r="C887" s="51" t="str">
        <x:v>Submarine cable and terrestrial-fiber initiative</x:v>
      </x:c>
      <x:c r="D887" s="51" t="str">
        <x:v>United States / India / Southern Hemisphere</x:v>
      </x:c>
      <x:c r="E887" s="51" t="str">
        <x:v>Google-led international connectivity programme</x:v>
      </x:c>
      <x:c r="F887" s="51" t="str"/>
    </x:row>
    <x:row r="888">
      <x:c r="A888" s="51" t="str">
        <x:v>ACT-HONOMOANA</x:v>
      </x:c>
      <x:c r="B888" s="51" t="str">
        <x:v>Honomoana</x:v>
      </x:c>
      <x:c r="C888" s="51" t="str">
        <x:v>Submarine cable system</x:v>
      </x:c>
      <x:c r="D888" s="51" t="str">
        <x:v>Pacific</x:v>
      </x:c>
      <x:c r="E888" s="51" t="str">
        <x:v>Connects New Zealand into wider Pacific routes</x:v>
      </x:c>
      <x:c r="F888" s="51" t="str"/>
    </x:row>
    <x:row r="889">
      <x:c r="A889" s="51" t="str">
        <x:v>ACT-NUVEMSUBSEACABLE</x:v>
      </x:c>
      <x:c r="B889" s="51" t="str">
        <x:v>Nuvem subsea cable</x:v>
      </x:c>
      <x:c r="C889" s="51" t="str">
        <x:v>Submarine cable system</x:v>
      </x:c>
      <x:c r="D889" s="51" t="str">
        <x:v>United States / Bermuda / Portugal</x:v>
      </x:c>
      <x:c r="E889" s="51" t="str">
        <x:v>Google transatlantic cable entering service in 2026</x:v>
      </x:c>
      <x:c r="F889" s="51" t="str"/>
    </x:row>
    <x:row r="890">
      <x:c r="A890" s="51" t="str">
        <x:v>ACT-PROJECTWATERWORTH</x:v>
      </x:c>
      <x:c r="B890" s="51" t="str">
        <x:v>Project Waterworth</x:v>
      </x:c>
      <x:c r="C890" s="51" t="str">
        <x:v>Submarine cable system</x:v>
      </x:c>
      <x:c r="D890" s="51" t="str">
        <x:v>International</x:v>
      </x:c>
      <x:c r="E890" s="51" t="str">
        <x:v>Meta-controlled or led multi-continent cable project</x:v>
      </x:c>
      <x:c r="F890" s="51" t="str"/>
    </x:row>
    <x:row r="891">
      <x:c r="A891" s="51" t="str">
        <x:v>ACT-SOLSUBSEACABLE</x:v>
      </x:c>
      <x:c r="B891" s="51" t="str">
        <x:v>Sol subsea cable</x:v>
      </x:c>
      <x:c r="C891" s="51" t="str">
        <x:v>Submarine cable system</x:v>
      </x:c>
      <x:c r="D891" s="51" t="str">
        <x:v>United States / Atlantic / Europe</x:v>
      </x:c>
      <x:c r="E891" s="51" t="str">
        <x:v>Google transatlantic cable connecting the US, Bermuda, Azores and Spain</x:v>
      </x:c>
      <x:c r="F891" s="51" t="str"/>
    </x:row>
    <x:row r="892">
      <x:c r="A892" s="51" t="str">
        <x:v>ACT-UNITEDDEMOCRACYPROJECT</x:v>
      </x:c>
      <x:c r="B892" s="51" t="str">
        <x:v>United Democracy Project</x:v>
      </x:c>
      <x:c r="C892" s="51" t="str">
        <x:v>Super PAC</x:v>
      </x:c>
      <x:c r="D892" s="51" t="str">
        <x:v>United States</x:v>
      </x:c>
      <x:c r="E892" s="51" t="str">
        <x:v>AIPAC-affiliated independent electoral spending</x:v>
      </x:c>
      <x:c r="F892" s="51" t="str"/>
    </x:row>
    <x:row r="893">
      <x:c r="A893" s="51" t="str">
        <x:v>ACT-EUROPEANCOMMISSION</x:v>
      </x:c>
      <x:c r="B893" s="51" t="str">
        <x:v>European Commission</x:v>
      </x:c>
      <x:c r="C893" s="51" t="str">
        <x:v>Supranational executive institution</x:v>
      </x:c>
      <x:c r="D893" s="51" t="str">
        <x:v>European Union</x:v>
      </x:c>
      <x:c r="E893" s="51" t="str">
        <x:v>EU policy, regulation and allocation of sanctioned-asset windfall contributions</x:v>
      </x:c>
      <x:c r="F893" s="51" t="str"/>
    </x:row>
    <x:row r="894">
      <x:c r="A894" s="51" t="str">
        <x:v>ACT-INTEGRATEDJOINTOPERATION</x:v>
      </x:c>
      <x:c r="B894" s="51" t="str">
        <x:v>Integrated Joint Operations Platform</x:v>
      </x:c>
      <x:c r="C894" s="51" t="str">
        <x:v>Surveillance / analytics platform</x:v>
      </x:c>
      <x:c r="D894" s="51" t="str">
        <x:v>China / Xinjiang</x:v>
      </x:c>
      <x:c r="E894" s="51" t="str">
        <x:v>Data aggregation, flags and police dispatch</x:v>
      </x:c>
      <x:c r="F894" s="51" t="str"/>
    </x:row>
    <x:row r="895">
      <x:c r="A895" s="51" t="str">
        <x:v>ACT-GLOBALSYSTEMICALLYIMPORT</x:v>
      </x:c>
      <x:c r="B895" s="51" t="str">
        <x:v>Global systemically important banks</x:v>
      </x:c>
      <x:c r="C895" s="51" t="str">
        <x:v>Systemic bank group</x:v>
      </x:c>
      <x:c r="D895" s="51" t="str">
        <x:v>International</x:v>
      </x:c>
      <x:c r="E895" s="51" t="str">
        <x:v>Large cross-border banks subject to additional capital and resolution requirements</x:v>
      </x:c>
      <x:c r="F895" s="51" t="str"/>
    </x:row>
    <x:row r="896">
      <x:c r="A896" s="51" t="str">
        <x:v>ACT-COUNTYANDMUNICIPALPROPER</x:v>
      </x:c>
      <x:c r="B896" s="51" t="str">
        <x:v>County and municipal property assessors</x:v>
      </x:c>
      <x:c r="C896" s="51" t="str">
        <x:v>Tax assessment authority group</x:v>
      </x:c>
      <x:c r="D896" s="51" t="str">
        <x:v>United States</x:v>
      </x:c>
      <x:c r="E896" s="51" t="str">
        <x:v>Estimate taxable property value and maintain assessment rolls</x:v>
      </x:c>
      <x:c r="F896" s="51" t="str"/>
    </x:row>
    <x:row r="897">
      <x:c r="A897" s="51" t="str">
        <x:v>ACT-INTERNALREVENUESERVICE</x:v>
      </x:c>
      <x:c r="B897" s="51" t="str">
        <x:v>Internal Revenue Service</x:v>
      </x:c>
      <x:c r="C897" s="51" t="str">
        <x:v>Tax authority</x:v>
      </x:c>
      <x:c r="D897" s="51" t="str">
        <x:v>United States</x:v>
      </x:c>
      <x:c r="E897" s="51" t="str">
        <x:v>Administers US federal tax law and multinational reporting</x:v>
      </x:c>
      <x:c r="F897" s="51" t="str"/>
    </x:row>
    <x:row r="898">
      <x:c r="A898" s="51" t="str">
        <x:v>ACT-SECTION45XADVANCEDMANUFA</x:v>
      </x:c>
      <x:c r="B898" s="51" t="str">
        <x:v>Section 45X Advanced Manufacturing Production Credit</x:v>
      </x:c>
      <x:c r="C898" s="51" t="str">
        <x:v>Tax credit</x:v>
      </x:c>
      <x:c r="D898" s="51" t="str">
        <x:v>United States</x:v>
      </x:c>
      <x:c r="E898" s="51" t="str">
        <x:v>Production credit for eligible clean-energy and critical-mineral components</x:v>
      </x:c>
      <x:c r="F898" s="51" t="str"/>
    </x:row>
    <x:row r="899">
      <x:c r="A899" s="51" t="str">
        <x:v>ACT-SECTION48DADVANCEDMANUFA</x:v>
      </x:c>
      <x:c r="B899" s="51" t="str">
        <x:v>Section 48D Advanced Manufacturing Investment Credit</x:v>
      </x:c>
      <x:c r="C899" s="51" t="str">
        <x:v>Tax credit</x:v>
      </x:c>
      <x:c r="D899" s="51" t="str">
        <x:v>United States</x:v>
      </x:c>
      <x:c r="E899" s="51" t="str">
        <x:v>Investment credit for qualified semiconductor manufacturing property</x:v>
      </x:c>
      <x:c r="F899" s="51" t="str"/>
    </x:row>
    <x:row r="900">
      <x:c r="A900" s="51" t="str">
        <x:v>ACT-FORM8975COUNTRYBYCOUNTRY</x:v>
      </x:c>
      <x:c r="B900" s="51" t="str">
        <x:v>Form 8975 Country-by-Country Report</x:v>
      </x:c>
      <x:c r="C900" s="51" t="str">
        <x:v>Tax information instrument</x:v>
      </x:c>
      <x:c r="D900" s="51" t="str">
        <x:v>United States / international</x:v>
      </x:c>
      <x:c r="E900" s="51" t="str">
        <x:v>Reports multinational revenue, profit, tax and economic activity by jurisdiction</x:v>
      </x:c>
      <x:c r="F900" s="51" t="str"/>
    </x:row>
    <x:row r="901">
      <x:c r="A901" s="51" t="str">
        <x:v>ACT-ELIGIBLEADVANCEDMANUFACT</x:v>
      </x:c>
      <x:c r="B901" s="51" t="str">
        <x:v>Eligible advanced manufacturing taxpayers</x:v>
      </x:c>
      <x:c r="C901" s="51" t="str">
        <x:v>Taxpayer group</x:v>
      </x:c>
      <x:c r="D901" s="51" t="str">
        <x:v>United States</x:v>
      </x:c>
      <x:c r="E901" s="51" t="str">
        <x:v>Manufacturers claiming investment or production credits</x:v>
      </x:c>
      <x:c r="F901" s="51" t="str"/>
    </x:row>
    <x:row r="902">
      <x:c r="A902" s="51" t="str">
        <x:v>ACT-USTAXPAYERSWITHFOREIGNFI</x:v>
      </x:c>
      <x:c r="B902" s="51" t="str">
        <x:v>U.S. taxpayers with foreign financial assets</x:v>
      </x:c>
      <x:c r="C902" s="51" t="str">
        <x:v>Taxpayer group</x:v>
      </x:c>
      <x:c r="D902" s="51" t="str">
        <x:v>United States</x:v>
      </x:c>
      <x:c r="E902" s="51" t="str">
        <x:v>Report specified foreign financial assets under FATCA rules</x:v>
      </x:c>
      <x:c r="F902" s="51" t="str"/>
    </x:row>
    <x:row r="903">
      <x:c r="A903" s="51" t="str">
        <x:v>ACT-SAMSUNGELECTRONICS</x:v>
      </x:c>
      <x:c r="B903" s="51" t="str">
        <x:v>Samsung Electronics</x:v>
      </x:c>
      <x:c r="C903" s="51" t="str">
        <x:v>Technology / semiconductor company</x:v>
      </x:c>
      <x:c r="D903" s="51" t="str">
        <x:v>South Korea</x:v>
      </x:c>
      <x:c r="E903" s="51" t="str">
        <x:v>Memory and advanced semiconductor production</x:v>
      </x:c>
      <x:c r="F903" s="51" t="str"/>
    </x:row>
    <x:row r="904">
      <x:c r="A904" s="51" t="str">
        <x:v>ACT-AMAZON</x:v>
      </x:c>
      <x:c r="B904" s="51" t="str">
        <x:v>Amazon</x:v>
      </x:c>
      <x:c r="C904" s="51" t="str">
        <x:v>Technology and cloud company</x:v>
      </x:c>
      <x:c r="D904" s="51" t="str">
        <x:v>United States</x:v>
      </x:c>
      <x:c r="E904" s="51" t="str">
        <x:v>OpenAI investor and AWS parent</x:v>
      </x:c>
      <x:c r="F904" s="51" t="str"/>
    </x:row>
    <x:row r="905">
      <x:c r="A905" s="51" t="str">
        <x:v>ACT-NAVER</x:v>
      </x:c>
      <x:c r="B905" s="51" t="str">
        <x:v>Naver</x:v>
      </x:c>
      <x:c r="C905" s="51" t="str">
        <x:v>Technology and internet company</x:v>
      </x:c>
      <x:c r="D905" s="51" t="str">
        <x:v>South Korea</x:v>
      </x:c>
      <x:c r="E905" s="51" t="str">
        <x:v>Korean cloud, platform and sovereign-AI participant</x:v>
      </x:c>
      <x:c r="F905" s="51" t="str"/>
    </x:row>
    <x:row r="906">
      <x:c r="A906" s="51" t="str">
        <x:v>ACT-MASAYOSHISON</x:v>
      </x:c>
      <x:c r="B906" s="51" t="str">
        <x:v>Masayoshi Son</x:v>
      </x:c>
      <x:c r="C906" s="51" t="str">
        <x:v>Technology and investment executive</x:v>
      </x:c>
      <x:c r="D906" s="51" t="str">
        <x:v>Japan</x:v>
      </x:c>
      <x:c r="E906" s="51" t="str">
        <x:v>Chairman and CEO of SoftBank Group</x:v>
      </x:c>
      <x:c r="F906" s="51" t="str"/>
    </x:row>
    <x:row r="907">
      <x:c r="A907" s="51" t="str">
        <x:v>ACT-PATRICKCOLLISON</x:v>
      </x:c>
      <x:c r="B907" s="51" t="str">
        <x:v>Patrick Collison</x:v>
      </x:c>
      <x:c r="C907" s="51" t="str">
        <x:v>Technology and payments executive</x:v>
      </x:c>
      <x:c r="D907" s="51" t="str">
        <x:v>United States / Ireland</x:v>
      </x:c>
      <x:c r="E907" s="51" t="str">
        <x:v>Co-founder and Chief Executive Officer of Stripe</x:v>
      </x:c>
      <x:c r="F907" s="51" t="str"/>
    </x:row>
    <x:row r="908">
      <x:c r="A908" s="51" t="str">
        <x:v>ACT-CISCOSYSTEMS</x:v>
      </x:c>
      <x:c r="B908" s="51" t="str">
        <x:v>Cisco Systems</x:v>
      </x:c>
      <x:c r="C908" s="51" t="str">
        <x:v>Technology company</x:v>
      </x:c>
      <x:c r="D908" s="51" t="str">
        <x:v>United States</x:v>
      </x:c>
      <x:c r="E908" s="51" t="str">
        <x:v>Networking infrastructure</x:v>
      </x:c>
      <x:c r="F908" s="51" t="str"/>
    </x:row>
    <x:row r="909">
      <x:c r="A909" s="51" t="str">
        <x:v>ACT-DELLTECHNOLOGIES</x:v>
      </x:c>
      <x:c r="B909" s="51" t="str">
        <x:v>Dell Technologies</x:v>
      </x:c>
      <x:c r="C909" s="51" t="str">
        <x:v>Technology company</x:v>
      </x:c>
      <x:c r="D909" s="51" t="str">
        <x:v>United States</x:v>
      </x:c>
      <x:c r="E909" s="51" t="str">
        <x:v>Computing hardware and infrastructure</x:v>
      </x:c>
      <x:c r="F909" s="51" t="str"/>
    </x:row>
    <x:row r="910">
      <x:c r="A910" s="51" t="str">
        <x:v>ACT-IBM</x:v>
      </x:c>
      <x:c r="B910" s="51" t="str">
        <x:v>IBM</x:v>
      </x:c>
      <x:c r="C910" s="51" t="str">
        <x:v>Technology company</x:v>
      </x:c>
      <x:c r="D910" s="51" t="str">
        <x:v>United States</x:v>
      </x:c>
      <x:c r="E910" s="51" t="str">
        <x:v>Enterprise computing and historical technology supply</x:v>
      </x:c>
      <x:c r="F910" s="51" t="str"/>
    </x:row>
    <x:row r="911">
      <x:c r="A911" s="51" t="str">
        <x:v>ACT-METAPLATFORMS</x:v>
      </x:c>
      <x:c r="B911" s="51" t="str">
        <x:v>Meta Platforms</x:v>
      </x:c>
      <x:c r="C911" s="51" t="str">
        <x:v>Technology company</x:v>
      </x:c>
      <x:c r="D911" s="51" t="str">
        <x:v>United States</x:v>
      </x:c>
      <x:c r="E911" s="51" t="str">
        <x:v>Social platform, AI developer and defence-technology partner</x:v>
      </x:c>
      <x:c r="F911" s="51" t="str"/>
    </x:row>
    <x:row r="912">
      <x:c r="A912" s="51" t="str">
        <x:v>ACT-MICROSOFT</x:v>
      </x:c>
      <x:c r="B912" s="51" t="str">
        <x:v>Microsoft</x:v>
      </x:c>
      <x:c r="C912" s="51" t="str">
        <x:v>Technology company</x:v>
      </x:c>
      <x:c r="D912" s="51" t="str">
        <x:v>United States</x:v>
      </x:c>
      <x:c r="E912" s="51" t="str">
        <x:v>Cloud, AI and infrastructure</x:v>
      </x:c>
      <x:c r="F912" s="51" t="str"/>
    </x:row>
    <x:row r="913">
      <x:c r="A913" s="51" t="str">
        <x:v>ACT-ORACLE</x:v>
      </x:c>
      <x:c r="B913" s="51" t="str">
        <x:v>Oracle</x:v>
      </x:c>
      <x:c r="C913" s="51" t="str">
        <x:v>Technology company</x:v>
      </x:c>
      <x:c r="D913" s="51" t="str">
        <x:v>United States</x:v>
      </x:c>
      <x:c r="E913" s="51" t="str">
        <x:v>Database and enterprise systems</x:v>
      </x:c>
      <x:c r="F913" s="51" t="str"/>
    </x:row>
    <x:row r="914">
      <x:c r="A914" s="51" t="str">
        <x:v>ACT-ANDYJASSY</x:v>
      </x:c>
      <x:c r="B914" s="51" t="str">
        <x:v>Andy Jassy</x:v>
      </x:c>
      <x:c r="C914" s="51" t="str">
        <x:v>Technology executive</x:v>
      </x:c>
      <x:c r="D914" s="51" t="str">
        <x:v>United States</x:v>
      </x:c>
      <x:c r="E914" s="51" t="str">
        <x:v>President and CEO of Amazon</x:v>
      </x:c>
      <x:c r="F914" s="51" t="str"/>
    </x:row>
    <x:row r="915">
      <x:c r="A915" s="51" t="str">
        <x:v>ACT-JOHNTERNUS</x:v>
      </x:c>
      <x:c r="B915" s="51" t="str">
        <x:v>John Ternus</x:v>
      </x:c>
      <x:c r="C915" s="51" t="str">
        <x:v>Technology executive</x:v>
      </x:c>
      <x:c r="D915" s="51" t="str">
        <x:v>United States</x:v>
      </x:c>
      <x:c r="E915" s="51" t="str">
        <x:v>Designated Apple CEO effective September 1, 2026</x:v>
      </x:c>
      <x:c r="F915" s="51" t="str"/>
    </x:row>
    <x:row r="916">
      <x:c r="A916" s="51" t="str">
        <x:v>ACT-MATTHEWPRINCE</x:v>
      </x:c>
      <x:c r="B916" s="51" t="str">
        <x:v>Matthew Prince</x:v>
      </x:c>
      <x:c r="C916" s="51" t="str">
        <x:v>Technology executive</x:v>
      </x:c>
      <x:c r="D916" s="51" t="str">
        <x:v>United States</x:v>
      </x:c>
      <x:c r="E916" s="51" t="str">
        <x:v>Co-founder and CEO of Cloudflare</x:v>
      </x:c>
      <x:c r="F916" s="51" t="str"/>
    </x:row>
    <x:row r="917">
      <x:c r="A917" s="51" t="str">
        <x:v>ACT-SATYANADELLA</x:v>
      </x:c>
      <x:c r="B917" s="51" t="str">
        <x:v>Satya Nadella</x:v>
      </x:c>
      <x:c r="C917" s="51" t="str">
        <x:v>Technology executive</x:v>
      </x:c>
      <x:c r="D917" s="51" t="str">
        <x:v>United States</x:v>
      </x:c>
      <x:c r="E917" s="51" t="str">
        <x:v>Chairman and CEO of Microsoft</x:v>
      </x:c>
      <x:c r="F917" s="51" t="str"/>
    </x:row>
    <x:row r="918">
      <x:c r="A918" s="51" t="str">
        <x:v>ACT-SUNDARPICHAI</x:v>
      </x:c>
      <x:c r="B918" s="51" t="str">
        <x:v>Sundar Pichai</x:v>
      </x:c>
      <x:c r="C918" s="51" t="str">
        <x:v>Technology executive</x:v>
      </x:c>
      <x:c r="D918" s="51" t="str">
        <x:v>United States</x:v>
      </x:c>
      <x:c r="E918" s="51" t="str">
        <x:v>CEO of Google and Alphabet</x:v>
      </x:c>
      <x:c r="F918" s="51" t="str"/>
    </x:row>
    <x:row r="919">
      <x:c r="A919" s="51" t="str">
        <x:v>ACT-TIMCOOK</x:v>
      </x:c>
      <x:c r="B919" s="51" t="str">
        <x:v>Tim Cook</x:v>
      </x:c>
      <x:c r="C919" s="51" t="str">
        <x:v>Technology executive</x:v>
      </x:c>
      <x:c r="D919" s="51" t="str">
        <x:v>United States</x:v>
      </x:c>
      <x:c r="E919" s="51" t="str">
        <x:v>Apple CEO through August 31, 2026; designated executive chairman thereafter</x:v>
      </x:c>
      <x:c r="F919" s="51" t="str"/>
    </x:row>
    <x:row r="920">
      <x:c r="A920" s="51" t="str">
        <x:v>ACT-TOMLEIGHTON</x:v>
      </x:c>
      <x:c r="B920" s="51" t="str">
        <x:v>Tom Leighton</x:v>
      </x:c>
      <x:c r="C920" s="51" t="str">
        <x:v>Technology executive</x:v>
      </x:c>
      <x:c r="D920" s="51" t="str">
        <x:v>United States</x:v>
      </x:c>
      <x:c r="E920" s="51" t="str">
        <x:v>Co-founder and CEO of Akamai</x:v>
      </x:c>
      <x:c r="F920" s="51" t="str"/>
    </x:row>
    <x:row r="921">
      <x:c r="A921" s="51" t="str">
        <x:v>ACT-JEFFBEZOS</x:v>
      </x:c>
      <x:c r="B921" s="51" t="str">
        <x:v>Jeff Bezos</x:v>
      </x:c>
      <x:c r="C921" s="51" t="str">
        <x:v>Technology founder and media owner</x:v>
      </x:c>
      <x:c r="D921" s="51" t="str">
        <x:v>United States</x:v>
      </x:c>
      <x:c r="E921" s="51" t="str">
        <x:v>Owner of The Washington Post</x:v>
      </x:c>
      <x:c r="F921" s="51" t="str"/>
    </x:row>
    <x:row r="922">
      <x:c r="A922" s="51" t="str">
        <x:v>ACT-DUSTINMOSKOVITZ</x:v>
      </x:c>
      <x:c r="B922" s="51" t="str">
        <x:v>Dustin Moskovitz</x:v>
      </x:c>
      <x:c r="C922" s="51" t="str">
        <x:v>Technology founder and philanthropist</x:v>
      </x:c>
      <x:c r="D922" s="51" t="str">
        <x:v>United States</x:v>
      </x:c>
      <x:c r="E922" s="51" t="str">
        <x:v>Principal funder associated with Open Philanthropy</x:v>
      </x:c>
      <x:c r="F922" s="51" t="str"/>
    </x:row>
    <x:row r="923">
      <x:c r="A923" s="51" t="str">
        <x:v>ACT-ALPHABET</x:v>
      </x:c>
      <x:c r="B923" s="51" t="str">
        <x:v>Alphabet</x:v>
      </x:c>
      <x:c r="C923" s="51" t="str">
        <x:v>Technology holding company</x:v>
      </x:c>
      <x:c r="D923" s="51" t="str">
        <x:v>United States</x:v>
      </x:c>
      <x:c r="E923" s="51" t="str">
        <x:v>Parent of Google, Android and Google Play</x:v>
      </x:c>
      <x:c r="F923" s="51" t="str"/>
    </x:row>
    <x:row r="924">
      <x:c r="A924" s="51" t="str">
        <x:v>ACT-SEMICONDUCTORINTELLECTUA</x:v>
      </x:c>
      <x:c r="B924" s="51" t="str">
        <x:v>Semiconductor intellectual property licensors</x:v>
      </x:c>
      <x:c r="C924" s="51" t="str">
        <x:v>Technology licensor group</x:v>
      </x:c>
      <x:c r="D924" s="51" t="str">
        <x:v>International</x:v>
      </x:c>
      <x:c r="E924" s="51" t="str">
        <x:v>License processor architectures, interface IP and design blocks</x:v>
      </x:c>
      <x:c r="F924" s="51" t="str"/>
    </x:row>
    <x:row r="925">
      <x:c r="A925" s="51" t="str">
        <x:v>ACT-APPLE</x:v>
      </x:c>
      <x:c r="B925" s="51" t="str">
        <x:v>Apple</x:v>
      </x:c>
      <x:c r="C925" s="51" t="str">
        <x:v>Technology platform company</x:v>
      </x:c>
      <x:c r="D925" s="51" t="str">
        <x:v>United States</x:v>
      </x:c>
      <x:c r="E925" s="51" t="str">
        <x:v>Operator of iOS, App Store and device ecosystem</x:v>
      </x:c>
      <x:c r="F925" s="51" t="str"/>
    </x:row>
    <x:row r="926">
      <x:c r="A926" s="51" t="str">
        <x:v>ACT-SKTELECOM</x:v>
      </x:c>
      <x:c r="B926" s="51" t="str">
        <x:v>SK Telecom</x:v>
      </x:c>
      <x:c r="C926" s="51" t="str">
        <x:v>Telecommunications company</x:v>
      </x:c>
      <x:c r="D926" s="51" t="str">
        <x:v>South Korea</x:v>
      </x:c>
      <x:c r="E926" s="51" t="str">
        <x:v>Developer and operator of AI data-centre capacity</x:v>
      </x:c>
      <x:c r="F926" s="51" t="str"/>
    </x:row>
    <x:row r="927">
      <x:c r="A927" s="51" t="str">
        <x:v>ACT-JEANFRANOISFALLACHER</x:v>
      </x:c>
      <x:c r="B927" s="51" t="str">
        <x:v>Jean-François Fallacher</x:v>
      </x:c>
      <x:c r="C927" s="51" t="str">
        <x:v>Telecommunications executive</x:v>
      </x:c>
      <x:c r="D927" s="51" t="str">
        <x:v>France</x:v>
      </x:c>
      <x:c r="E927" s="51" t="str">
        <x:v>CEO of Eutelsat Group</x:v>
      </x:c>
      <x:c r="F927" s="51" t="str"/>
    </x:row>
    <x:row r="928">
      <x:c r="A928" s="51" t="str">
        <x:v>ACT-FIXEDBROADBANDANDFIBEROP</x:v>
      </x:c>
      <x:c r="B928" s="51" t="str">
        <x:v>Fixed broadband and fiber operators</x:v>
      </x:c>
      <x:c r="C928" s="51" t="str">
        <x:v>Telecommunications operator group</x:v>
      </x:c>
      <x:c r="D928" s="51" t="str">
        <x:v>International</x:v>
      </x:c>
      <x:c r="E928" s="51" t="str">
        <x:v>Operate terrestrial access, metro and backbone fiber</x:v>
      </x:c>
      <x:c r="F928" s="51" t="str"/>
    </x:row>
    <x:row r="929">
      <x:c r="A929" s="51" t="str">
        <x:v>ACT-MOBILENETWORKOPERATORS</x:v>
      </x:c>
      <x:c r="B929" s="51" t="str">
        <x:v>Mobile network operators</x:v>
      </x:c>
      <x:c r="C929" s="51" t="str">
        <x:v>Telecommunications operator group</x:v>
      </x:c>
      <x:c r="D929" s="51" t="str">
        <x:v>International</x:v>
      </x:c>
      <x:c r="E929" s="51" t="str">
        <x:v>Operate licensed radio access and core networks</x:v>
      </x:c>
      <x:c r="F929" s="51" t="str"/>
    </x:row>
    <x:row r="930">
      <x:c r="A930" s="51" t="str">
        <x:v>ACT-ETSI</x:v>
      </x:c>
      <x:c r="B930" s="51" t="str">
        <x:v>ETSI</x:v>
      </x:c>
      <x:c r="C930" s="51" t="str">
        <x:v>Telecommunications standards organisation</x:v>
      </x:c>
      <x:c r="D930" s="51" t="str">
        <x:v>Europe / international</x:v>
      </x:c>
      <x:c r="E930" s="51" t="str">
        <x:v>Develops telecom, cybersecurity and AI technical standards</x:v>
      </x:c>
      <x:c r="F930" s="51" t="str"/>
    </x:row>
    <x:row r="931">
      <x:c r="A931" s="51" t="str">
        <x:v>ACT-3GPP</x:v>
      </x:c>
      <x:c r="B931" s="51" t="str">
        <x:v>3GPP</x:v>
      </x:c>
      <x:c r="C931" s="51" t="str">
        <x:v>Telecommunications standards partnership</x:v>
      </x:c>
      <x:c r="D931" s="51" t="str">
        <x:v>International</x:v>
      </x:c>
      <x:c r="E931" s="51" t="str">
        <x:v>Develops global mobile communications specifications</x:v>
      </x:c>
      <x:c r="F931" s="51" t="str"/>
    </x:row>
    <x:row r="932">
      <x:c r="A932" s="51" t="str">
        <x:v>ACT-3GPPRELEASE21</x:v>
      </x:c>
      <x:c r="B932" s="51" t="str">
        <x:v>3GPP Release 21</x:v>
      </x:c>
      <x:c r="C932" s="51" t="str">
        <x:v>Telecommunications standards release</x:v>
      </x:c>
      <x:c r="D932" s="51" t="str">
        <x:v>International</x:v>
      </x:c>
      <x:c r="E932" s="51" t="str">
        <x:v>First normative 6G release programme</x:v>
      </x:c>
      <x:c r="F932" s="51" t="str"/>
    </x:row>
    <x:row r="933">
      <x:c r="A933" s="51" t="str">
        <x:v>ACT-BRIDGEBANKS</x:v>
      </x:c>
      <x:c r="B933" s="51" t="str">
        <x:v>Bridge banks</x:v>
      </x:c>
      <x:c r="C933" s="51" t="str">
        <x:v>Temporary resolution institution group</x:v>
      </x:c>
      <x:c r="D933" s="51" t="str">
        <x:v>United States</x:v>
      </x:c>
      <x:c r="E933" s="51" t="str">
        <x:v>Maintain critical bank operations while a permanent resolution is arranged</x:v>
      </x:c>
      <x:c r="F933" s="51" t="str"/>
    </x:row>
    <x:row r="934">
      <x:c r="A934" s="51" t="str">
        <x:v>ACT-BROOKINGSBOARDOFTRUSTEES</x:v>
      </x:c>
      <x:c r="B934" s="51" t="str">
        <x:v>Brookings Board of Trustees</x:v>
      </x:c>
      <x:c r="C934" s="51" t="str">
        <x:v>Think-tank governing body</x:v>
      </x:c>
      <x:c r="D934" s="51" t="str">
        <x:v>United States / international</x:v>
      </x:c>
      <x:c r="E934" s="51" t="str">
        <x:v>Provides institutional governance and financial oversight</x:v>
      </x:c>
      <x:c r="F934" s="51" t="str"/>
    </x:row>
    <x:row r="935">
      <x:c r="A935" s="51" t="str">
        <x:v>ACT-FIRSTAMERICANFINANCIAL</x:v>
      </x:c>
      <x:c r="B935" s="51" t="str">
        <x:v>First American Financial</x:v>
      </x:c>
      <x:c r="C935" s="51" t="str">
        <x:v>Title insurance and settlement company</x:v>
      </x:c>
      <x:c r="D935" s="51" t="str">
        <x:v>United States</x:v>
      </x:c>
      <x:c r="E935" s="51" t="str">
        <x:v>Provides title insurance, settlement and property data services</x:v>
      </x:c>
      <x:c r="F935" s="51" t="str"/>
    </x:row>
    <x:row r="936">
      <x:c r="A936" s="51" t="str">
        <x:v>ACT-FIDELITYNATIONALFINANCIA</x:v>
      </x:c>
      <x:c r="B936" s="51" t="str">
        <x:v>Fidelity National Financial</x:v>
      </x:c>
      <x:c r="C936" s="51" t="str">
        <x:v>Title insurance and transaction services company</x:v>
      </x:c>
      <x:c r="D936" s="51" t="str">
        <x:v>United States</x:v>
      </x:c>
      <x:c r="E936" s="51" t="str">
        <x:v>Large title insurer and real-estate transaction intermediary</x:v>
      </x:c>
      <x:c r="F936" s="51" t="str"/>
    </x:row>
    <x:row r="937">
      <x:c r="A937" s="51" t="str">
        <x:v>ACT-BRETTWDOYLE</x:v>
      </x:c>
      <x:c r="B937" s="51" t="str">
        <x:v>Brett W. Doyle</x:v>
      </x:c>
      <x:c r="C937" s="51" t="str">
        <x:v>Trade adjudication official</x:v>
      </x:c>
      <x:c r="D937" s="51" t="str">
        <x:v>United States</x:v>
      </x:c>
      <x:c r="E937" s="51" t="str">
        <x:v>Chairman of the U.S. International Trade Commission</x:v>
      </x:c>
      <x:c r="F937" s="51" t="str"/>
    </x:row>
    <x:row r="938">
      <x:c r="A938" s="51" t="str">
        <x:v>ACT-COMMODITYIMPORTERS</x:v>
      </x:c>
      <x:c r="B938" s="51" t="str">
        <x:v>Commodity importers</x:v>
      </x:c>
      <x:c r="C938" s="51" t="str">
        <x:v>Trade buyer group</x:v>
      </x:c>
      <x:c r="D938" s="51" t="str">
        <x:v>International</x:v>
      </x:c>
      <x:c r="E938" s="51" t="str">
        <x:v>Arrange payment and receive documents and goods</x:v>
      </x:c>
      <x:c r="F938" s="51" t="str"/>
    </x:row>
    <x:row r="939">
      <x:c r="A939" s="51" t="str">
        <x:v>ACT-BILLSOFLADINGANDTRANSPOR</x:v>
      </x:c>
      <x:c r="B939" s="51" t="str">
        <x:v>Bills of lading and transport documents</x:v>
      </x:c>
      <x:c r="C939" s="51" t="str">
        <x:v>Trade document group</x:v>
      </x:c>
      <x:c r="D939" s="51" t="str">
        <x:v>International</x:v>
      </x:c>
      <x:c r="E939" s="51" t="str">
        <x:v>Evidence shipment, receipt and sometimes title or control of goods</x:v>
      </x:c>
      <x:c r="F939" s="51" t="str"/>
    </x:row>
    <x:row r="940">
      <x:c r="A940" s="51" t="str">
        <x:v>ACT-INSPECTIONORIGINANDINSUR</x:v>
      </x:c>
      <x:c r="B940" s="51" t="str">
        <x:v>Inspection, origin and insurance certificates</x:v>
      </x:c>
      <x:c r="C940" s="51" t="str">
        <x:v>Trade document group</x:v>
      </x:c>
      <x:c r="D940" s="51" t="str">
        <x:v>International</x:v>
      </x:c>
      <x:c r="E940" s="51" t="str">
        <x:v>Evidence quality, origin, quantity and insurance conditions</x:v>
      </x:c>
      <x:c r="F940" s="51" t="str"/>
    </x:row>
    <x:row r="941">
      <x:c r="A941" s="51" t="str">
        <x:v>ACT-ADVISINGANDNOMINATEDBANK</x:v>
      </x:c>
      <x:c r="B941" s="51" t="str">
        <x:v>Advising and nominated banks</x:v>
      </x:c>
      <x:c r="C941" s="51" t="str">
        <x:v>Trade finance bank group</x:v>
      </x:c>
      <x:c r="D941" s="51" t="str">
        <x:v>International</x:v>
      </x:c>
      <x:c r="E941" s="51" t="str">
        <x:v>Authenticate, advise, examine or honour documentary credits</x:v>
      </x:c>
      <x:c r="F941" s="51" t="str"/>
    </x:row>
    <x:row r="942">
      <x:c r="A942" s="51" t="str">
        <x:v>ACT-CONFIRMINGBANKS</x:v>
      </x:c>
      <x:c r="B942" s="51" t="str">
        <x:v>Confirming banks</x:v>
      </x:c>
      <x:c r="C942" s="51" t="str">
        <x:v>Trade finance bank group</x:v>
      </x:c>
      <x:c r="D942" s="51" t="str">
        <x:v>International</x:v>
      </x:c>
      <x:c r="E942" s="51" t="str">
        <x:v>Add independent payment undertakings to documentary credits</x:v>
      </x:c>
      <x:c r="F942" s="51" t="str"/>
    </x:row>
    <x:row r="943">
      <x:c r="A943" s="51" t="str">
        <x:v>ACT-ISSUINGBANKS</x:v>
      </x:c>
      <x:c r="B943" s="51" t="str">
        <x:v>Issuing banks</x:v>
      </x:c>
      <x:c r="C943" s="51" t="str">
        <x:v>Trade finance bank group</x:v>
      </x:c>
      <x:c r="D943" s="51" t="str">
        <x:v>International</x:v>
      </x:c>
      <x:c r="E943" s="51" t="str">
        <x:v>Issue irrevocable documentary credits for importers</x:v>
      </x:c>
      <x:c r="F943" s="51" t="str"/>
    </x:row>
    <x:row r="944">
      <x:c r="A944" s="51" t="str">
        <x:v>ACT-ICCTRADEREGISTER</x:v>
      </x:c>
      <x:c r="B944" s="51" t="str">
        <x:v>ICC Trade Register</x:v>
      </x:c>
      <x:c r="C944" s="51" t="str">
        <x:v>Trade finance risk database</x:v>
      </x:c>
      <x:c r="D944" s="51" t="str">
        <x:v>International</x:v>
      </x:c>
      <x:c r="E944" s="51" t="str">
        <x:v>Aggregates default and loss data from global banks</x:v>
      </x:c>
      <x:c r="F944" s="51" t="str"/>
    </x:row>
    <x:row r="945">
      <x:c r="A945" s="51" t="str">
        <x:v>ACT-INTERNATIONALCHAMBEROFCO</x:v>
      </x:c>
      <x:c r="B945" s="51" t="str">
        <x:v>International Chamber of Commerce Banking Commission</x:v>
      </x:c>
      <x:c r="C945" s="51" t="str">
        <x:v>Trade finance rulemaking body</x:v>
      </x:c>
      <x:c r="D945" s="51" t="str">
        <x:v>International</x:v>
      </x:c>
      <x:c r="E945" s="51" t="str">
        <x:v>Develops documentary-credit, guarantee and collection rules</x:v>
      </x:c>
      <x:c r="F945" s="51" t="str"/>
    </x:row>
    <x:row r="946">
      <x:c r="A946" s="51" t="str">
        <x:v>ACT-COMMODITYEXPORTERS</x:v>
      </x:c>
      <x:c r="B946" s="51" t="str">
        <x:v>Commodity exporters</x:v>
      </x:c>
      <x:c r="C946" s="51" t="str">
        <x:v>Trade seller group</x:v>
      </x:c>
      <x:c r="D946" s="51" t="str">
        <x:v>International</x:v>
      </x:c>
      <x:c r="E946" s="51" t="str">
        <x:v>Ship goods and present documents for payment</x:v>
      </x:c>
      <x:c r="F946" s="51" t="str"/>
    </x:row>
    <x:row r="947">
      <x:c r="A947" s="51" t="str">
        <x:v>ACT-IRCSECTION482</x:v>
      </x:c>
      <x:c r="B947" s="51" t="str">
        <x:v>IRC Section 482</x:v>
      </x:c>
      <x:c r="C947" s="51" t="str">
        <x:v>Transfer-pricing legal framework</x:v>
      </x:c>
      <x:c r="D947" s="51" t="str">
        <x:v>United States</x:v>
      </x:c>
      <x:c r="E947" s="51" t="str">
        <x:v>Authorises arm's-length reallocations among controlled taxpayers</x:v>
      </x:c>
      <x:c r="F947" s="51" t="str"/>
    </x:row>
    <x:row r="948">
      <x:c r="A948" s="51" t="str">
        <x:v>ACT-LEGALARRANGEMENTSANDTRUS</x:v>
      </x:c>
      <x:c r="B948" s="51" t="str">
        <x:v>Legal arrangements and trusts</x:v>
      </x:c>
      <x:c r="C948" s="51" t="str">
        <x:v>Trust and legal-arrangement group</x:v>
      </x:c>
      <x:c r="D948" s="51" t="str">
        <x:v>International</x:v>
      </x:c>
      <x:c r="E948" s="51" t="str">
        <x:v>Separate legal title, control and beneficial interests</x:v>
      </x:c>
      <x:c r="F948" s="51" t="str"/>
    </x:row>
    <x:row r="949">
      <x:c r="A949" s="51" t="str">
        <x:v>ACT-INTERNATIONALMARITIMEORG</x:v>
      </x:c>
      <x:c r="B949" s="51" t="str">
        <x:v>International Maritime Organization</x:v>
      </x:c>
      <x:c r="C949" s="51" t="str">
        <x:v>UN maritime regulator</x:v>
      </x:c>
      <x:c r="D949" s="51" t="str">
        <x:v>International</x:v>
      </x:c>
      <x:c r="E949" s="51" t="str">
        <x:v>Sets maritime safety, identification and environmental standards</x:v>
      </x:c>
      <x:c r="F949" s="51" t="str"/>
    </x:row>
    <x:row r="950">
      <x:c r="A950" s="51" t="str">
        <x:v>ACT-LLOYDSSYNDICATES</x:v>
      </x:c>
      <x:c r="B950" s="51" t="str">
        <x:v>Lloyd's syndicates</x:v>
      </x:c>
      <x:c r="C950" s="51" t="str">
        <x:v>Underwriting group</x:v>
      </x:c>
      <x:c r="D950" s="51" t="str">
        <x:v>United Kingdom / international</x:v>
      </x:c>
      <x:c r="E950" s="51" t="str">
        <x:v>Underwrite risks through managing agents using member capital</x:v>
      </x:c>
      <x:c r="F950" s="51" t="str"/>
    </x:row>
    <x:row r="951">
      <x:c r="A951" s="51" t="str">
        <x:v>ACT-UNIFORMLAWCOMMISSION</x:v>
      </x:c>
      <x:c r="B951" s="51" t="str">
        <x:v>Uniform Law Commission</x:v>
      </x:c>
      <x:c r="C951" s="51" t="str">
        <x:v>Uniform-law drafting organisation</x:v>
      </x:c>
      <x:c r="D951" s="51" t="str">
        <x:v>United States</x:v>
      </x:c>
      <x:c r="E951" s="51" t="str">
        <x:v>Drafts model commercial laws including UCC Article 9</x:v>
      </x:c>
      <x:c r="F951" s="51" t="str"/>
    </x:row>
    <x:row r="952">
      <x:c r="A952" s="51" t="str">
        <x:v>ACT-BARDCOLLEGE</x:v>
      </x:c>
      <x:c r="B952" s="51" t="str">
        <x:v>Bard College</x:v>
      </x:c>
      <x:c r="C952" s="51" t="str">
        <x:v>University</x:v>
      </x:c>
      <x:c r="D952" s="51" t="str">
        <x:v>United States</x:v>
      </x:c>
      <x:c r="E952" s="51" t="str">
        <x:v>Recipient of Epstein-directed funding and institutional relationship</x:v>
      </x:c>
      <x:c r="F952" s="51" t="str"/>
    </x:row>
    <x:row r="953">
      <x:c r="A953" s="51" t="str">
        <x:v>ACT-HARVARDUNIVERSITY</x:v>
      </x:c>
      <x:c r="B953" s="51" t="str">
        <x:v>Harvard University</x:v>
      </x:c>
      <x:c r="C953" s="51" t="str">
        <x:v>University</x:v>
      </x:c>
      <x:c r="D953" s="51" t="str">
        <x:v>United States</x:v>
      </x:c>
      <x:c r="E953" s="51" t="str">
        <x:v>Received Epstein donations and maintained academic relationships</x:v>
      </x:c>
      <x:c r="F953" s="51" t="str"/>
    </x:row>
    <x:row r="954">
      <x:c r="A954" s="51" t="str">
        <x:v>ACT-MIT</x:v>
      </x:c>
      <x:c r="B954" s="51" t="str">
        <x:v>MIT</x:v>
      </x:c>
      <x:c r="C954" s="51" t="str">
        <x:v>University</x:v>
      </x:c>
      <x:c r="D954" s="51" t="str">
        <x:v>United States</x:v>
      </x:c>
      <x:c r="E954" s="51" t="str">
        <x:v>Accepted Epstein donations including post-conviction gifts</x:v>
      </x:c>
      <x:c r="F954" s="51" t="str"/>
    </x:row>
    <x:row r="955">
      <x:c r="A955" s="51" t="str">
        <x:v>ACT-UCBERKELEY</x:v>
      </x:c>
      <x:c r="B955" s="51" t="str">
        <x:v>UC Berkeley</x:v>
      </x:c>
      <x:c r="C955" s="51" t="str">
        <x:v>University</x:v>
      </x:c>
      <x:c r="D955" s="51" t="str">
        <x:v>United States</x:v>
      </x:c>
      <x:c r="E955" s="51" t="str">
        <x:v>Origin institution of RISC-V research</x:v>
      </x:c>
      <x:c r="F955" s="51" t="str"/>
    </x:row>
    <x:row r="956">
      <x:c r="A956" s="51" t="str">
        <x:v>ACT-PTTEXPLORATIONANDPRODUCT</x:v>
      </x:c>
      <x:c r="B956" s="51" t="str">
        <x:v>PTT Exploration and Production</x:v>
      </x:c>
      <x:c r="C956" s="51" t="str">
        <x:v>Upstream energy company</x:v>
      </x:c>
      <x:c r="D956" s="51" t="str">
        <x:v>Thailand / international</x:v>
      </x:c>
      <x:c r="E956" s="51" t="str">
        <x:v>Partner in exploration and production projects</x:v>
      </x:c>
      <x:c r="F956" s="51" t="str"/>
    </x:row>
    <x:row r="957">
      <x:c r="A957" s="51" t="str">
        <x:v>ACT-INTERNETUSERSANDDEVICES</x:v>
      </x:c>
      <x:c r="B957" s="51" t="str">
        <x:v>Internet users and devices</x:v>
      </x:c>
      <x:c r="C957" s="51" t="str">
        <x:v>User group</x:v>
      </x:c>
      <x:c r="D957" s="51" t="str">
        <x:v>International</x:v>
      </x:c>
      <x:c r="E957" s="51" t="str">
        <x:v>Generate connectivity, DNS and application demand</x:v>
      </x:c>
      <x:c r="F957" s="51" t="str"/>
    </x:row>
    <x:row r="958">
      <x:c r="A958" s="51" t="str">
        <x:v>ACT-FOUNDERSFUND</x:v>
      </x:c>
      <x:c r="B958" s="51" t="str">
        <x:v>Founders Fund</x:v>
      </x:c>
      <x:c r="C958" s="51" t="str">
        <x:v>Venture capital fund</x:v>
      </x:c>
      <x:c r="D958" s="51" t="str">
        <x:v>United States</x:v>
      </x:c>
      <x:c r="E958" s="51" t="str">
        <x:v>Venture investment and elite technology network</x:v>
      </x:c>
      <x:c r="F958" s="51" t="str"/>
    </x:row>
    <x:row r="959">
      <x:c r="A959" s="51" t="str">
        <x:v>ACT-ELECTRONICARTS</x:v>
      </x:c>
      <x:c r="B959" s="51" t="str">
        <x:v>Electronic Arts</x:v>
      </x:c>
      <x:c r="C959" s="51" t="str">
        <x:v>Video-game company</x:v>
      </x:c>
      <x:c r="D959" s="51" t="str">
        <x:v>United States</x:v>
      </x:c>
      <x:c r="E959" s="51" t="str">
        <x:v>Target of PIF–Silver Lake–Affinity take-private transaction</x:v>
      </x:c>
      <x:c r="F959" s="51" t="str"/>
    </x:row>
    <x:row r="960">
      <x:c r="A960" s="51" t="str">
        <x:v>ACT-NISTAIRISKMANAGEMENTFRAM</x:v>
      </x:c>
      <x:c r="B960" s="51" t="str">
        <x:v>NIST AI Risk Management Framework</x:v>
      </x:c>
      <x:c r="C960" s="51" t="str">
        <x:v>Voluntary governance framework</x:v>
      </x:c>
      <x:c r="D960" s="51" t="str">
        <x:v>United States / international</x:v>
      </x:c>
      <x:c r="E960" s="51" t="str">
        <x:v>Framework for managing AI risks</x:v>
      </x:c>
      <x:c r="F960" s="51" t="str"/>
    </x:row>
    <x:row r="961">
      <x:c r="A961" s="51" t="str">
        <x:v>ACT-IPTRANSITPROVIDERS</x:v>
      </x:c>
      <x:c r="B961" s="51" t="str">
        <x:v>IP transit providers</x:v>
      </x:c>
      <x:c r="C961" s="51" t="str">
        <x:v>Wholesale connectivity group</x:v>
      </x:c>
      <x:c r="D961" s="51" t="str">
        <x:v>International</x:v>
      </x:c>
      <x:c r="E961" s="51" t="str">
        <x:v>Carry traffic between networks not directly peered</x:v>
      </x:c>
      <x:c r="F961" s="51" t="str"/>
    </x:row>
    <x:row r="962">
      <x:c r="A962" s="51" t="str">
        <x:v>ACT-FOREIGNAIANDSEMICONDUCTO</x:v>
      </x:c>
      <x:c r="B962" s="51" t="str">
        <x:v>Foreign AI and semiconductor talent</x:v>
      </x:c>
      <x:c r="C962" s="51" t="str">
        <x:v>Worker and founder group</x:v>
      </x:c>
      <x:c r="D962" s="51" t="str">
        <x:v>International</x:v>
      </x:c>
      <x:c r="E962" s="51" t="str">
        <x:v>Scientists, engineers and entrepreneurs seeking access to US institutions</x:v>
      </x:c>
      <x:c r="F962" s="51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89a8e8ed5f64f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1" hidden="0" customWidth="1"/>
    <x:col min="4" max="4" width="41" hidden="0" customWidth="1"/>
    <x:col min="5" max="5" width="31" hidden="0" customWidth="1"/>
    <x:col min="6" max="6" width="41" hidden="0" customWidth="1"/>
    <x:col min="7" max="7" width="24" hidden="0" customWidth="1"/>
    <x:col min="8" max="8" width="21" hidden="0" customWidth="1"/>
    <x:col min="9" max="9" width="44" hidden="0" customWidth="1"/>
    <x:col min="10" max="10" width="21" hidden="0" customWidth="1"/>
    <x:col min="11" max="11" width="31" hidden="0" customWidth="1"/>
    <x:col min="12" max="12" width="42" hidden="0" customWidth="1"/>
    <x:col min="13" max="13" width="42" hidden="0" customWidth="1"/>
    <x:col min="14" max="14" width="70" hidden="0" customWidth="1"/>
    <x:col min="15" max="15" width="33" hidden="0" customWidth="1"/>
    <x:col min="16" max="16" width="14" hidden="0" customWidth="1"/>
    <x:col min="17" max="17" width="14" hidden="0" customWidth="1"/>
    <x:col min="18" max="18" width="38" hidden="0" customWidth="1"/>
    <x:col min="19" max="19" width="71" hidden="0" customWidth="1"/>
    <x:col min="20" max="20" width="71" hidden="0" customWidth="1"/>
    <x:col min="21" max="21" width="70" hidden="0" customWidth="1"/>
    <x:col min="22" max="22" width="32" hidden="0" customWidth="1"/>
    <x:col min="23" max="23" width="21" hidden="0" customWidth="1"/>
    <x:col min="24" max="24" width="15" hidden="0" customWidth="1"/>
  </x:cols>
  <x:sheetData>
    <x:row r="1" ht="31" customHeight="1">
      <x:c r="A1" s="5" t="str">
        <x:v>Evidence-Ranked Directed Relationship Ledger — V17</x:v>
      </x:c>
    </x:row>
    <x:row r="2">
      <x:c r="A2" s="12" t="str">
        <x:v>Version 17, verified through 2026-07-27. Deposits, collateral, liquidity, solvency, insurance and final loss remain separate.</x:v>
      </x:c>
    </x:row>
    <x:row r="4">
      <x:c r="A4" s="50" t="str">
        <x:v>Relationship ID</x:v>
      </x:c>
      <x:c r="B4" s="50" t="str">
        <x:v>Category</x:v>
      </x:c>
      <x:c r="C4" s="50" t="str">
        <x:v>Actor A ID</x:v>
      </x:c>
      <x:c r="D4" s="50" t="str">
        <x:v>Actor A</x:v>
      </x:c>
      <x:c r="E4" s="50" t="str">
        <x:v>Actor B ID</x:v>
      </x:c>
      <x:c r="F4" s="50" t="str">
        <x:v>Actor B</x:v>
      </x:c>
      <x:c r="G4" s="50" t="str">
        <x:v>Direction</x:v>
      </x:c>
      <x:c r="H4" s="50" t="str">
        <x:v>Date / period</x:v>
      </x:c>
      <x:c r="I4" s="50" t="str">
        <x:v>Edge type</x:v>
      </x:c>
      <x:c r="J4" s="50" t="str">
        <x:v>Instrument ID</x:v>
      </x:c>
      <x:c r="K4" s="50" t="str">
        <x:v>Amount / scale</x:v>
      </x:c>
      <x:c r="L4" s="50" t="str">
        <x:v>Conversion input</x:v>
      </x:c>
      <x:c r="M4" s="50" t="str">
        <x:v>Conversion output</x:v>
      </x:c>
      <x:c r="N4" s="50" t="str">
        <x:v>Conversion mechanism</x:v>
      </x:c>
      <x:c r="O4" s="50" t="str">
        <x:v>Power dimensions</x:v>
      </x:c>
      <x:c r="P4" s="50" t="str">
        <x:v>Evidence grade</x:v>
      </x:c>
      <x:c r="Q4" s="50" t="str">
        <x:v>Confidence</x:v>
      </x:c>
      <x:c r="R4" s="50" t="str">
        <x:v>Source IDs</x:v>
      </x:c>
      <x:c r="S4" s="50" t="str">
        <x:v>What evidence establishes</x:v>
      </x:c>
      <x:c r="T4" s="50" t="str">
        <x:v>What evidence does not establish</x:v>
      </x:c>
      <x:c r="U4" s="50" t="str">
        <x:v>Competing explanation / caveat</x:v>
      </x:c>
      <x:c r="V4" s="50" t="str">
        <x:v>Status</x:v>
      </x:c>
      <x:c r="W4" s="50" t="str">
        <x:v>Manuscript chapter</x:v>
      </x:c>
      <x:c r="X4" s="50" t="str">
        <x:v>Last verified</x:v>
      </x:c>
    </x:row>
    <x:row r="5">
      <x:c r="A5" s="51" t="str">
        <x:v>ACA-001</x:v>
      </x:c>
      <x:c r="B5" s="51" t="str">
        <x:v>Academic legitimacy network</x:v>
      </x:c>
      <x:c r="C5" s="51" t="str">
        <x:v>ACT-JEFFREYEPSTEIN</x:v>
      </x:c>
      <x:c r="D5" s="51" t="str">
        <x:v>Jeffrey Epstein</x:v>
      </x:c>
      <x:c r="E5" s="51" t="str">
        <x:v>ACT-HARVARDUNIVERSITY</x:v>
      </x:c>
      <x:c r="F5" s="51" t="str">
        <x:v>Harvard University</x:v>
      </x:c>
      <x:c r="G5" s="51" t="str">
        <x:v>Donor → university</x:v>
      </x:c>
      <x:c r="H5" s="51" t="str">
        <x:v>1998–2008</x:v>
      </x:c>
      <x:c r="I5" s="51" t="str">
        <x:v>Philanthropic donations</x:v>
      </x:c>
      <x:c r="J5" s="51" t="str">
        <x:v>INS-043</x:v>
      </x:c>
      <x:c r="K5" s="51" t="str">
        <x:v>Approximately $9.18 million</x:v>
      </x:c>
      <x:c r="L5" s="51" t="str">
        <x:v>Private wealth</x:v>
      </x:c>
      <x:c r="M5" s="51" t="str">
        <x:v>Research funding, university access and prestige</x:v>
      </x:c>
      <x:c r="N5" s="51" t="str">
        <x:v>Money is converted into scientific legitimacy, faculty relationships and institutional access</x:v>
      </x:c>
      <x:c r="O5" s="51" t="str">
        <x:v>Financial; relational; narrative</x:v>
      </x:c>
      <x:c r="P5" s="51" t="str">
        <x:v>E1</x:v>
      </x:c>
      <x:c r="Q5" s="51" t="str">
        <x:v>Very high</x:v>
      </x:c>
      <x:c r="R5" s="51" t="str">
        <x:v>SRC-061</x:v>
      </x:c>
      <x:c r="S5" s="51" t="str">
        <x:v>Harvard's review documented the donations and stated none were accepted after the 2008 conviction.</x:v>
      </x:c>
      <x:c r="T5" s="51" t="str">
        <x:v>Control of Harvard or criminal knowledge by all recipients.</x:v>
      </x:c>
      <x:c r="U5" s="51" t="str">
        <x:v>Donation acceptance and later social access must be separately dated.</x:v>
      </x:c>
      <x:c r="V5" s="51" t="str">
        <x:v>Historical</x:v>
      </x:c>
      <x:c r="W5" s="51" t="str">
        <x:v>52;53;57</x:v>
      </x:c>
      <x:c r="X5" s="51" t="str">
        <x:v>2026-07-27</x:v>
      </x:c>
    </x:row>
    <x:row r="6">
      <x:c r="A6" s="51" t="str">
        <x:v>ACA-002</x:v>
      </x:c>
      <x:c r="B6" s="51" t="str">
        <x:v>Academic legitimacy network</x:v>
      </x:c>
      <x:c r="C6" s="51" t="str">
        <x:v>ACT-JEFFREYEPSTEIN</x:v>
      </x:c>
      <x:c r="D6" s="51" t="str">
        <x:v>Jeffrey Epstein</x:v>
      </x:c>
      <x:c r="E6" s="51" t="str">
        <x:v>ACT-MIT</x:v>
      </x:c>
      <x:c r="F6" s="51" t="str">
        <x:v>MIT</x:v>
      </x:c>
      <x:c r="G6" s="51" t="str">
        <x:v>Donor → university</x:v>
      </x:c>
      <x:c r="H6" s="51" t="str">
        <x:v>2002–2017</x:v>
      </x:c>
      <x:c r="I6" s="51" t="str">
        <x:v>Philanthropic donations and visits</x:v>
      </x:c>
      <x:c r="J6" s="51" t="str">
        <x:v>INS-044</x:v>
      </x:c>
      <x:c r="K6" s="51" t="str">
        <x:v>$850,000 total</x:v>
      </x:c>
      <x:c r="L6" s="51" t="str">
        <x:v>Private wealth after conviction</x:v>
      </x:c>
      <x:c r="M6" s="51" t="str">
        <x:v>Research support and institutional access</x:v>
      </x:c>
      <x:c r="N6" s="51" t="str">
        <x:v>Donations can rehabilitate elite status by embedding a discredited actor in prestigious science networks</x:v>
      </x:c>
      <x:c r="O6" s="51" t="str">
        <x:v>Financial; relational; narrative</x:v>
      </x:c>
      <x:c r="P6" s="51" t="str">
        <x:v>E1</x:v>
      </x:c>
      <x:c r="Q6" s="51" t="str">
        <x:v>Very high</x:v>
      </x:c>
      <x:c r="R6" s="51" t="str">
        <x:v>SRC-062</x:v>
      </x:c>
      <x:c r="S6" s="51" t="str">
        <x:v>MIT documented ten donations and multiple campus visits, including post-conviction gifts.</x:v>
      </x:c>
      <x:c r="T6" s="51" t="str">
        <x:v>Control of MIT or knowledge of ongoing crimes by every participant.</x:v>
      </x:c>
      <x:c r="U6" s="51" t="str">
        <x:v>The institutional review attributed key post-conviction decisions to specific individuals, not all MIT leadership.</x:v>
      </x:c>
      <x:c r="V6" s="51" t="str">
        <x:v>Historical</x:v>
      </x:c>
      <x:c r="W6" s="51" t="str">
        <x:v>52;53;57</x:v>
      </x:c>
      <x:c r="X6" s="51" t="str">
        <x:v>2026-07-27</x:v>
      </x:c>
    </x:row>
    <x:row r="7">
      <x:c r="A7" s="51" t="str">
        <x:v>ACA-003</x:v>
      </x:c>
      <x:c r="B7" s="51" t="str">
        <x:v>Academic legitimacy network</x:v>
      </x:c>
      <x:c r="C7" s="51" t="str">
        <x:v>ACT-JOIITO</x:v>
      </x:c>
      <x:c r="D7" s="51" t="str">
        <x:v>Joi Ito</x:v>
      </x:c>
      <x:c r="E7" s="51" t="str">
        <x:v>ACT-JEFFREYEPSTEIN</x:v>
      </x:c>
      <x:c r="F7" s="51" t="str">
        <x:v>Jeffrey Epstein</x:v>
      </x:c>
      <x:c r="G7" s="51" t="str">
        <x:v>Academic executive ↔ donor</x:v>
      </x:c>
      <x:c r="H7" s="51" t="str">
        <x:v>Post-conviction period</x:v>
      </x:c>
      <x:c r="I7" s="51" t="str">
        <x:v>Fundraising and relationship</x:v>
      </x:c>
      <x:c r="J7" s="51" t="str">
        <x:v>INS-044</x:v>
      </x:c>
      <x:c r="K7" s="51" t="str">
        <x:v>Part of MIT donations</x:v>
      </x:c>
      <x:c r="L7" s="51" t="str">
        <x:v>Media Lab authority and donor access</x:v>
      </x:c>
      <x:c r="M7" s="51" t="str">
        <x:v>Funding and institutional access</x:v>
      </x:c>
      <x:c r="N7" s="51" t="str">
        <x:v>A gatekeeping academic executive can convert controversial private money into institutional resources</x:v>
      </x:c>
      <x:c r="O7" s="51" t="str">
        <x:v>Relational; financial; institutional</x:v>
      </x:c>
      <x:c r="P7" s="51" t="str">
        <x:v>E2</x:v>
      </x:c>
      <x:c r="Q7" s="51" t="str">
        <x:v>High</x:v>
      </x:c>
      <x:c r="R7" s="51" t="str">
        <x:v>SRC-062</x:v>
      </x:c>
      <x:c r="S7" s="51" t="str">
        <x:v>MIT's review identified Ito as a driver of post-conviction donations.</x:v>
      </x:c>
      <x:c r="T7" s="51" t="str">
        <x:v>Participation in Epstein's crimes or representation of all MIT.</x:v>
      </x:c>
      <x:c r="U7" s="51" t="str">
        <x:v>The relationship led to institutional accountability and Ito's resignation.</x:v>
      </x:c>
      <x:c r="V7" s="51" t="str">
        <x:v>Historical</x:v>
      </x:c>
      <x:c r="W7" s="51" t="str">
        <x:v>53;57</x:v>
      </x:c>
      <x:c r="X7" s="51" t="str">
        <x:v>2026-07-27</x:v>
      </x:c>
    </x:row>
    <x:row r="8">
      <x:c r="A8" s="51" t="str">
        <x:v>ACA-004</x:v>
      </x:c>
      <x:c r="B8" s="51" t="str">
        <x:v>Academic legitimacy network</x:v>
      </x:c>
      <x:c r="C8" s="51" t="str">
        <x:v>ACT-SETHLLOYD</x:v>
      </x:c>
      <x:c r="D8" s="51" t="str">
        <x:v>Seth Lloyd</x:v>
      </x:c>
      <x:c r="E8" s="51" t="str">
        <x:v>ACT-JEFFREYEPSTEIN</x:v>
      </x:c>
      <x:c r="F8" s="51" t="str">
        <x:v>Jeffrey Epstein</x:v>
      </x:c>
      <x:c r="G8" s="51" t="str">
        <x:v>Academic ↔ donor</x:v>
      </x:c>
      <x:c r="H8" s="51" t="str">
        <x:v>2000s–2010s</x:v>
      </x:c>
      <x:c r="I8" s="51" t="str">
        <x:v>Research and personal funding relationship</x:v>
      </x:c>
      <x:c r="J8" s="51" t="str">
        <x:v>INS-044</x:v>
      </x:c>
      <x:c r="K8" s="51" t="str">
        <x:v>Part of documented support</x:v>
      </x:c>
      <x:c r="L8" s="51" t="str">
        <x:v>Scientific reputation and access</x:v>
      </x:c>
      <x:c r="M8" s="51" t="str">
        <x:v>Research funding and donor legitimacy</x:v>
      </x:c>
      <x:c r="N8" s="51" t="str">
        <x:v>Direct faculty relationships can bypass or weaken central institutional controls</x:v>
      </x:c>
      <x:c r="O8" s="51" t="str">
        <x:v>Relational; financial; institutional</x:v>
      </x:c>
      <x:c r="P8" s="51" t="str">
        <x:v>E2</x:v>
      </x:c>
      <x:c r="Q8" s="51" t="str">
        <x:v>High</x:v>
      </x:c>
      <x:c r="R8" s="51" t="str">
        <x:v>SRC-062</x:v>
      </x:c>
      <x:c r="S8" s="51" t="str">
        <x:v>MIT's review documented support associated with Lloyd.</x:v>
      </x:c>
      <x:c r="T8" s="51" t="str">
        <x:v>Criminal knowledge or endorsement by MIT as a whole.</x:v>
      </x:c>
      <x:c r="U8" s="51" t="str">
        <x:v>Institutional governance must distinguish personal, laboratory and central fundraising channels.</x:v>
      </x:c>
      <x:c r="V8" s="51" t="str">
        <x:v>Historical</x:v>
      </x:c>
      <x:c r="W8" s="51" t="str">
        <x:v>53;57</x:v>
      </x:c>
      <x:c r="X8" s="51" t="str">
        <x:v>2026-07-27</x:v>
      </x:c>
    </x:row>
    <x:row r="9">
      <x:c r="A9" s="51" t="str">
        <x:v>ACA-005</x:v>
      </x:c>
      <x:c r="B9" s="51" t="str">
        <x:v>Academic legitimacy network</x:v>
      </x:c>
      <x:c r="C9" s="51" t="str">
        <x:v>ACT-MARTINNOWAK</x:v>
      </x:c>
      <x:c r="D9" s="51" t="str">
        <x:v>Martin Nowak</x:v>
      </x:c>
      <x:c r="E9" s="51" t="str">
        <x:v>ACT-JEFFREYEPSTEIN</x:v>
      </x:c>
      <x:c r="F9" s="51" t="str">
        <x:v>Jeffrey Epstein</x:v>
      </x:c>
      <x:c r="G9" s="51" t="str">
        <x:v>Academic ↔ donor</x:v>
      </x:c>
      <x:c r="H9" s="51" t="str">
        <x:v>1998–2010s</x:v>
      </x:c>
      <x:c r="I9" s="51" t="str">
        <x:v>Programme-funding and social relationship</x:v>
      </x:c>
      <x:c r="J9" s="51" t="str">
        <x:v>INS-043</x:v>
      </x:c>
      <x:c r="K9" s="51" t="str">
        <x:v>$6.5 million major programme gift within Harvard total</x:v>
      </x:c>
      <x:c r="L9" s="51" t="str">
        <x:v>Scientific programme and university prestige</x:v>
      </x:c>
      <x:c r="M9" s="51" t="str">
        <x:v>Research institute, access and reputational legitimacy</x:v>
      </x:c>
      <x:c r="N9" s="51" t="str">
        <x:v>A large targeted gift creates a durable institutional enclave and relationship network</x:v>
      </x:c>
      <x:c r="O9" s="51" t="str">
        <x:v>Financial; relational; narrative</x:v>
      </x:c>
      <x:c r="P9" s="51" t="str">
        <x:v>E1</x:v>
      </x:c>
      <x:c r="Q9" s="51" t="str">
        <x:v>High</x:v>
      </x:c>
      <x:c r="R9" s="51" t="str">
        <x:v>SRC-061</x:v>
      </x:c>
      <x:c r="S9" s="51" t="str">
        <x:v>Harvard documented major funding for Nowak's Program for Evolutionary Dynamics.</x:v>
      </x:c>
      <x:c r="T9" s="51" t="str">
        <x:v>Criminal knowledge or control of Harvard science.</x:v>
      </x:c>
      <x:c r="U9" s="51" t="str">
        <x:v>Donation timing and post-conviction access must remain separate.</x:v>
      </x:c>
      <x:c r="V9" s="51" t="str">
        <x:v>Historical</x:v>
      </x:c>
      <x:c r="W9" s="51" t="str">
        <x:v>52;53</x:v>
      </x:c>
      <x:c r="X9" s="51" t="str">
        <x:v>2026-07-27</x:v>
      </x:c>
    </x:row>
    <x:row r="10">
      <x:c r="A10" s="51" t="str">
        <x:v>ACA-006</x:v>
      </x:c>
      <x:c r="B10" s="51" t="str">
        <x:v>Academic legitimacy network</x:v>
      </x:c>
      <x:c r="C10" s="51" t="str">
        <x:v>ACT-LARRYSUMMERS</x:v>
      </x:c>
      <x:c r="D10" s="51" t="str">
        <x:v>Larry Summers</x:v>
      </x:c>
      <x:c r="E10" s="51" t="str">
        <x:v>ACT-JEFFREYEPSTEIN</x:v>
      </x:c>
      <x:c r="F10" s="51" t="str">
        <x:v>Jeffrey Epstein</x:v>
      </x:c>
      <x:c r="G10" s="51" t="str">
        <x:v>Bidirectional</x:v>
      </x:c>
      <x:c r="H10" s="51" t="str">
        <x:v>2000s–2019</x:v>
      </x:c>
      <x:c r="I10" s="51" t="str">
        <x:v>Documented meetings, correspondence and philanthropy discussions</x:v>
      </x:c>
      <x:c r="J10" s="51" t="str"/>
      <x:c r="K10" s="51" t="str">
        <x:v>Repeated</x:v>
      </x:c>
      <x:c r="L10" s="51" t="str">
        <x:v>Academic, political and economic-policy authority</x:v>
      </x:c>
      <x:c r="M10" s="51" t="str">
        <x:v>Access, advice and reputation</x:v>
      </x:c>
      <x:c r="N10" s="51" t="str">
        <x:v>A broker connects wealth to former state and university leadership</x:v>
      </x:c>
      <x:c r="O10" s="51" t="str">
        <x:v>Relational; narrative; informational</x:v>
      </x:c>
      <x:c r="P10" s="51" t="str">
        <x:v>E2</x:v>
      </x:c>
      <x:c r="Q10" s="51" t="str">
        <x:v>High</x:v>
      </x:c>
      <x:c r="R10" s="51" t="str">
        <x:v>SRC-054; SRC-057</x:v>
      </x:c>
      <x:c r="S10" s="51" t="str">
        <x:v>Released records and reporting document an extended relationship.</x:v>
      </x:c>
      <x:c r="T10" s="51" t="str">
        <x:v>Criminal participation or institutional endorsement by Harvard.</x:v>
      </x:c>
      <x:c r="U10" s="51" t="str">
        <x:v>Summers later withdrew from roles after renewed scrutiny.</x:v>
      </x:c>
      <x:c r="V10" s="51" t="str">
        <x:v>Historical</x:v>
      </x:c>
      <x:c r="W10" s="51" t="str">
        <x:v>52;53;57</x:v>
      </x:c>
      <x:c r="X10" s="51" t="str">
        <x:v>2026-07-27</x:v>
      </x:c>
    </x:row>
    <x:row r="11">
      <x:c r="A11" s="51" t="str">
        <x:v>ACA-007</x:v>
      </x:c>
      <x:c r="B11" s="51" t="str">
        <x:v>Academic legitimacy network</x:v>
      </x:c>
      <x:c r="C11" s="51" t="str">
        <x:v>ACT-LEONBOTSTEIN</x:v>
      </x:c>
      <x:c r="D11" s="51" t="str">
        <x:v>Leon Botstein</x:v>
      </x:c>
      <x:c r="E11" s="51" t="str">
        <x:v>ACT-JEFFREYEPSTEIN</x:v>
      </x:c>
      <x:c r="F11" s="51" t="str">
        <x:v>Jeffrey Epstein</x:v>
      </x:c>
      <x:c r="G11" s="51" t="str">
        <x:v>University leader ↔ donor</x:v>
      </x:c>
      <x:c r="H11" s="51" t="str">
        <x:v>2010s</x:v>
      </x:c>
      <x:c r="I11" s="51" t="str">
        <x:v>Meetings and directed donation</x:v>
      </x:c>
      <x:c r="J11" s="51" t="str"/>
      <x:c r="K11" s="51" t="str">
        <x:v>$150,000 directed to Bard reported</x:v>
      </x:c>
      <x:c r="L11" s="51" t="str">
        <x:v>University leadership and cultural prestige</x:v>
      </x:c>
      <x:c r="M11" s="51" t="str">
        <x:v>Funding and elite access</x:v>
      </x:c>
      <x:c r="N11" s="51" t="str">
        <x:v>A donor/broker gains institutional legitimacy through targeted educational philanthropy</x:v>
      </x:c>
      <x:c r="O11" s="51" t="str">
        <x:v>Financial; relational; narrative</x:v>
      </x:c>
      <x:c r="P11" s="51" t="str">
        <x:v>E2</x:v>
      </x:c>
      <x:c r="Q11" s="51" t="str">
        <x:v>High</x:v>
      </x:c>
      <x:c r="R11" s="51" t="str">
        <x:v>SRC-057</x:v>
      </x:c>
      <x:c r="S11" s="51" t="str">
        <x:v>Reporting documented repeated meetings and a donation directed to Bard.</x:v>
      </x:c>
      <x:c r="T11" s="51" t="str">
        <x:v>Criminal knowledge or control of Bard.</x:v>
      </x:c>
      <x:c r="U11" s="51" t="str">
        <x:v>The exact donor vehicle and restrictions should be verified.</x:v>
      </x:c>
      <x:c r="V11" s="51" t="str">
        <x:v>Historical</x:v>
      </x:c>
      <x:c r="W11" s="51" t="str">
        <x:v>52;53</x:v>
      </x:c>
      <x:c r="X11" s="51" t="str">
        <x:v>2026-07-27</x:v>
      </x:c>
    </x:row>
    <x:row r="12">
      <x:c r="A12" s="51" t="str">
        <x:v>ACA-008</x:v>
      </x:c>
      <x:c r="B12" s="51" t="str">
        <x:v>Academic legitimacy network</x:v>
      </x:c>
      <x:c r="C12" s="51" t="str">
        <x:v>ACT-JEFFREYEPSTEIN</x:v>
      </x:c>
      <x:c r="D12" s="51" t="str">
        <x:v>Jeffrey Epstein</x:v>
      </x:c>
      <x:c r="E12" s="51" t="str">
        <x:v>ACT-BARDCOLLEGE</x:v>
      </x:c>
      <x:c r="F12" s="51" t="str">
        <x:v>Bard College</x:v>
      </x:c>
      <x:c r="G12" s="51" t="str">
        <x:v>Donor/network → university</x:v>
      </x:c>
      <x:c r="H12" s="51" t="str">
        <x:v>2010s</x:v>
      </x:c>
      <x:c r="I12" s="51" t="str">
        <x:v>Directed philanthropic support</x:v>
      </x:c>
      <x:c r="J12" s="51" t="str"/>
      <x:c r="K12" s="51" t="str">
        <x:v>$150,000 reported</x:v>
      </x:c>
      <x:c r="L12" s="51" t="str">
        <x:v>Private money and presidential access</x:v>
      </x:c>
      <x:c r="M12" s="51" t="str">
        <x:v>Institutional funding</x:v>
      </x:c>
      <x:c r="N12" s="51" t="str">
        <x:v>Prestigious institutions can become nodes in reputational rehabilitation</x:v>
      </x:c>
      <x:c r="O12" s="51" t="str">
        <x:v>Financial; relational; narrative</x:v>
      </x:c>
      <x:c r="P12" s="51" t="str">
        <x:v>E2</x:v>
      </x:c>
      <x:c r="Q12" s="51" t="str">
        <x:v>Moderate</x:v>
      </x:c>
      <x:c r="R12" s="51" t="str">
        <x:v>SRC-057</x:v>
      </x:c>
      <x:c r="S12" s="51" t="str">
        <x:v>A directed donation and institutional relationship were reported.</x:v>
      </x:c>
      <x:c r="T12" s="51" t="str">
        <x:v>Institution-wide knowledge or approval of Epstein's crimes.</x:v>
      </x:c>
      <x:c r="U12" s="51" t="str">
        <x:v>Institutional records should be added in a future verification pass.</x:v>
      </x:c>
      <x:c r="V12" s="51" t="str">
        <x:v>Historical / verify primary</x:v>
      </x:c>
      <x:c r="W12" s="51" t="str">
        <x:v>52;53</x:v>
      </x:c>
      <x:c r="X12" s="51" t="str">
        <x:v>2026-07-27</x:v>
      </x:c>
    </x:row>
    <x:row r="13">
      <x:c r="A13" s="51" t="str">
        <x:v>AIC-001</x:v>
      </x:c>
      <x:c r="B13" s="51" t="str">
        <x:v>AI sovereign infrastructure</x:v>
      </x:c>
      <x:c r="C13" s="51" t="str">
        <x:v>ACT-MICROSOFT</x:v>
      </x:c>
      <x:c r="D13" s="51" t="str">
        <x:v>Microsoft</x:v>
      </x:c>
      <x:c r="E13" s="51" t="str">
        <x:v>ACT-G42</x:v>
      </x:c>
      <x:c r="F13" s="51" t="str">
        <x:v>G42</x:v>
      </x:c>
      <x:c r="G13" s="51" t="str">
        <x:v>Company → company</x:v>
      </x:c>
      <x:c r="H13" s="51" t="str">
        <x:v>2024–present</x:v>
      </x:c>
      <x:c r="I13" s="51" t="str">
        <x:v>Minority investment, board seat and cloud partnership</x:v>
      </x:c>
      <x:c r="J13" s="51" t="str">
        <x:v>INS-037</x:v>
      </x:c>
      <x:c r="K13" s="51" t="str">
        <x:v>$1.5 billion</x:v>
      </x:c>
      <x:c r="L13" s="51" t="str">
        <x:v>US cloud capital and governance access</x:v>
      </x:c>
      <x:c r="M13" s="51" t="str">
        <x:v>UAE AI expansion and Azure dependence</x:v>
      </x:c>
      <x:c r="N13" s="51" t="str">
        <x:v>A US platform converts capital and cloud access into influence within a state-linked foreign AI company</x:v>
      </x:c>
      <x:c r="O13" s="51" t="str">
        <x:v>Financial; ownership; technological; relational</x:v>
      </x:c>
      <x:c r="P13" s="51" t="str">
        <x:v>E1</x:v>
      </x:c>
      <x:c r="Q13" s="51" t="str">
        <x:v>Very high</x:v>
      </x:c>
      <x:c r="R13" s="51" t="str">
        <x:v>SRC-093</x:v>
      </x:c>
      <x:c r="S13" s="51" t="str">
        <x:v>Microsoft invested $1.5 billion and obtained governance/partnership rights.</x:v>
      </x:c>
      <x:c r="T13" s="51" t="str">
        <x:v>US government control of G42 or Microsoft ownership of all UAE AI infrastructure.</x:v>
      </x:c>
      <x:c r="U13" s="51" t="str">
        <x:v>Intergovernmental assurances and commercial interests jointly shape the arrangement.</x:v>
      </x:c>
      <x:c r="V13" s="51" t="str">
        <x:v>Active</x:v>
      </x:c>
      <x:c r="W13" s="51" t="str">
        <x:v>57;76</x:v>
      </x:c>
      <x:c r="X13" s="51" t="str">
        <x:v>2026-07-27</x:v>
      </x:c>
    </x:row>
    <x:row r="14">
      <x:c r="A14" s="51" t="str">
        <x:v>AIC-002</x:v>
      </x:c>
      <x:c r="B14" s="51" t="str">
        <x:v>AI defence technology</x:v>
      </x:c>
      <x:c r="C14" s="51" t="str">
        <x:v>ACT-METAPLATFORMS</x:v>
      </x:c>
      <x:c r="D14" s="51" t="str">
        <x:v>Meta Platforms</x:v>
      </x:c>
      <x:c r="E14" s="51" t="str">
        <x:v>ACT-ANDURIL</x:v>
      </x:c>
      <x:c r="F14" s="51" t="str">
        <x:v>Anduril</x:v>
      </x:c>
      <x:c r="G14" s="51" t="str">
        <x:v>Company ↔ company</x:v>
      </x:c>
      <x:c r="H14" s="51" t="str">
        <x:v>2025–present</x:v>
      </x:c>
      <x:c r="I14" s="51" t="str">
        <x:v>Military extended-reality partnership</x:v>
      </x:c>
      <x:c r="J14" s="51" t="str"/>
      <x:c r="K14" s="51" t="str">
        <x:v>Undisclosed</x:v>
      </x:c>
      <x:c r="L14" s="51" t="str">
        <x:v>Meta AR/AI capability and Anduril defence integration</x:v>
      </x:c>
      <x:c r="M14" s="51" t="str">
        <x:v>Military wearable and command systems</x:v>
      </x:c>
      <x:c r="N14" s="51" t="str">
        <x:v>Consumer-platform technology is converted into military operational capability through a defence integrator</x:v>
      </x:c>
      <x:c r="O14" s="51" t="str">
        <x:v>Technological; informational; enforcement</x:v>
      </x:c>
      <x:c r="P14" s="51" t="str">
        <x:v>E1</x:v>
      </x:c>
      <x:c r="Q14" s="51" t="str">
        <x:v>Very high</x:v>
      </x:c>
      <x:c r="R14" s="51" t="str">
        <x:v>SRC-094</x:v>
      </x:c>
      <x:c r="S14" s="51" t="str">
        <x:v>Meta and Anduril officially announced the partnership.</x:v>
      </x:c>
      <x:c r="T14" s="51" t="str">
        <x:v>A merger, shared control of all military data, or autonomous weapons authority.</x:v>
      </x:c>
      <x:c r="U14" s="51" t="str">
        <x:v>Product scope and procurement customers require contract-level mapping.</x:v>
      </x:c>
      <x:c r="V14" s="51" t="str">
        <x:v>Active</x:v>
      </x:c>
      <x:c r="W14" s="51" t="str">
        <x:v>57;71</x:v>
      </x:c>
      <x:c r="X14" s="51" t="str">
        <x:v>2026-07-27</x:v>
      </x:c>
    </x:row>
    <x:row r="15">
      <x:c r="A15" s="51" t="str">
        <x:v>AIC-003</x:v>
      </x:c>
      <x:c r="B15" s="51" t="str">
        <x:v>AI defence technology</x:v>
      </x:c>
      <x:c r="C15" s="51" t="str">
        <x:v>ACT-XAI</x:v>
      </x:c>
      <x:c r="D15" s="51" t="str">
        <x:v>xAI</x:v>
      </x:c>
      <x:c r="E15" s="51" t="str">
        <x:v>ACT-USDEPARTMENTOFDEFENSE</x:v>
      </x:c>
      <x:c r="F15" s="51" t="str">
        <x:v>US Department of Defense</x:v>
      </x:c>
      <x:c r="G15" s="51" t="str">
        <x:v>Company → state</x:v>
      </x:c>
      <x:c r="H15" s="51" t="str">
        <x:v>2025</x:v>
      </x:c>
      <x:c r="I15" s="51" t="str">
        <x:v>Frontier-AI prototype contract</x:v>
      </x:c>
      <x:c r="J15" s="51" t="str">
        <x:v>INS-035</x:v>
      </x:c>
      <x:c r="K15" s="51" t="str">
        <x:v>Up to $200 million</x:v>
      </x:c>
      <x:c r="L15" s="51" t="str">
        <x:v>Grok/xAI models</x:v>
      </x:c>
      <x:c r="M15" s="51" t="str">
        <x:v>Defence enterprise and warfighting prototypes</x:v>
      </x:c>
      <x:c r="N15" s="51" t="str">
        <x:v>A politically connected model company gains a formal military deployment channel</x:v>
      </x:c>
      <x:c r="O15" s="51" t="str">
        <x:v>Technological; informational; enforcement</x:v>
      </x:c>
      <x:c r="P15" s="51" t="str">
        <x:v>E1</x:v>
      </x:c>
      <x:c r="Q15" s="51" t="str">
        <x:v>High</x:v>
      </x:c>
      <x:c r="R15" s="51" t="str">
        <x:v>SRC-085</x:v>
      </x:c>
      <x:c r="S15" s="51" t="str">
        <x:v>xAI received a DoD contract up to $200 million.</x:v>
      </x:c>
      <x:c r="T15" s="51" t="str">
        <x:v>Preferential award due to Musk's political relationship or autonomous military control.</x:v>
      </x:c>
      <x:c r="U15" s="51" t="str">
        <x:v>The same programme awarded multiple competing labs.</x:v>
      </x:c>
      <x:c r="V15" s="51" t="str">
        <x:v>Awarded</x:v>
      </x:c>
      <x:c r="W15" s="51" t="str">
        <x:v>57;71</x:v>
      </x:c>
      <x:c r="X15" s="51" t="str">
        <x:v>2026-07-27</x:v>
      </x:c>
    </x:row>
    <x:row r="16">
      <x:c r="A16" s="51" t="str">
        <x:v>AIC-004</x:v>
      </x:c>
      <x:c r="B16" s="51" t="str">
        <x:v>AI defence technology</x:v>
      </x:c>
      <x:c r="C16" s="51" t="str">
        <x:v>ACT-OPENAI</x:v>
      </x:c>
      <x:c r="D16" s="51" t="str">
        <x:v>OpenAI</x:v>
      </x:c>
      <x:c r="E16" s="51" t="str">
        <x:v>ACT-USDEPARTMENTOFDEFENSE</x:v>
      </x:c>
      <x:c r="F16" s="51" t="str">
        <x:v>US Department of Defense</x:v>
      </x:c>
      <x:c r="G16" s="51" t="str">
        <x:v>Company → state</x:v>
      </x:c>
      <x:c r="H16" s="51" t="str">
        <x:v>2025</x:v>
      </x:c>
      <x:c r="I16" s="51" t="str">
        <x:v>Frontier-AI prototype contract</x:v>
      </x:c>
      <x:c r="J16" s="51" t="str">
        <x:v>INS-035</x:v>
      </x:c>
      <x:c r="K16" s="51" t="str">
        <x:v>Up to $200 million</x:v>
      </x:c>
      <x:c r="L16" s="51" t="str">
        <x:v>OpenAI models and agents</x:v>
      </x:c>
      <x:c r="M16" s="51" t="str">
        <x:v>Defence enterprise and warfighting prototypes</x:v>
      </x:c>
      <x:c r="N16" s="51" t="str">
        <x:v>A commercial AI lab enters classified and military workflows</x:v>
      </x:c>
      <x:c r="O16" s="51" t="str">
        <x:v>Technological; informational; enforcement</x:v>
      </x:c>
      <x:c r="P16" s="51" t="str">
        <x:v>E1</x:v>
      </x:c>
      <x:c r="Q16" s="51" t="str">
        <x:v>High</x:v>
      </x:c>
      <x:c r="R16" s="51" t="str">
        <x:v>SRC-085</x:v>
      </x:c>
      <x:c r="S16" s="51" t="str">
        <x:v>OpenAI received a DoD contract up to $200 million.</x:v>
      </x:c>
      <x:c r="T16" s="51" t="str">
        <x:v>Unrestricted weapon use or removal of all company safety policies.</x:v>
      </x:c>
      <x:c r="U16" s="51" t="str">
        <x:v>Prototype contract ceilings are not guaranteed expenditure.</x:v>
      </x:c>
      <x:c r="V16" s="51" t="str">
        <x:v>Awarded</x:v>
      </x:c>
      <x:c r="W16" s="51" t="str">
        <x:v>57;71</x:v>
      </x:c>
      <x:c r="X16" s="51" t="str">
        <x:v>2026-07-27</x:v>
      </x:c>
    </x:row>
    <x:row r="17">
      <x:c r="A17" s="51" t="str">
        <x:v>AIC-005</x:v>
      </x:c>
      <x:c r="B17" s="51" t="str">
        <x:v>AI defence technology</x:v>
      </x:c>
      <x:c r="C17" s="51" t="str">
        <x:v>ACT-GOOGLEGOOGLECLOUD</x:v>
      </x:c>
      <x:c r="D17" s="51" t="str">
        <x:v>Google / Google Cloud</x:v>
      </x:c>
      <x:c r="E17" s="51" t="str">
        <x:v>ACT-USDEPARTMENTOFDEFENSE</x:v>
      </x:c>
      <x:c r="F17" s="51" t="str">
        <x:v>US Department of Defense</x:v>
      </x:c>
      <x:c r="G17" s="51" t="str">
        <x:v>Company → state</x:v>
      </x:c>
      <x:c r="H17" s="51" t="str">
        <x:v>2025</x:v>
      </x:c>
      <x:c r="I17" s="51" t="str">
        <x:v>Frontier-AI prototype contract</x:v>
      </x:c>
      <x:c r="J17" s="51" t="str">
        <x:v>INS-035</x:v>
      </x:c>
      <x:c r="K17" s="51" t="str">
        <x:v>Up to $200 million</x:v>
      </x:c>
      <x:c r="L17" s="51" t="str">
        <x:v>Gemini/cloud AI</x:v>
      </x:c>
      <x:c r="M17" s="51" t="str">
        <x:v>Defence enterprise and warfighting prototypes</x:v>
      </x:c>
      <x:c r="N17" s="51" t="str">
        <x:v>A dominant cloud/search firm converts commercial AI into sovereign operational capacity</x:v>
      </x:c>
      <x:c r="O17" s="51" t="str">
        <x:v>Technological; informational; enforcement</x:v>
      </x:c>
      <x:c r="P17" s="51" t="str">
        <x:v>E1</x:v>
      </x:c>
      <x:c r="Q17" s="51" t="str">
        <x:v>High</x:v>
      </x:c>
      <x:c r="R17" s="51" t="str">
        <x:v>SRC-085</x:v>
      </x:c>
      <x:c r="S17" s="51" t="str">
        <x:v>Google received a DoD contract up to $200 million.</x:v>
      </x:c>
      <x:c r="T17" s="51" t="str">
        <x:v>Use in every weapons programme or government control of Google.</x:v>
      </x:c>
      <x:c r="U17" s="51" t="str">
        <x:v>Contract tasks and classified scopes vary.</x:v>
      </x:c>
      <x:c r="V17" s="51" t="str">
        <x:v>Awarded</x:v>
      </x:c>
      <x:c r="W17" s="51" t="str">
        <x:v>57;71</x:v>
      </x:c>
      <x:c r="X17" s="51" t="str">
        <x:v>2026-07-27</x:v>
      </x:c>
    </x:row>
    <x:row r="18">
      <x:c r="A18" s="51" t="str">
        <x:v>AIC-006</x:v>
      </x:c>
      <x:c r="B18" s="51" t="str">
        <x:v>AI sovereign infrastructure</x:v>
      </x:c>
      <x:c r="C18" s="51" t="str">
        <x:v>ACT-PUBLICINVESTMENTFUND</x:v>
      </x:c>
      <x:c r="D18" s="51" t="str">
        <x:v>Public Investment Fund</x:v>
      </x:c>
      <x:c r="E18" s="51" t="str">
        <x:v>ACT-HUMAIN</x:v>
      </x:c>
      <x:c r="F18" s="51" t="str">
        <x:v>HUMAIN</x:v>
      </x:c>
      <x:c r="G18" s="51" t="str">
        <x:v>State fund → company</x:v>
      </x:c>
      <x:c r="H18" s="51" t="str">
        <x:v>2025–present</x:v>
      </x:c>
      <x:c r="I18" s="51" t="str">
        <x:v>Ownership and launch</x:v>
      </x:c>
      <x:c r="J18" s="51" t="str"/>
      <x:c r="K18" s="51" t="str">
        <x:v>PIF-owned</x:v>
      </x:c>
      <x:c r="L18" s="51" t="str">
        <x:v>Saudi sovereign capital, energy and policy</x:v>
      </x:c>
      <x:c r="M18" s="51" t="str">
        <x:v>Full-stack domestic AI company</x:v>
      </x:c>
      <x:c r="N18" s="51" t="str">
        <x:v>A sovereign fund creates an integrated company to convert energy/capital into compute, models and services</x:v>
      </x:c>
      <x:c r="O18" s="51" t="str">
        <x:v>Financial; ownership; material; technological</x:v>
      </x:c>
      <x:c r="P18" s="51" t="str">
        <x:v>E1</x:v>
      </x:c>
      <x:c r="Q18" s="51" t="str">
        <x:v>Very high</x:v>
      </x:c>
      <x:c r="R18" s="51" t="str">
        <x:v>SRC-100</x:v>
      </x:c>
      <x:c r="S18" s="51" t="str">
        <x:v>PIF officially launched and owns HUMAIN.</x:v>
      </x:c>
      <x:c r="T18" s="51" t="str">
        <x:v>Immediate domestic technological independence or control of foreign suppliers.</x:v>
      </x:c>
      <x:c r="U18" s="51" t="str">
        <x:v>The company initially depends heavily on imported chips and expertise.</x:v>
      </x:c>
      <x:c r="V18" s="51" t="str">
        <x:v>Active</x:v>
      </x:c>
      <x:c r="W18" s="51" t="str">
        <x:v>57;76</x:v>
      </x:c>
      <x:c r="X18" s="51" t="str">
        <x:v>2026-07-27</x:v>
      </x:c>
    </x:row>
    <x:row r="19">
      <x:c r="A19" s="51" t="str">
        <x:v>AIC-007</x:v>
      </x:c>
      <x:c r="B19" s="51" t="str">
        <x:v>AI sovereign infrastructure</x:v>
      </x:c>
      <x:c r="C19" s="51" t="str">
        <x:v>ACT-NVIDIA</x:v>
      </x:c>
      <x:c r="D19" s="51" t="str">
        <x:v>NVIDIA</x:v>
      </x:c>
      <x:c r="E19" s="51" t="str">
        <x:v>ACT-HUMAIN</x:v>
      </x:c>
      <x:c r="F19" s="51" t="str">
        <x:v>HUMAIN</x:v>
      </x:c>
      <x:c r="G19" s="51" t="str">
        <x:v>Supplier → company</x:v>
      </x:c>
      <x:c r="H19" s="51" t="str">
        <x:v>2025 onward</x:v>
      </x:c>
      <x:c r="I19" s="51" t="str">
        <x:v>AI chip and platform agreement</x:v>
      </x:c>
      <x:c r="J19" s="51" t="str"/>
      <x:c r="K19" s="51" t="str">
        <x:v>18,000 advanced GPUs initially reported</x:v>
      </x:c>
      <x:c r="L19" s="51" t="str">
        <x:v>Nvidia accelerators and software</x:v>
      </x:c>
      <x:c r="M19" s="51" t="str">
        <x:v>Saudi AI data-centre capacity</x:v>
      </x:c>
      <x:c r="N19" s="51" t="str">
        <x:v>A chip chokepoint converts sovereign capital and energy into usable compute</x:v>
      </x:c>
      <x:c r="O19" s="51" t="str">
        <x:v>Technological; material; financial</x:v>
      </x:c>
      <x:c r="P19" s="51" t="str">
        <x:v>E1</x:v>
      </x:c>
      <x:c r="Q19" s="51" t="str">
        <x:v>High</x:v>
      </x:c>
      <x:c r="R19" s="51" t="str">
        <x:v>SRC-099</x:v>
      </x:c>
      <x:c r="S19" s="51" t="str">
        <x:v>A major Nvidia supply agreement was announced.</x:v>
      </x:c>
      <x:c r="T19" s="51" t="str">
        <x:v>Delivery of all planned systems or Saudi independence from Nvidia.</x:v>
      </x:c>
      <x:c r="U19" s="51" t="str">
        <x:v>Export licences, electricity and construction remain constraints.</x:v>
      </x:c>
      <x:c r="V19" s="51" t="str">
        <x:v>Announced</x:v>
      </x:c>
      <x:c r="W19" s="51" t="str">
        <x:v>57;76</x:v>
      </x:c>
      <x:c r="X19" s="51" t="str">
        <x:v>2026-07-27</x:v>
      </x:c>
    </x:row>
    <x:row r="20">
      <x:c r="A20" s="51" t="str">
        <x:v>AIC-008</x:v>
      </x:c>
      <x:c r="B20" s="51" t="str">
        <x:v>AI sovereign infrastructure</x:v>
      </x:c>
      <x:c r="C20" s="51" t="str">
        <x:v>ACT-AMD</x:v>
      </x:c>
      <x:c r="D20" s="51" t="str">
        <x:v>AMD</x:v>
      </x:c>
      <x:c r="E20" s="51" t="str">
        <x:v>ACT-HUMAIN</x:v>
      </x:c>
      <x:c r="F20" s="51" t="str">
        <x:v>HUMAIN</x:v>
      </x:c>
      <x:c r="G20" s="51" t="str">
        <x:v>Supplier/partner → company</x:v>
      </x:c>
      <x:c r="H20" s="51" t="str">
        <x:v>2025 onward</x:v>
      </x:c>
      <x:c r="I20" s="51" t="str">
        <x:v>Multi-year compute partnership</x:v>
      </x:c>
      <x:c r="J20" s="51" t="str"/>
      <x:c r="K20" s="51" t="str">
        <x:v>$10 billion ecosystem plan reported</x:v>
      </x:c>
      <x:c r="L20" s="51" t="str">
        <x:v>AMD chips and systems</x:v>
      </x:c>
      <x:c r="M20" s="51" t="str">
        <x:v>Saudi compute and AI-service capacity</x:v>
      </x:c>
      <x:c r="N20" s="51" t="str">
        <x:v>A second chip supplier diversifies the sovereign AI stack</x:v>
      </x:c>
      <x:c r="O20" s="51" t="str">
        <x:v>Technological; material; financial</x:v>
      </x:c>
      <x:c r="P20" s="51" t="str">
        <x:v>E1</x:v>
      </x:c>
      <x:c r="Q20" s="51" t="str">
        <x:v>High</x:v>
      </x:c>
      <x:c r="R20" s="51" t="str">
        <x:v>SRC-099</x:v>
      </x:c>
      <x:c r="S20" s="51" t="str">
        <x:v>AMD and HUMAIN announced a large multi-year partnership.</x:v>
      </x:c>
      <x:c r="T20" s="51" t="str">
        <x:v>Immediate deployment of all stated capacity or elimination of Nvidia dependence.</x:v>
      </x:c>
      <x:c r="U20" s="51" t="str">
        <x:v>Headline commitments are staged and conditional.</x:v>
      </x:c>
      <x:c r="V20" s="51" t="str">
        <x:v>Announced</x:v>
      </x:c>
      <x:c r="W20" s="51" t="str">
        <x:v>57;76</x:v>
      </x:c>
      <x:c r="X20" s="51" t="str">
        <x:v>2026-07-27</x:v>
      </x:c>
    </x:row>
    <x:row r="21">
      <x:c r="A21" s="51" t="str">
        <x:v>AIC-009</x:v>
      </x:c>
      <x:c r="B21" s="51" t="str">
        <x:v>Evidence boundary</x:v>
      </x:c>
      <x:c r="C21" s="51" t="str">
        <x:v>ACT-FRONTIERAICOMPANIES</x:v>
      </x:c>
      <x:c r="D21" s="51" t="str">
        <x:v>Frontier AI companies</x:v>
      </x:c>
      <x:c r="E21" s="51" t="str">
        <x:v>ACT-GOVERNINGINSTITUTIONALNE</x:v>
      </x:c>
      <x:c r="F21" s="51" t="str">
        <x:v>Governing institutional networks</x:v>
      </x:c>
      <x:c r="G21" s="51" t="str">
        <x:v>Claim boundary</x:v>
      </x:c>
      <x:c r="H21" s="51" t="str">
        <x:v>Current review</x:v>
      </x:c>
      <x:c r="I21" s="51" t="str">
        <x:v>Unsupported unified-AI-cabal claim</x:v>
      </x:c>
      <x:c r="J21" s="51" t="str"/>
      <x:c r="K21" s="51" t="str">
        <x:v>N/A</x:v>
      </x:c>
      <x:c r="L21" s="51" t="str">
        <x:v>Shared investors, councils, contracts and infrastructure</x:v>
      </x:c>
      <x:c r="M21" s="51" t="str">
        <x:v>Claimed single coordinated command</x:v>
      </x:c>
      <x:c r="N21" s="51" t="str">
        <x:v>Commercial and political overlap is misread as unity despite intense competition and policy conflict</x:v>
      </x:c>
      <x:c r="O21" s="51" t="str">
        <x:v>Epistemic; narrative</x:v>
      </x:c>
      <x:c r="P21" s="51" t="str">
        <x:v>U1</x:v>
      </x:c>
      <x:c r="Q21" s="51" t="str">
        <x:v>Very low</x:v>
      </x:c>
      <x:c r="R21" s="51" t="str">
        <x:v>SRC-078; SRC-080; SRC-085; SRC-086</x:v>
      </x:c>
      <x:c r="S21" s="51" t="str">
        <x:v>AI firms share suppliers, investors, government contracts and advisory channels.</x:v>
      </x:c>
      <x:c r="T21" s="51" t="str">
        <x:v>One unified AI bloc with a single objective or command centre.</x:v>
      </x:c>
      <x:c r="U21" s="51" t="str">
        <x:v>OpenAI, Anthropic, Google, Meta, xAI and others compete and publicly disagree.</x:v>
      </x:c>
      <x:c r="V21" s="51" t="str">
        <x:v>Unsupported</x:v>
      </x:c>
      <x:c r="W21" s="51" t="str">
        <x:v>57;79</x:v>
      </x:c>
      <x:c r="X21" s="51" t="str">
        <x:v>2026-07-27</x:v>
      </x:c>
    </x:row>
    <x:row r="22">
      <x:c r="A22" s="51" t="str">
        <x:v>AIG-001</x:v>
      </x:c>
      <x:c r="B22" s="51" t="str">
        <x:v>AI political governance</x:v>
      </x:c>
      <x:c r="C22" s="51" t="str">
        <x:v>ACT-DAVIDSACKS</x:v>
      </x:c>
      <x:c r="D22" s="51" t="str">
        <x:v>David Sacks</x:v>
      </x:c>
      <x:c r="E22" s="51" t="str">
        <x:v>ACT-PRESIDENTSCOUNCILOFADVIS</x:v>
      </x:c>
      <x:c r="F22" s="51" t="str">
        <x:v>President's Council of Advisors on Science and Technology</x:v>
      </x:c>
      <x:c r="G22" s="51" t="str">
        <x:v>Person → advisory council</x:v>
      </x:c>
      <x:c r="H22" s="51" t="str">
        <x:v>2026–present</x:v>
      </x:c>
      <x:c r="I22" s="51" t="str">
        <x:v>Presidential appointment</x:v>
      </x:c>
      <x:c r="J22" s="51" t="str"/>
      <x:c r="K22" s="51" t="str">
        <x:v>Council membership</x:v>
      </x:c>
      <x:c r="L22" s="51" t="str">
        <x:v>Private technical, corporate or investment expertise</x:v>
      </x:c>
      <x:c r="M22" s="51" t="str">
        <x:v>Formal access to presidential science/technology advice</x:v>
      </x:c>
      <x:c r="N22" s="51" t="str">
        <x:v>Appointment converts private expertise and network position into a public policy-advisory channel</x:v>
      </x:c>
      <x:c r="O22" s="51" t="str">
        <x:v>Relational; institutional; informational</x:v>
      </x:c>
      <x:c r="P22" s="51" t="str">
        <x:v>E1</x:v>
      </x:c>
      <x:c r="Q22" s="51" t="str">
        <x:v>Very high</x:v>
      </x:c>
      <x:c r="R22" s="51" t="str">
        <x:v>SRC-078</x:v>
      </x:c>
      <x:c r="S22" s="51" t="str">
        <x:v>David Sacks was officially appointed to PCAST.</x:v>
      </x:c>
      <x:c r="T22" s="51" t="str">
        <x:v>Control over presidential decisions, agreement with every other member, or a private-company mandate.</x:v>
      </x:c>
      <x:c r="U22" s="51" t="str">
        <x:v>Advisory authority is influential but not equivalent to statutory or executive power.</x:v>
      </x:c>
      <x:c r="V22" s="51" t="str">
        <x:v>Active</x:v>
      </x:c>
      <x:c r="W22" s="51" t="str">
        <x:v>57;69;84</x:v>
      </x:c>
      <x:c r="X22" s="51" t="str">
        <x:v>2026-07-27</x:v>
      </x:c>
    </x:row>
    <x:row r="23">
      <x:c r="A23" s="51" t="str">
        <x:v>AIG-002</x:v>
      </x:c>
      <x:c r="B23" s="51" t="str">
        <x:v>AI political governance</x:v>
      </x:c>
      <x:c r="C23" s="51" t="str">
        <x:v>ACT-MICHAELKRATSIOS</x:v>
      </x:c>
      <x:c r="D23" s="51" t="str">
        <x:v>Michael Kratsios</x:v>
      </x:c>
      <x:c r="E23" s="51" t="str">
        <x:v>ACT-PRESIDENTSCOUNCILOFADVIS</x:v>
      </x:c>
      <x:c r="F23" s="51" t="str">
        <x:v>President's Council of Advisors on Science and Technology</x:v>
      </x:c>
      <x:c r="G23" s="51" t="str">
        <x:v>Person → advisory council</x:v>
      </x:c>
      <x:c r="H23" s="51" t="str">
        <x:v>2026–present</x:v>
      </x:c>
      <x:c r="I23" s="51" t="str">
        <x:v>Presidential appointment</x:v>
      </x:c>
      <x:c r="J23" s="51" t="str"/>
      <x:c r="K23" s="51" t="str">
        <x:v>Council membership</x:v>
      </x:c>
      <x:c r="L23" s="51" t="str">
        <x:v>Private technical, corporate or investment expertise</x:v>
      </x:c>
      <x:c r="M23" s="51" t="str">
        <x:v>Formal access to presidential science/technology advice</x:v>
      </x:c>
      <x:c r="N23" s="51" t="str">
        <x:v>Appointment converts private expertise and network position into a public policy-advisory channel</x:v>
      </x:c>
      <x:c r="O23" s="51" t="str">
        <x:v>Relational; institutional; informational</x:v>
      </x:c>
      <x:c r="P23" s="51" t="str">
        <x:v>E1</x:v>
      </x:c>
      <x:c r="Q23" s="51" t="str">
        <x:v>Very high</x:v>
      </x:c>
      <x:c r="R23" s="51" t="str">
        <x:v>SRC-078</x:v>
      </x:c>
      <x:c r="S23" s="51" t="str">
        <x:v>Michael Kratsios was officially appointed to PCAST.</x:v>
      </x:c>
      <x:c r="T23" s="51" t="str">
        <x:v>Control over presidential decisions, agreement with every other member, or a private-company mandate.</x:v>
      </x:c>
      <x:c r="U23" s="51" t="str">
        <x:v>Advisory authority is influential but not equivalent to statutory or executive power.</x:v>
      </x:c>
      <x:c r="V23" s="51" t="str">
        <x:v>Active</x:v>
      </x:c>
      <x:c r="W23" s="51" t="str">
        <x:v>57;69;84</x:v>
      </x:c>
      <x:c r="X23" s="51" t="str">
        <x:v>2026-07-27</x:v>
      </x:c>
    </x:row>
    <x:row r="24">
      <x:c r="A24" s="51" t="str">
        <x:v>AIG-003</x:v>
      </x:c>
      <x:c r="B24" s="51" t="str">
        <x:v>AI political governance</x:v>
      </x:c>
      <x:c r="C24" s="51" t="str">
        <x:v>ACT-MARCANDREESSEN</x:v>
      </x:c>
      <x:c r="D24" s="51" t="str">
        <x:v>Marc Andreessen</x:v>
      </x:c>
      <x:c r="E24" s="51" t="str">
        <x:v>ACT-PRESIDENTSCOUNCILOFADVIS</x:v>
      </x:c>
      <x:c r="F24" s="51" t="str">
        <x:v>President's Council of Advisors on Science and Technology</x:v>
      </x:c>
      <x:c r="G24" s="51" t="str">
        <x:v>Person → advisory council</x:v>
      </x:c>
      <x:c r="H24" s="51" t="str">
        <x:v>2026–present</x:v>
      </x:c>
      <x:c r="I24" s="51" t="str">
        <x:v>Presidential appointment</x:v>
      </x:c>
      <x:c r="J24" s="51" t="str"/>
      <x:c r="K24" s="51" t="str">
        <x:v>Council membership</x:v>
      </x:c>
      <x:c r="L24" s="51" t="str">
        <x:v>Private technical, corporate or investment expertise</x:v>
      </x:c>
      <x:c r="M24" s="51" t="str">
        <x:v>Formal access to presidential science/technology advice</x:v>
      </x:c>
      <x:c r="N24" s="51" t="str">
        <x:v>Appointment converts private expertise and network position into a public policy-advisory channel</x:v>
      </x:c>
      <x:c r="O24" s="51" t="str">
        <x:v>Relational; institutional; informational</x:v>
      </x:c>
      <x:c r="P24" s="51" t="str">
        <x:v>E1</x:v>
      </x:c>
      <x:c r="Q24" s="51" t="str">
        <x:v>Very high</x:v>
      </x:c>
      <x:c r="R24" s="51" t="str">
        <x:v>SRC-078</x:v>
      </x:c>
      <x:c r="S24" s="51" t="str">
        <x:v>Marc Andreessen was officially appointed to PCAST.</x:v>
      </x:c>
      <x:c r="T24" s="51" t="str">
        <x:v>Control over presidential decisions, agreement with every other member, or a private-company mandate.</x:v>
      </x:c>
      <x:c r="U24" s="51" t="str">
        <x:v>Advisory authority is influential but not equivalent to statutory or executive power.</x:v>
      </x:c>
      <x:c r="V24" s="51" t="str">
        <x:v>Active</x:v>
      </x:c>
      <x:c r="W24" s="51" t="str">
        <x:v>57;69;84</x:v>
      </x:c>
      <x:c r="X24" s="51" t="str">
        <x:v>2026-07-27</x:v>
      </x:c>
    </x:row>
    <x:row r="25">
      <x:c r="A25" s="51" t="str">
        <x:v>AIG-004</x:v>
      </x:c>
      <x:c r="B25" s="51" t="str">
        <x:v>AI political governance</x:v>
      </x:c>
      <x:c r="C25" s="51" t="str">
        <x:v>ACT-SERGEYBRIN</x:v>
      </x:c>
      <x:c r="D25" s="51" t="str">
        <x:v>Sergey Brin</x:v>
      </x:c>
      <x:c r="E25" s="51" t="str">
        <x:v>ACT-PRESIDENTSCOUNCILOFADVIS</x:v>
      </x:c>
      <x:c r="F25" s="51" t="str">
        <x:v>President's Council of Advisors on Science and Technology</x:v>
      </x:c>
      <x:c r="G25" s="51" t="str">
        <x:v>Person → advisory council</x:v>
      </x:c>
      <x:c r="H25" s="51" t="str">
        <x:v>2026–present</x:v>
      </x:c>
      <x:c r="I25" s="51" t="str">
        <x:v>Presidential appointment</x:v>
      </x:c>
      <x:c r="J25" s="51" t="str"/>
      <x:c r="K25" s="51" t="str">
        <x:v>Council membership</x:v>
      </x:c>
      <x:c r="L25" s="51" t="str">
        <x:v>Private technical, corporate or investment expertise</x:v>
      </x:c>
      <x:c r="M25" s="51" t="str">
        <x:v>Formal access to presidential science/technology advice</x:v>
      </x:c>
      <x:c r="N25" s="51" t="str">
        <x:v>Appointment converts private expertise and network position into a public policy-advisory channel</x:v>
      </x:c>
      <x:c r="O25" s="51" t="str">
        <x:v>Relational; institutional; informational</x:v>
      </x:c>
      <x:c r="P25" s="51" t="str">
        <x:v>E1</x:v>
      </x:c>
      <x:c r="Q25" s="51" t="str">
        <x:v>Very high</x:v>
      </x:c>
      <x:c r="R25" s="51" t="str">
        <x:v>SRC-078</x:v>
      </x:c>
      <x:c r="S25" s="51" t="str">
        <x:v>Sergey Brin was officially appointed to PCAST.</x:v>
      </x:c>
      <x:c r="T25" s="51" t="str">
        <x:v>Control over presidential decisions, agreement with every other member, or a private-company mandate.</x:v>
      </x:c>
      <x:c r="U25" s="51" t="str">
        <x:v>Advisory authority is influential but not equivalent to statutory or executive power.</x:v>
      </x:c>
      <x:c r="V25" s="51" t="str">
        <x:v>Active</x:v>
      </x:c>
      <x:c r="W25" s="51" t="str">
        <x:v>57;69;84</x:v>
      </x:c>
      <x:c r="X25" s="51" t="str">
        <x:v>2026-07-27</x:v>
      </x:c>
    </x:row>
    <x:row r="26">
      <x:c r="A26" s="51" t="str">
        <x:v>AIG-005</x:v>
      </x:c>
      <x:c r="B26" s="51" t="str">
        <x:v>AI political governance</x:v>
      </x:c>
      <x:c r="C26" s="51" t="str">
        <x:v>ACT-SAFRACATZ</x:v>
      </x:c>
      <x:c r="D26" s="51" t="str">
        <x:v>Safra Catz</x:v>
      </x:c>
      <x:c r="E26" s="51" t="str">
        <x:v>ACT-PRESIDENTSCOUNCILOFADVIS</x:v>
      </x:c>
      <x:c r="F26" s="51" t="str">
        <x:v>President's Council of Advisors on Science and Technology</x:v>
      </x:c>
      <x:c r="G26" s="51" t="str">
        <x:v>Person → advisory council</x:v>
      </x:c>
      <x:c r="H26" s="51" t="str">
        <x:v>2026–present</x:v>
      </x:c>
      <x:c r="I26" s="51" t="str">
        <x:v>Presidential appointment</x:v>
      </x:c>
      <x:c r="J26" s="51" t="str"/>
      <x:c r="K26" s="51" t="str">
        <x:v>Council membership</x:v>
      </x:c>
      <x:c r="L26" s="51" t="str">
        <x:v>Private technical, corporate or investment expertise</x:v>
      </x:c>
      <x:c r="M26" s="51" t="str">
        <x:v>Formal access to presidential science/technology advice</x:v>
      </x:c>
      <x:c r="N26" s="51" t="str">
        <x:v>Appointment converts private expertise and network position into a public policy-advisory channel</x:v>
      </x:c>
      <x:c r="O26" s="51" t="str">
        <x:v>Relational; institutional; informational</x:v>
      </x:c>
      <x:c r="P26" s="51" t="str">
        <x:v>E1</x:v>
      </x:c>
      <x:c r="Q26" s="51" t="str">
        <x:v>Very high</x:v>
      </x:c>
      <x:c r="R26" s="51" t="str">
        <x:v>SRC-078</x:v>
      </x:c>
      <x:c r="S26" s="51" t="str">
        <x:v>Safra Catz was officially appointed to PCAST.</x:v>
      </x:c>
      <x:c r="T26" s="51" t="str">
        <x:v>Control over presidential decisions, agreement with every other member, or a private-company mandate.</x:v>
      </x:c>
      <x:c r="U26" s="51" t="str">
        <x:v>Advisory authority is influential but not equivalent to statutory or executive power.</x:v>
      </x:c>
      <x:c r="V26" s="51" t="str">
        <x:v>Active</x:v>
      </x:c>
      <x:c r="W26" s="51" t="str">
        <x:v>57;69;84</x:v>
      </x:c>
      <x:c r="X26" s="51" t="str">
        <x:v>2026-07-27</x:v>
      </x:c>
    </x:row>
    <x:row r="27">
      <x:c r="A27" s="51" t="str">
        <x:v>AIG-006</x:v>
      </x:c>
      <x:c r="B27" s="51" t="str">
        <x:v>AI political governance</x:v>
      </x:c>
      <x:c r="C27" s="51" t="str">
        <x:v>ACT-MICHAELDELL</x:v>
      </x:c>
      <x:c r="D27" s="51" t="str">
        <x:v>Michael Dell</x:v>
      </x:c>
      <x:c r="E27" s="51" t="str">
        <x:v>ACT-PRESIDENTSCOUNCILOFADVIS</x:v>
      </x:c>
      <x:c r="F27" s="51" t="str">
        <x:v>President's Council of Advisors on Science and Technology</x:v>
      </x:c>
      <x:c r="G27" s="51" t="str">
        <x:v>Person → advisory council</x:v>
      </x:c>
      <x:c r="H27" s="51" t="str">
        <x:v>2026–present</x:v>
      </x:c>
      <x:c r="I27" s="51" t="str">
        <x:v>Presidential appointment</x:v>
      </x:c>
      <x:c r="J27" s="51" t="str"/>
      <x:c r="K27" s="51" t="str">
        <x:v>Council membership</x:v>
      </x:c>
      <x:c r="L27" s="51" t="str">
        <x:v>Private technical, corporate or investment expertise</x:v>
      </x:c>
      <x:c r="M27" s="51" t="str">
        <x:v>Formal access to presidential science/technology advice</x:v>
      </x:c>
      <x:c r="N27" s="51" t="str">
        <x:v>Appointment converts private expertise and network position into a public policy-advisory channel</x:v>
      </x:c>
      <x:c r="O27" s="51" t="str">
        <x:v>Relational; institutional; informational</x:v>
      </x:c>
      <x:c r="P27" s="51" t="str">
        <x:v>E1</x:v>
      </x:c>
      <x:c r="Q27" s="51" t="str">
        <x:v>Very high</x:v>
      </x:c>
      <x:c r="R27" s="51" t="str">
        <x:v>SRC-078</x:v>
      </x:c>
      <x:c r="S27" s="51" t="str">
        <x:v>Michael Dell was officially appointed to PCAST.</x:v>
      </x:c>
      <x:c r="T27" s="51" t="str">
        <x:v>Control over presidential decisions, agreement with every other member, or a private-company mandate.</x:v>
      </x:c>
      <x:c r="U27" s="51" t="str">
        <x:v>Advisory authority is influential but not equivalent to statutory or executive power.</x:v>
      </x:c>
      <x:c r="V27" s="51" t="str">
        <x:v>Active</x:v>
      </x:c>
      <x:c r="W27" s="51" t="str">
        <x:v>57;69;84</x:v>
      </x:c>
      <x:c r="X27" s="51" t="str">
        <x:v>2026-07-27</x:v>
      </x:c>
    </x:row>
    <x:row r="28">
      <x:c r="A28" s="51" t="str">
        <x:v>AIG-007</x:v>
      </x:c>
      <x:c r="B28" s="51" t="str">
        <x:v>AI political governance</x:v>
      </x:c>
      <x:c r="C28" s="51" t="str">
        <x:v>ACT-JACOBDEWITTE</x:v>
      </x:c>
      <x:c r="D28" s="51" t="str">
        <x:v>Jacob DeWitte</x:v>
      </x:c>
      <x:c r="E28" s="51" t="str">
        <x:v>ACT-PRESIDENTSCOUNCILOFADVIS</x:v>
      </x:c>
      <x:c r="F28" s="51" t="str">
        <x:v>President's Council of Advisors on Science and Technology</x:v>
      </x:c>
      <x:c r="G28" s="51" t="str">
        <x:v>Person → advisory council</x:v>
      </x:c>
      <x:c r="H28" s="51" t="str">
        <x:v>2026–present</x:v>
      </x:c>
      <x:c r="I28" s="51" t="str">
        <x:v>Presidential appointment</x:v>
      </x:c>
      <x:c r="J28" s="51" t="str"/>
      <x:c r="K28" s="51" t="str">
        <x:v>Council membership</x:v>
      </x:c>
      <x:c r="L28" s="51" t="str">
        <x:v>Private technical, corporate or investment expertise</x:v>
      </x:c>
      <x:c r="M28" s="51" t="str">
        <x:v>Formal access to presidential science/technology advice</x:v>
      </x:c>
      <x:c r="N28" s="51" t="str">
        <x:v>Appointment converts private expertise and network position into a public policy-advisory channel</x:v>
      </x:c>
      <x:c r="O28" s="51" t="str">
        <x:v>Relational; institutional; informational</x:v>
      </x:c>
      <x:c r="P28" s="51" t="str">
        <x:v>E1</x:v>
      </x:c>
      <x:c r="Q28" s="51" t="str">
        <x:v>Very high</x:v>
      </x:c>
      <x:c r="R28" s="51" t="str">
        <x:v>SRC-078</x:v>
      </x:c>
      <x:c r="S28" s="51" t="str">
        <x:v>Jacob DeWitte was officially appointed to PCAST.</x:v>
      </x:c>
      <x:c r="T28" s="51" t="str">
        <x:v>Control over presidential decisions, agreement with every other member, or a private-company mandate.</x:v>
      </x:c>
      <x:c r="U28" s="51" t="str">
        <x:v>Advisory authority is influential but not equivalent to statutory or executive power.</x:v>
      </x:c>
      <x:c r="V28" s="51" t="str">
        <x:v>Active</x:v>
      </x:c>
      <x:c r="W28" s="51" t="str">
        <x:v>57;69;84</x:v>
      </x:c>
      <x:c r="X28" s="51" t="str">
        <x:v>2026-07-27</x:v>
      </x:c>
    </x:row>
    <x:row r="29">
      <x:c r="A29" s="51" t="str">
        <x:v>AIG-008</x:v>
      </x:c>
      <x:c r="B29" s="51" t="str">
        <x:v>AI political governance</x:v>
      </x:c>
      <x:c r="C29" s="51" t="str">
        <x:v>ACT-FREDEHRSAM</x:v>
      </x:c>
      <x:c r="D29" s="51" t="str">
        <x:v>Fred Ehrsam</x:v>
      </x:c>
      <x:c r="E29" s="51" t="str">
        <x:v>ACT-PRESIDENTSCOUNCILOFADVIS</x:v>
      </x:c>
      <x:c r="F29" s="51" t="str">
        <x:v>President's Council of Advisors on Science and Technology</x:v>
      </x:c>
      <x:c r="G29" s="51" t="str">
        <x:v>Person → advisory council</x:v>
      </x:c>
      <x:c r="H29" s="51" t="str">
        <x:v>2026–present</x:v>
      </x:c>
      <x:c r="I29" s="51" t="str">
        <x:v>Presidential appointment</x:v>
      </x:c>
      <x:c r="J29" s="51" t="str"/>
      <x:c r="K29" s="51" t="str">
        <x:v>Council membership</x:v>
      </x:c>
      <x:c r="L29" s="51" t="str">
        <x:v>Private technical, corporate or investment expertise</x:v>
      </x:c>
      <x:c r="M29" s="51" t="str">
        <x:v>Formal access to presidential science/technology advice</x:v>
      </x:c>
      <x:c r="N29" s="51" t="str">
        <x:v>Appointment converts private expertise and network position into a public policy-advisory channel</x:v>
      </x:c>
      <x:c r="O29" s="51" t="str">
        <x:v>Relational; institutional; informational</x:v>
      </x:c>
      <x:c r="P29" s="51" t="str">
        <x:v>E1</x:v>
      </x:c>
      <x:c r="Q29" s="51" t="str">
        <x:v>Very high</x:v>
      </x:c>
      <x:c r="R29" s="51" t="str">
        <x:v>SRC-078</x:v>
      </x:c>
      <x:c r="S29" s="51" t="str">
        <x:v>Fred Ehrsam was officially appointed to PCAST.</x:v>
      </x:c>
      <x:c r="T29" s="51" t="str">
        <x:v>Control over presidential decisions, agreement with every other member, or a private-company mandate.</x:v>
      </x:c>
      <x:c r="U29" s="51" t="str">
        <x:v>Advisory authority is influential but not equivalent to statutory or executive power.</x:v>
      </x:c>
      <x:c r="V29" s="51" t="str">
        <x:v>Active</x:v>
      </x:c>
      <x:c r="W29" s="51" t="str">
        <x:v>57;69;84</x:v>
      </x:c>
      <x:c r="X29" s="51" t="str">
        <x:v>2026-07-27</x:v>
      </x:c>
    </x:row>
    <x:row r="30">
      <x:c r="A30" s="51" t="str">
        <x:v>AIG-009</x:v>
      </x:c>
      <x:c r="B30" s="51" t="str">
        <x:v>AI political governance</x:v>
      </x:c>
      <x:c r="C30" s="51" t="str">
        <x:v>ACT-LARRYELLISON</x:v>
      </x:c>
      <x:c r="D30" s="51" t="str">
        <x:v>Larry Ellison</x:v>
      </x:c>
      <x:c r="E30" s="51" t="str">
        <x:v>ACT-PRESIDENTSCOUNCILOFADVIS</x:v>
      </x:c>
      <x:c r="F30" s="51" t="str">
        <x:v>President's Council of Advisors on Science and Technology</x:v>
      </x:c>
      <x:c r="G30" s="51" t="str">
        <x:v>Person → advisory council</x:v>
      </x:c>
      <x:c r="H30" s="51" t="str">
        <x:v>2026–present</x:v>
      </x:c>
      <x:c r="I30" s="51" t="str">
        <x:v>Presidential appointment</x:v>
      </x:c>
      <x:c r="J30" s="51" t="str"/>
      <x:c r="K30" s="51" t="str">
        <x:v>Council membership</x:v>
      </x:c>
      <x:c r="L30" s="51" t="str">
        <x:v>Private technical, corporate or investment expertise</x:v>
      </x:c>
      <x:c r="M30" s="51" t="str">
        <x:v>Formal access to presidential science/technology advice</x:v>
      </x:c>
      <x:c r="N30" s="51" t="str">
        <x:v>Appointment converts private expertise and network position into a public policy-advisory channel</x:v>
      </x:c>
      <x:c r="O30" s="51" t="str">
        <x:v>Relational; institutional; informational</x:v>
      </x:c>
      <x:c r="P30" s="51" t="str">
        <x:v>E1</x:v>
      </x:c>
      <x:c r="Q30" s="51" t="str">
        <x:v>Very high</x:v>
      </x:c>
      <x:c r="R30" s="51" t="str">
        <x:v>SRC-078</x:v>
      </x:c>
      <x:c r="S30" s="51" t="str">
        <x:v>Larry Ellison was officially appointed to PCAST.</x:v>
      </x:c>
      <x:c r="T30" s="51" t="str">
        <x:v>Control over presidential decisions, agreement with every other member, or a private-company mandate.</x:v>
      </x:c>
      <x:c r="U30" s="51" t="str">
        <x:v>Advisory authority is influential but not equivalent to statutory or executive power.</x:v>
      </x:c>
      <x:c r="V30" s="51" t="str">
        <x:v>Active</x:v>
      </x:c>
      <x:c r="W30" s="51" t="str">
        <x:v>57;69;84</x:v>
      </x:c>
      <x:c r="X30" s="51" t="str">
        <x:v>2026-07-27</x:v>
      </x:c>
    </x:row>
    <x:row r="31">
      <x:c r="A31" s="51" t="str">
        <x:v>AIG-010</x:v>
      </x:c>
      <x:c r="B31" s="51" t="str">
        <x:v>AI political governance</x:v>
      </x:c>
      <x:c r="C31" s="51" t="str">
        <x:v>ACT-DAVIDFRIEDBERG</x:v>
      </x:c>
      <x:c r="D31" s="51" t="str">
        <x:v>David Friedberg</x:v>
      </x:c>
      <x:c r="E31" s="51" t="str">
        <x:v>ACT-PRESIDENTSCOUNCILOFADVIS</x:v>
      </x:c>
      <x:c r="F31" s="51" t="str">
        <x:v>President's Council of Advisors on Science and Technology</x:v>
      </x:c>
      <x:c r="G31" s="51" t="str">
        <x:v>Person → advisory council</x:v>
      </x:c>
      <x:c r="H31" s="51" t="str">
        <x:v>2026–present</x:v>
      </x:c>
      <x:c r="I31" s="51" t="str">
        <x:v>Presidential appointment</x:v>
      </x:c>
      <x:c r="J31" s="51" t="str"/>
      <x:c r="K31" s="51" t="str">
        <x:v>Council membership</x:v>
      </x:c>
      <x:c r="L31" s="51" t="str">
        <x:v>Private technical, corporate or investment expertise</x:v>
      </x:c>
      <x:c r="M31" s="51" t="str">
        <x:v>Formal access to presidential science/technology advice</x:v>
      </x:c>
      <x:c r="N31" s="51" t="str">
        <x:v>Appointment converts private expertise and network position into a public policy-advisory channel</x:v>
      </x:c>
      <x:c r="O31" s="51" t="str">
        <x:v>Relational; institutional; informational</x:v>
      </x:c>
      <x:c r="P31" s="51" t="str">
        <x:v>E1</x:v>
      </x:c>
      <x:c r="Q31" s="51" t="str">
        <x:v>Very high</x:v>
      </x:c>
      <x:c r="R31" s="51" t="str">
        <x:v>SRC-078</x:v>
      </x:c>
      <x:c r="S31" s="51" t="str">
        <x:v>David Friedberg was officially appointed to PCAST.</x:v>
      </x:c>
      <x:c r="T31" s="51" t="str">
        <x:v>Control over presidential decisions, agreement with every other member, or a private-company mandate.</x:v>
      </x:c>
      <x:c r="U31" s="51" t="str">
        <x:v>Advisory authority is influential but not equivalent to statutory or executive power.</x:v>
      </x:c>
      <x:c r="V31" s="51" t="str">
        <x:v>Active</x:v>
      </x:c>
      <x:c r="W31" s="51" t="str">
        <x:v>57;69;84</x:v>
      </x:c>
      <x:c r="X31" s="51" t="str">
        <x:v>2026-07-27</x:v>
      </x:c>
    </x:row>
    <x:row r="32">
      <x:c r="A32" s="51" t="str">
        <x:v>AIG-011</x:v>
      </x:c>
      <x:c r="B32" s="51" t="str">
        <x:v>AI political governance</x:v>
      </x:c>
      <x:c r="C32" s="51" t="str">
        <x:v>ACT-JENSENHUANG</x:v>
      </x:c>
      <x:c r="D32" s="51" t="str">
        <x:v>Jensen Huang</x:v>
      </x:c>
      <x:c r="E32" s="51" t="str">
        <x:v>ACT-PRESIDENTSCOUNCILOFADVIS</x:v>
      </x:c>
      <x:c r="F32" s="51" t="str">
        <x:v>President's Council of Advisors on Science and Technology</x:v>
      </x:c>
      <x:c r="G32" s="51" t="str">
        <x:v>Person → advisory council</x:v>
      </x:c>
      <x:c r="H32" s="51" t="str">
        <x:v>2026–present</x:v>
      </x:c>
      <x:c r="I32" s="51" t="str">
        <x:v>Presidential appointment</x:v>
      </x:c>
      <x:c r="J32" s="51" t="str"/>
      <x:c r="K32" s="51" t="str">
        <x:v>Council membership</x:v>
      </x:c>
      <x:c r="L32" s="51" t="str">
        <x:v>Private technical, corporate or investment expertise</x:v>
      </x:c>
      <x:c r="M32" s="51" t="str">
        <x:v>Formal access to presidential science/technology advice</x:v>
      </x:c>
      <x:c r="N32" s="51" t="str">
        <x:v>Appointment converts private expertise and network position into a public policy-advisory channel</x:v>
      </x:c>
      <x:c r="O32" s="51" t="str">
        <x:v>Relational; institutional; informational</x:v>
      </x:c>
      <x:c r="P32" s="51" t="str">
        <x:v>E1</x:v>
      </x:c>
      <x:c r="Q32" s="51" t="str">
        <x:v>Very high</x:v>
      </x:c>
      <x:c r="R32" s="51" t="str">
        <x:v>SRC-078</x:v>
      </x:c>
      <x:c r="S32" s="51" t="str">
        <x:v>Jensen Huang was officially appointed to PCAST.</x:v>
      </x:c>
      <x:c r="T32" s="51" t="str">
        <x:v>Control over presidential decisions, agreement with every other member, or a private-company mandate.</x:v>
      </x:c>
      <x:c r="U32" s="51" t="str">
        <x:v>Advisory authority is influential but not equivalent to statutory or executive power.</x:v>
      </x:c>
      <x:c r="V32" s="51" t="str">
        <x:v>Active</x:v>
      </x:c>
      <x:c r="W32" s="51" t="str">
        <x:v>57;69;84</x:v>
      </x:c>
      <x:c r="X32" s="51" t="str">
        <x:v>2026-07-27</x:v>
      </x:c>
    </x:row>
    <x:row r="33">
      <x:c r="A33" s="51" t="str">
        <x:v>AIG-012</x:v>
      </x:c>
      <x:c r="B33" s="51" t="str">
        <x:v>AI political governance</x:v>
      </x:c>
      <x:c r="C33" s="51" t="str">
        <x:v>ACT-JOHNMARTINIS</x:v>
      </x:c>
      <x:c r="D33" s="51" t="str">
        <x:v>John Martinis</x:v>
      </x:c>
      <x:c r="E33" s="51" t="str">
        <x:v>ACT-PRESIDENTSCOUNCILOFADVIS</x:v>
      </x:c>
      <x:c r="F33" s="51" t="str">
        <x:v>President's Council of Advisors on Science and Technology</x:v>
      </x:c>
      <x:c r="G33" s="51" t="str">
        <x:v>Person → advisory council</x:v>
      </x:c>
      <x:c r="H33" s="51" t="str">
        <x:v>2026–present</x:v>
      </x:c>
      <x:c r="I33" s="51" t="str">
        <x:v>Presidential appointment</x:v>
      </x:c>
      <x:c r="J33" s="51" t="str"/>
      <x:c r="K33" s="51" t="str">
        <x:v>Council membership</x:v>
      </x:c>
      <x:c r="L33" s="51" t="str">
        <x:v>Private technical, corporate or investment expertise</x:v>
      </x:c>
      <x:c r="M33" s="51" t="str">
        <x:v>Formal access to presidential science/technology advice</x:v>
      </x:c>
      <x:c r="N33" s="51" t="str">
        <x:v>Appointment converts private expertise and network position into a public policy-advisory channel</x:v>
      </x:c>
      <x:c r="O33" s="51" t="str">
        <x:v>Relational; institutional; informational</x:v>
      </x:c>
      <x:c r="P33" s="51" t="str">
        <x:v>E1</x:v>
      </x:c>
      <x:c r="Q33" s="51" t="str">
        <x:v>Very high</x:v>
      </x:c>
      <x:c r="R33" s="51" t="str">
        <x:v>SRC-078</x:v>
      </x:c>
      <x:c r="S33" s="51" t="str">
        <x:v>John Martinis was officially appointed to PCAST.</x:v>
      </x:c>
      <x:c r="T33" s="51" t="str">
        <x:v>Control over presidential decisions, agreement with every other member, or a private-company mandate.</x:v>
      </x:c>
      <x:c r="U33" s="51" t="str">
        <x:v>Advisory authority is influential but not equivalent to statutory or executive power.</x:v>
      </x:c>
      <x:c r="V33" s="51" t="str">
        <x:v>Active</x:v>
      </x:c>
      <x:c r="W33" s="51" t="str">
        <x:v>57;69;84</x:v>
      </x:c>
      <x:c r="X33" s="51" t="str">
        <x:v>2026-07-27</x:v>
      </x:c>
    </x:row>
    <x:row r="34">
      <x:c r="A34" s="51" t="str">
        <x:v>AIG-013</x:v>
      </x:c>
      <x:c r="B34" s="51" t="str">
        <x:v>AI political governance</x:v>
      </x:c>
      <x:c r="C34" s="51" t="str">
        <x:v>ACT-BOBMUMGAARD</x:v>
      </x:c>
      <x:c r="D34" s="51" t="str">
        <x:v>Bob Mumgaard</x:v>
      </x:c>
      <x:c r="E34" s="51" t="str">
        <x:v>ACT-PRESIDENTSCOUNCILOFADVIS</x:v>
      </x:c>
      <x:c r="F34" s="51" t="str">
        <x:v>President's Council of Advisors on Science and Technology</x:v>
      </x:c>
      <x:c r="G34" s="51" t="str">
        <x:v>Person → advisory council</x:v>
      </x:c>
      <x:c r="H34" s="51" t="str">
        <x:v>2026–present</x:v>
      </x:c>
      <x:c r="I34" s="51" t="str">
        <x:v>Presidential appointment</x:v>
      </x:c>
      <x:c r="J34" s="51" t="str"/>
      <x:c r="K34" s="51" t="str">
        <x:v>Council membership</x:v>
      </x:c>
      <x:c r="L34" s="51" t="str">
        <x:v>Private technical, corporate or investment expertise</x:v>
      </x:c>
      <x:c r="M34" s="51" t="str">
        <x:v>Formal access to presidential science/technology advice</x:v>
      </x:c>
      <x:c r="N34" s="51" t="str">
        <x:v>Appointment converts private expertise and network position into a public policy-advisory channel</x:v>
      </x:c>
      <x:c r="O34" s="51" t="str">
        <x:v>Relational; institutional; informational</x:v>
      </x:c>
      <x:c r="P34" s="51" t="str">
        <x:v>E1</x:v>
      </x:c>
      <x:c r="Q34" s="51" t="str">
        <x:v>Very high</x:v>
      </x:c>
      <x:c r="R34" s="51" t="str">
        <x:v>SRC-078</x:v>
      </x:c>
      <x:c r="S34" s="51" t="str">
        <x:v>Bob Mumgaard was officially appointed to PCAST.</x:v>
      </x:c>
      <x:c r="T34" s="51" t="str">
        <x:v>Control over presidential decisions, agreement with every other member, or a private-company mandate.</x:v>
      </x:c>
      <x:c r="U34" s="51" t="str">
        <x:v>Advisory authority is influential but not equivalent to statutory or executive power.</x:v>
      </x:c>
      <x:c r="V34" s="51" t="str">
        <x:v>Active</x:v>
      </x:c>
      <x:c r="W34" s="51" t="str">
        <x:v>57;69;84</x:v>
      </x:c>
      <x:c r="X34" s="51" t="str">
        <x:v>2026-07-27</x:v>
      </x:c>
    </x:row>
    <x:row r="35">
      <x:c r="A35" s="51" t="str">
        <x:v>AIG-014</x:v>
      </x:c>
      <x:c r="B35" s="51" t="str">
        <x:v>AI political governance</x:v>
      </x:c>
      <x:c r="C35" s="51" t="str">
        <x:v>ACT-LISASU</x:v>
      </x:c>
      <x:c r="D35" s="51" t="str">
        <x:v>Lisa Su</x:v>
      </x:c>
      <x:c r="E35" s="51" t="str">
        <x:v>ACT-PRESIDENTSCOUNCILOFADVIS</x:v>
      </x:c>
      <x:c r="F35" s="51" t="str">
        <x:v>President's Council of Advisors on Science and Technology</x:v>
      </x:c>
      <x:c r="G35" s="51" t="str">
        <x:v>Person → advisory council</x:v>
      </x:c>
      <x:c r="H35" s="51" t="str">
        <x:v>2026–present</x:v>
      </x:c>
      <x:c r="I35" s="51" t="str">
        <x:v>Presidential appointment</x:v>
      </x:c>
      <x:c r="J35" s="51" t="str"/>
      <x:c r="K35" s="51" t="str">
        <x:v>Council membership</x:v>
      </x:c>
      <x:c r="L35" s="51" t="str">
        <x:v>Private technical, corporate or investment expertise</x:v>
      </x:c>
      <x:c r="M35" s="51" t="str">
        <x:v>Formal access to presidential science/technology advice</x:v>
      </x:c>
      <x:c r="N35" s="51" t="str">
        <x:v>Appointment converts private expertise and network position into a public policy-advisory channel</x:v>
      </x:c>
      <x:c r="O35" s="51" t="str">
        <x:v>Relational; institutional; informational</x:v>
      </x:c>
      <x:c r="P35" s="51" t="str">
        <x:v>E1</x:v>
      </x:c>
      <x:c r="Q35" s="51" t="str">
        <x:v>Very high</x:v>
      </x:c>
      <x:c r="R35" s="51" t="str">
        <x:v>SRC-078</x:v>
      </x:c>
      <x:c r="S35" s="51" t="str">
        <x:v>Lisa Su was officially appointed to PCAST.</x:v>
      </x:c>
      <x:c r="T35" s="51" t="str">
        <x:v>Control over presidential decisions, agreement with every other member, or a private-company mandate.</x:v>
      </x:c>
      <x:c r="U35" s="51" t="str">
        <x:v>Advisory authority is influential but not equivalent to statutory or executive power.</x:v>
      </x:c>
      <x:c r="V35" s="51" t="str">
        <x:v>Active</x:v>
      </x:c>
      <x:c r="W35" s="51" t="str">
        <x:v>57;69;84</x:v>
      </x:c>
      <x:c r="X35" s="51" t="str">
        <x:v>2026-07-27</x:v>
      </x:c>
    </x:row>
    <x:row r="36">
      <x:c r="A36" s="51" t="str">
        <x:v>AIG-015</x:v>
      </x:c>
      <x:c r="B36" s="51" t="str">
        <x:v>AI political governance</x:v>
      </x:c>
      <x:c r="C36" s="51" t="str">
        <x:v>ACT-MARKZUCKERBERG</x:v>
      </x:c>
      <x:c r="D36" s="51" t="str">
        <x:v>Mark Zuckerberg</x:v>
      </x:c>
      <x:c r="E36" s="51" t="str">
        <x:v>ACT-PRESIDENTSCOUNCILOFADVIS</x:v>
      </x:c>
      <x:c r="F36" s="51" t="str">
        <x:v>President's Council of Advisors on Science and Technology</x:v>
      </x:c>
      <x:c r="G36" s="51" t="str">
        <x:v>Person → advisory council</x:v>
      </x:c>
      <x:c r="H36" s="51" t="str">
        <x:v>2026–present</x:v>
      </x:c>
      <x:c r="I36" s="51" t="str">
        <x:v>Presidential appointment</x:v>
      </x:c>
      <x:c r="J36" s="51" t="str"/>
      <x:c r="K36" s="51" t="str">
        <x:v>Council membership</x:v>
      </x:c>
      <x:c r="L36" s="51" t="str">
        <x:v>Private technical, corporate or investment expertise</x:v>
      </x:c>
      <x:c r="M36" s="51" t="str">
        <x:v>Formal access to presidential science/technology advice</x:v>
      </x:c>
      <x:c r="N36" s="51" t="str">
        <x:v>Appointment converts private expertise and network position into a public policy-advisory channel</x:v>
      </x:c>
      <x:c r="O36" s="51" t="str">
        <x:v>Relational; institutional; informational</x:v>
      </x:c>
      <x:c r="P36" s="51" t="str">
        <x:v>E1</x:v>
      </x:c>
      <x:c r="Q36" s="51" t="str">
        <x:v>Very high</x:v>
      </x:c>
      <x:c r="R36" s="51" t="str">
        <x:v>SRC-078</x:v>
      </x:c>
      <x:c r="S36" s="51" t="str">
        <x:v>Mark Zuckerberg was officially appointed to PCAST.</x:v>
      </x:c>
      <x:c r="T36" s="51" t="str">
        <x:v>Control over presidential decisions, agreement with every other member, or a private-company mandate.</x:v>
      </x:c>
      <x:c r="U36" s="51" t="str">
        <x:v>Advisory authority is influential but not equivalent to statutory or executive power.</x:v>
      </x:c>
      <x:c r="V36" s="51" t="str">
        <x:v>Active</x:v>
      </x:c>
      <x:c r="W36" s="51" t="str">
        <x:v>57;69;84</x:v>
      </x:c>
      <x:c r="X36" s="51" t="str">
        <x:v>2026-07-27</x:v>
      </x:c>
    </x:row>
    <x:row r="37">
      <x:c r="A37" s="51" t="str">
        <x:v>AIG-016</x:v>
      </x:c>
      <x:c r="B37" s="51" t="str">
        <x:v>AI political governance</x:v>
      </x:c>
      <x:c r="C37" s="51" t="str">
        <x:v>ACT-DONALDTRUMP</x:v>
      </x:c>
      <x:c r="D37" s="51" t="str">
        <x:v>Donald Trump</x:v>
      </x:c>
      <x:c r="E37" s="51" t="str">
        <x:v>ACT-PRESIDENTSCOUNCILOFADVIS</x:v>
      </x:c>
      <x:c r="F37" s="51" t="str">
        <x:v>President's Council of Advisors on Science and Technology</x:v>
      </x:c>
      <x:c r="G37" s="51" t="str">
        <x:v>President → council</x:v>
      </x:c>
      <x:c r="H37" s="51" t="str">
        <x:v>2026–present</x:v>
      </x:c>
      <x:c r="I37" s="51" t="str">
        <x:v>Appointment and advisory relationship</x:v>
      </x:c>
      <x:c r="J37" s="51" t="str"/>
      <x:c r="K37" s="51" t="str">
        <x:v>Federal advisory authority</x:v>
      </x:c>
      <x:c r="L37" s="51" t="str">
        <x:v>Presidential appointment power</x:v>
      </x:c>
      <x:c r="M37" s="51" t="str">
        <x:v>Technology-policy advice and elite access</x:v>
      </x:c>
      <x:c r="N37" s="51" t="str">
        <x:v>The executive selects which private experts receive privileged advisory access</x:v>
      </x:c>
      <x:c r="O37" s="51" t="str">
        <x:v>Institutional; relational; narrative</x:v>
      </x:c>
      <x:c r="P37" s="51" t="str">
        <x:v>E1</x:v>
      </x:c>
      <x:c r="Q37" s="51" t="str">
        <x:v>Very high</x:v>
      </x:c>
      <x:c r="R37" s="51" t="str">
        <x:v>SRC-078; SRC-586</x:v>
      </x:c>
      <x:c r="S37" s="51" t="str">
        <x:v>The president formally appointed the initial PCAST members announced on March 25, 2026.</x:v>
      </x:c>
      <x:c r="T37" s="51" t="str">
        <x:v>That PCAST dictates policy or that membership proves a quid pro quo.</x:v>
      </x:c>
      <x:c r="U37" s="51" t="str">
        <x:v>Advice competes with agencies, Congress, courts and other interests.</x:v>
      </x:c>
      <x:c r="V37" s="51" t="str">
        <x:v>Active</x:v>
      </x:c>
      <x:c r="W37" s="51" t="str">
        <x:v>10;57;84</x:v>
      </x:c>
      <x:c r="X37" s="51" t="str">
        <x:v>2026-07-27</x:v>
      </x:c>
    </x:row>
    <x:row r="38">
      <x:c r="A38" s="51" t="str">
        <x:v>AIG-017</x:v>
      </x:c>
      <x:c r="B38" s="51" t="str">
        <x:v>AI political governance</x:v>
      </x:c>
      <x:c r="C38" s="51" t="str">
        <x:v>ACT-DONALDTRUMP</x:v>
      </x:c>
      <x:c r="D38" s="51" t="str">
        <x:v>Donald Trump</x:v>
      </x:c>
      <x:c r="E38" s="51" t="str">
        <x:v>ACT-DAVIDSACKS</x:v>
      </x:c>
      <x:c r="F38" s="51" t="str">
        <x:v>David Sacks</x:v>
      </x:c>
      <x:c r="G38" s="51" t="str">
        <x:v>President → adviser</x:v>
      </x:c>
      <x:c r="H38" s="51" t="str">
        <x:v>2024–2026</x:v>
      </x:c>
      <x:c r="I38" s="51" t="str">
        <x:v>AI and crypto czar appointment</x:v>
      </x:c>
      <x:c r="J38" s="51" t="str"/>
      <x:c r="K38" s="51" t="str">
        <x:v>Special-government-employee role</x:v>
      </x:c>
      <x:c r="L38" s="51" t="str">
        <x:v>Private venture and political network</x:v>
      </x:c>
      <x:c r="M38" s="51" t="str">
        <x:v>Executive policy access</x:v>
      </x:c>
      <x:c r="N38" s="51" t="str">
        <x:v>A private investor is converted into a temporary high-level technology-policy authority</x:v>
      </x:c>
      <x:c r="O38" s="51" t="str">
        <x:v>Institutional; relational; financial</x:v>
      </x:c>
      <x:c r="P38" s="51" t="str">
        <x:v>E1</x:v>
      </x:c>
      <x:c r="Q38" s="51" t="str">
        <x:v>Very high</x:v>
      </x:c>
      <x:c r="R38" s="51" t="str">
        <x:v>SRC-088; SRC-089</x:v>
      </x:c>
      <x:c r="S38" s="51" t="str">
        <x:v>Trump appointed Sacks; Sacks later stepped down from the special-government-employee role.</x:v>
      </x:c>
      <x:c r="T38" s="51" t="str">
        <x:v>That Sacks retained all prior economic interests, dictated every AI/crypto policy, or remains in the same role.</x:v>
      </x:c>
      <x:c r="U38" s="51" t="str">
        <x:v>Conflict controls and divestment require instrument-level review.</x:v>
      </x:c>
      <x:c r="V38" s="51" t="str">
        <x:v>Historical / advisory influence may continue</x:v>
      </x:c>
      <x:c r="W38" s="51" t="str">
        <x:v>57;84</x:v>
      </x:c>
      <x:c r="X38" s="51" t="str">
        <x:v>2026-07-27</x:v>
      </x:c>
    </x:row>
    <x:row r="39">
      <x:c r="A39" s="51" t="str">
        <x:v>AIG-018</x:v>
      </x:c>
      <x:c r="B39" s="51" t="str">
        <x:v>AI political governance</x:v>
      </x:c>
      <x:c r="C39" s="51" t="str">
        <x:v>ACT-JDVANCE</x:v>
      </x:c>
      <x:c r="D39" s="51" t="str">
        <x:v>JD Vance</x:v>
      </x:c>
      <x:c r="E39" s="51" t="str">
        <x:v>ACT-ROCKBRIDGENETWORK</x:v>
      </x:c>
      <x:c r="F39" s="51" t="str">
        <x:v>Rockbridge Network</x:v>
      </x:c>
      <x:c r="G39" s="51" t="str">
        <x:v>Person → donor network</x:v>
      </x:c>
      <x:c r="H39" s="51" t="str">
        <x:v>2020s</x:v>
      </x:c>
      <x:c r="I39" s="51" t="str">
        <x:v>Co-founder / political-network relationship</x:v>
      </x:c>
      <x:c r="J39" s="51" t="str"/>
      <x:c r="K39" s="51" t="str">
        <x:v>Political-network scale</x:v>
      </x:c>
      <x:c r="L39" s="51" t="str">
        <x:v>Political entrepreneurship and donor access</x:v>
      </x:c>
      <x:c r="M39" s="51" t="str">
        <x:v>Candidate support, staffing and policy infrastructure</x:v>
      </x:c>
      <x:c r="N39" s="51" t="str">
        <x:v>A political figure converts elite donor capital into durable organisational capacity</x:v>
      </x:c>
      <x:c r="O39" s="51" t="str">
        <x:v>Relational; financial; narrative</x:v>
      </x:c>
      <x:c r="P39" s="51" t="str">
        <x:v>E2</x:v>
      </x:c>
      <x:c r="Q39" s="51" t="str">
        <x:v>High</x:v>
      </x:c>
      <x:c r="R39" s="51" t="str">
        <x:v>SRC-090</x:v>
      </x:c>
      <x:c r="S39" s="51" t="str">
        <x:v>Reuters identified Vance as a Rockbridge co-founder.</x:v>
      </x:c>
      <x:c r="T39" s="51" t="str">
        <x:v>That every donor controls Vance or that the network has one ideology on every issue.</x:v>
      </x:c>
      <x:c r="U39" s="51" t="str">
        <x:v>Donor networks contain competing priorities and informal influence.</x:v>
      </x:c>
      <x:c r="V39" s="51" t="str">
        <x:v>Active / historical founding</x:v>
      </x:c>
      <x:c r="W39" s="51" t="str">
        <x:v>52;57</x:v>
      </x:c>
      <x:c r="X39" s="51" t="str">
        <x:v>2026-07-27</x:v>
      </x:c>
    </x:row>
    <x:row r="40">
      <x:c r="A40" s="51" t="str">
        <x:v>AIG-019</x:v>
      </x:c>
      <x:c r="B40" s="51" t="str">
        <x:v>AI political governance</x:v>
      </x:c>
      <x:c r="C40" s="51" t="str">
        <x:v>ACT-PETERTHIEL</x:v>
      </x:c>
      <x:c r="D40" s="51" t="str">
        <x:v>Peter Thiel</x:v>
      </x:c>
      <x:c r="E40" s="51" t="str">
        <x:v>ACT-ROCKBRIDGENETWORK</x:v>
      </x:c>
      <x:c r="F40" s="51" t="str">
        <x:v>Rockbridge Network</x:v>
      </x:c>
      <x:c r="G40" s="51" t="str">
        <x:v>Donor → network</x:v>
      </x:c>
      <x:c r="H40" s="51" t="str">
        <x:v>2020s</x:v>
      </x:c>
      <x:c r="I40" s="51" t="str">
        <x:v>Financial backing / elite network support</x:v>
      </x:c>
      <x:c r="J40" s="51" t="str"/>
      <x:c r="K40" s="51" t="str">
        <x:v>Substantial but exact amount varies</x:v>
      </x:c>
      <x:c r="L40" s="51" t="str">
        <x:v>Technology wealth and ideology</x:v>
      </x:c>
      <x:c r="M40" s="51" t="str">
        <x:v>Political candidates, staff and policy ecosystem</x:v>
      </x:c>
      <x:c r="N40" s="51" t="str">
        <x:v>Technology capital is converted into political organisation</x:v>
      </x:c>
      <x:c r="O40" s="51" t="str">
        <x:v>Financial; relational; narrative</x:v>
      </x:c>
      <x:c r="P40" s="51" t="str">
        <x:v>E2</x:v>
      </x:c>
      <x:c r="Q40" s="51" t="str">
        <x:v>High</x:v>
      </x:c>
      <x:c r="R40" s="51" t="str">
        <x:v>SRC-090</x:v>
      </x:c>
      <x:c r="S40" s="51" t="str">
        <x:v>Reuters identified Thiel as a key backer.</x:v>
      </x:c>
      <x:c r="T40" s="51" t="str">
        <x:v>Thiel's control of every network decision or all Trump-administration policy.</x:v>
      </x:c>
      <x:c r="U40" s="51" t="str">
        <x:v>Other donors and operators have independent agency.</x:v>
      </x:c>
      <x:c r="V40" s="51" t="str">
        <x:v>Active</x:v>
      </x:c>
      <x:c r="W40" s="51" t="str">
        <x:v>52;57</x:v>
      </x:c>
      <x:c r="X40" s="51" t="str">
        <x:v>2026-07-27</x:v>
      </x:c>
    </x:row>
    <x:row r="41">
      <x:c r="A41" s="51" t="str">
        <x:v>AIG-020</x:v>
      </x:c>
      <x:c r="B41" s="51" t="str">
        <x:v>AI political governance</x:v>
      </x:c>
      <x:c r="C41" s="51" t="str">
        <x:v>ACT-ELONMUSK</x:v>
      </x:c>
      <x:c r="D41" s="51" t="str">
        <x:v>Elon Musk</x:v>
      </x:c>
      <x:c r="E41" s="51" t="str">
        <x:v>ACT-DONALDTRUMP</x:v>
      </x:c>
      <x:c r="F41" s="51" t="str">
        <x:v>Donald Trump</x:v>
      </x:c>
      <x:c r="G41" s="51" t="str">
        <x:v>Donor/ally → candidate and president</x:v>
      </x:c>
      <x:c r="H41" s="51" t="str">
        <x:v>2024–2025</x:v>
      </x:c>
      <x:c r="I41" s="51" t="str">
        <x:v>Campaign support, advisory role and later conflict</x:v>
      </x:c>
      <x:c r="J41" s="51" t="str"/>
      <x:c r="K41" s="51" t="str">
        <x:v>More than $250 million campaign support reported in prior Reuters coverage</x:v>
      </x:c>
      <x:c r="L41" s="51" t="str">
        <x:v>Political spending, platform reach and corporate capacity</x:v>
      </x:c>
      <x:c r="M41" s="51" t="str">
        <x:v>Access, temporary governmental role and policy influence</x:v>
      </x:c>
      <x:c r="N41" s="51" t="str">
        <x:v>Technology wealth and communication infrastructure are converted into electoral and administrative access</x:v>
      </x:c>
      <x:c r="O41" s="51" t="str">
        <x:v>Financial; relational; narrative; institutional</x:v>
      </x:c>
      <x:c r="P41" s="51" t="str">
        <x:v>E2</x:v>
      </x:c>
      <x:c r="Q41" s="51" t="str">
        <x:v>High</x:v>
      </x:c>
      <x:c r="R41" s="51" t="str">
        <x:v>SRC-091; SRC-092</x:v>
      </x:c>
      <x:c r="S41" s="51" t="str">
        <x:v>Musk was a major Trump supporter and later held a government-efficiency role before a public rupture.</x:v>
      </x:c>
      <x:c r="T41" s="51" t="str">
        <x:v>A stable alliance, control over Trump, or permanent protection of Musk's companies.</x:v>
      </x:c>
      <x:c r="U41" s="51" t="str">
        <x:v>The later feud demonstrates coalition instability and state leverage over contractors.</x:v>
      </x:c>
      <x:c r="V41" s="51" t="str">
        <x:v>Historical / relationship changed</x:v>
      </x:c>
      <x:c r="W41" s="51" t="str">
        <x:v>57;84</x:v>
      </x:c>
      <x:c r="X41" s="51" t="str">
        <x:v>2026-07-27</x:v>
      </x:c>
    </x:row>
    <x:row r="42">
      <x:c r="A42" s="51" t="str">
        <x:v>AIG-021</x:v>
      </x:c>
      <x:c r="B42" s="51" t="str">
        <x:v>AI political governance</x:v>
      </x:c>
      <x:c r="C42" s="51" t="str">
        <x:v>ACT-DONALDTRUMP</x:v>
      </x:c>
      <x:c r="D42" s="51" t="str">
        <x:v>Donald Trump</x:v>
      </x:c>
      <x:c r="E42" s="51" t="str">
        <x:v>ACT-SPACEX</x:v>
      </x:c>
      <x:c r="F42" s="51" t="str">
        <x:v>SpaceX</x:v>
      </x:c>
      <x:c r="G42" s="51" t="str">
        <x:v>President/state → contractor</x:v>
      </x:c>
      <x:c r="H42" s="51" t="str">
        <x:v>2025</x:v>
      </x:c>
      <x:c r="I42" s="51" t="str">
        <x:v>Threatened contract termination during political conflict</x:v>
      </x:c>
      <x:c r="J42" s="51" t="str"/>
      <x:c r="K42" s="51" t="str">
        <x:v>Billions in government relationships broadly</x:v>
      </x:c>
      <x:c r="L42" s="51" t="str">
        <x:v>Executive and procurement power</x:v>
      </x:c>
      <x:c r="M42" s="51" t="str">
        <x:v>Potential financial pressure on private technology company</x:v>
      </x:c>
      <x:c r="N42" s="51" t="str">
        <x:v>The state can use contracting dependence as leverage over politically active executives</x:v>
      </x:c>
      <x:c r="O42" s="51" t="str">
        <x:v>Financial; institutional; enforcement</x:v>
      </x:c>
      <x:c r="P42" s="51" t="str">
        <x:v>E2</x:v>
      </x:c>
      <x:c r="Q42" s="51" t="str">
        <x:v>High</x:v>
      </x:c>
      <x:c r="R42" s="51" t="str">
        <x:v>SRC-092</x:v>
      </x:c>
      <x:c r="S42" s="51" t="str">
        <x:v>Trump publicly threatened Musk's government contracts during their feud.</x:v>
      </x:c>
      <x:c r="T42" s="51" t="str">
        <x:v>Actual termination of all contracts or legality of using procurement for personal retaliation.</x:v>
      </x:c>
      <x:c r="U42" s="51" t="str">
        <x:v>Statements may be bargaining tactics and procurement is governed by law and agencies.</x:v>
      </x:c>
      <x:c r="V42" s="51" t="str">
        <x:v>Historical threat</x:v>
      </x:c>
      <x:c r="W42" s="51" t="str">
        <x:v>57;84</x:v>
      </x:c>
      <x:c r="X42" s="51" t="str">
        <x:v>2026-07-27</x:v>
      </x:c>
    </x:row>
    <x:row r="43">
      <x:c r="A43" s="51" t="str">
        <x:v>AM-001</x:v>
      </x:c>
      <x:c r="B43" s="51" t="str">
        <x:v>Asset management</x:v>
      </x:c>
      <x:c r="C43" s="51" t="str">
        <x:v>ACT-BLACKROCK</x:v>
      </x:c>
      <x:c r="D43" s="51" t="str">
        <x:v>BlackRock</x:v>
      </x:c>
      <x:c r="E43" s="51" t="str">
        <x:v>ACT-CITIZENSANDLABOUR</x:v>
      </x:c>
      <x:c r="F43" s="51" t="str">
        <x:v>Citizens and labour</x:v>
      </x:c>
      <x:c r="G43" s="51" t="str">
        <x:v>Manager → beneficiaries</x:v>
      </x:c>
      <x:c r="H43" s="51" t="str">
        <x:v>Ongoing</x:v>
      </x:c>
      <x:c r="I43" s="51" t="str">
        <x:v>Delegated asset management and stewardship</x:v>
      </x:c>
      <x:c r="J43" s="51" t="str">
        <x:v>INS-026</x:v>
      </x:c>
      <x:c r="K43" s="51" t="str">
        <x:v>Large pooled portfolios</x:v>
      </x:c>
      <x:c r="L43" s="51" t="str">
        <x:v>Savings and pension capital</x:v>
      </x:c>
      <x:c r="M43" s="51" t="str">
        <x:v>Portfolio allocation and voting</x:v>
      </x:c>
      <x:c r="N43" s="51" t="str">
        <x:v>Fund structures delegate implementation and often voting to managers</x:v>
      </x:c>
      <x:c r="O43" s="51" t="str">
        <x:v>Financial; ownership; relational</x:v>
      </x:c>
      <x:c r="P43" s="51" t="str">
        <x:v>E1</x:v>
      </x:c>
      <x:c r="Q43" s="51" t="str">
        <x:v>Very high</x:v>
      </x:c>
      <x:c r="R43" s="51" t="str">
        <x:v>SRC-010; SRC-011</x:v>
      </x:c>
      <x:c r="S43" s="51" t="str">
        <x:v>The manager performs disclosed investment and stewardship functions.</x:v>
      </x:c>
      <x:c r="T43" s="51" t="str">
        <x:v>The manager beneficially owns all assets or can ignore fiduciary mandates.</x:v>
      </x:c>
      <x:c r="U43" s="51" t="str">
        <x:v>Legal structures and voting-choice coverage vary.</x:v>
      </x:c>
      <x:c r="V43" s="51" t="str">
        <x:v>Active</x:v>
      </x:c>
      <x:c r="W43" s="51" t="str">
        <x:v>57</x:v>
      </x:c>
      <x:c r="X43" s="51" t="str">
        <x:v>2026-07-27</x:v>
      </x:c>
    </x:row>
    <x:row r="44">
      <x:c r="A44" s="51" t="str">
        <x:v>AM-002</x:v>
      </x:c>
      <x:c r="B44" s="51" t="str">
        <x:v>Asset management</x:v>
      </x:c>
      <x:c r="C44" s="51" t="str">
        <x:v>ACT-VANGUARD</x:v>
      </x:c>
      <x:c r="D44" s="51" t="str">
        <x:v>Vanguard</x:v>
      </x:c>
      <x:c r="E44" s="51" t="str">
        <x:v>ACT-CITIZENSANDLABOUR</x:v>
      </x:c>
      <x:c r="F44" s="51" t="str">
        <x:v>Citizens and labour</x:v>
      </x:c>
      <x:c r="G44" s="51" t="str">
        <x:v>Manager → beneficiaries</x:v>
      </x:c>
      <x:c r="H44" s="51" t="str">
        <x:v>Ongoing</x:v>
      </x:c>
      <x:c r="I44" s="51" t="str">
        <x:v>Delegated asset management and stewardship</x:v>
      </x:c>
      <x:c r="J44" s="51" t="str">
        <x:v>INS-026</x:v>
      </x:c>
      <x:c r="K44" s="51" t="str">
        <x:v>Large pooled portfolios</x:v>
      </x:c>
      <x:c r="L44" s="51" t="str">
        <x:v>Savings and pension capital</x:v>
      </x:c>
      <x:c r="M44" s="51" t="str">
        <x:v>Portfolio allocation and voting</x:v>
      </x:c>
      <x:c r="N44" s="51" t="str">
        <x:v>Fund structures delegate implementation and often voting to managers</x:v>
      </x:c>
      <x:c r="O44" s="51" t="str">
        <x:v>Financial; ownership; relational</x:v>
      </x:c>
      <x:c r="P44" s="51" t="str">
        <x:v>E1</x:v>
      </x:c>
      <x:c r="Q44" s="51" t="str">
        <x:v>Very high</x:v>
      </x:c>
      <x:c r="R44" s="51" t="str">
        <x:v>SRC-012</x:v>
      </x:c>
      <x:c r="S44" s="51" t="str">
        <x:v>The manager performs disclosed investment and stewardship functions.</x:v>
      </x:c>
      <x:c r="T44" s="51" t="str">
        <x:v>The manager beneficially owns all assets or can ignore fiduciary mandates.</x:v>
      </x:c>
      <x:c r="U44" s="51" t="str">
        <x:v>Legal structures and voting-choice coverage vary.</x:v>
      </x:c>
      <x:c r="V44" s="51" t="str">
        <x:v>Active</x:v>
      </x:c>
      <x:c r="W44" s="51" t="str">
        <x:v>57</x:v>
      </x:c>
      <x:c r="X44" s="51" t="str">
        <x:v>2026-07-27</x:v>
      </x:c>
    </x:row>
    <x:row r="45">
      <x:c r="A45" s="51" t="str">
        <x:v>AM-003</x:v>
      </x:c>
      <x:c r="B45" s="51" t="str">
        <x:v>Asset management</x:v>
      </x:c>
      <x:c r="C45" s="51" t="str">
        <x:v>ACT-STATESTREETINVESTMENTMAN</x:v>
      </x:c>
      <x:c r="D45" s="51" t="str">
        <x:v>State Street Investment Management</x:v>
      </x:c>
      <x:c r="E45" s="51" t="str">
        <x:v>ACT-CITIZENSANDLABOUR</x:v>
      </x:c>
      <x:c r="F45" s="51" t="str">
        <x:v>Citizens and labour</x:v>
      </x:c>
      <x:c r="G45" s="51" t="str">
        <x:v>Manager → beneficiaries</x:v>
      </x:c>
      <x:c r="H45" s="51" t="str">
        <x:v>Ongoing</x:v>
      </x:c>
      <x:c r="I45" s="51" t="str">
        <x:v>Delegated asset management and stewardship</x:v>
      </x:c>
      <x:c r="J45" s="51" t="str">
        <x:v>INS-026</x:v>
      </x:c>
      <x:c r="K45" s="51" t="str">
        <x:v>Large pooled portfolios</x:v>
      </x:c>
      <x:c r="L45" s="51" t="str">
        <x:v>Savings and pension capital</x:v>
      </x:c>
      <x:c r="M45" s="51" t="str">
        <x:v>Portfolio allocation and voting</x:v>
      </x:c>
      <x:c r="N45" s="51" t="str">
        <x:v>Fund structures delegate implementation and often voting to managers</x:v>
      </x:c>
      <x:c r="O45" s="51" t="str">
        <x:v>Financial; ownership; relational</x:v>
      </x:c>
      <x:c r="P45" s="51" t="str">
        <x:v>E1</x:v>
      </x:c>
      <x:c r="Q45" s="51" t="str">
        <x:v>Very high</x:v>
      </x:c>
      <x:c r="R45" s="51" t="str">
        <x:v>SRC-013</x:v>
      </x:c>
      <x:c r="S45" s="51" t="str">
        <x:v>The manager performs disclosed investment and stewardship functions.</x:v>
      </x:c>
      <x:c r="T45" s="51" t="str">
        <x:v>The manager beneficially owns all assets or can ignore fiduciary mandates.</x:v>
      </x:c>
      <x:c r="U45" s="51" t="str">
        <x:v>Legal structures and voting-choice coverage vary.</x:v>
      </x:c>
      <x:c r="V45" s="51" t="str">
        <x:v>Active</x:v>
      </x:c>
      <x:c r="W45" s="51" t="str">
        <x:v>57</x:v>
      </x:c>
      <x:c r="X45" s="51" t="str">
        <x:v>2026-07-27</x:v>
      </x:c>
    </x:row>
    <x:row r="46">
      <x:c r="A46" s="51" t="str">
        <x:v>AM-004</x:v>
      </x:c>
      <x:c r="B46" s="51" t="str">
        <x:v>Asset management</x:v>
      </x:c>
      <x:c r="C46" s="51" t="str">
        <x:v>ACT-BLACKROCK</x:v>
      </x:c>
      <x:c r="D46" s="51" t="str">
        <x:v>BlackRock</x:v>
      </x:c>
      <x:c r="E46" s="51" t="str">
        <x:v>ACT-GOVERNINGINSTITUTIONALNE</x:v>
      </x:c>
      <x:c r="F46" s="51" t="str">
        <x:v>Governing institutional networks</x:v>
      </x:c>
      <x:c r="G46" s="51" t="str">
        <x:v>Manager → portfolio companies</x:v>
      </x:c>
      <x:c r="H46" s="51" t="str">
        <x:v>Ongoing</x:v>
      </x:c>
      <x:c r="I46" s="51" t="str">
        <x:v>Proxy voting and engagement</x:v>
      </x:c>
      <x:c r="J46" s="51" t="str">
        <x:v>INS-026</x:v>
      </x:c>
      <x:c r="K46" s="51" t="str">
        <x:v>Portfolio-wide</x:v>
      </x:c>
      <x:c r="L46" s="51" t="str">
        <x:v>Delegated voting rights</x:v>
      </x:c>
      <x:c r="M46" s="51" t="str">
        <x:v>Votes, engagement and board access</x:v>
      </x:c>
      <x:c r="N46" s="51" t="str">
        <x:v>Index holdings create recurring corporate-governance interfaces</x:v>
      </x:c>
      <x:c r="O46" s="51" t="str">
        <x:v>Ownership; relational; institutional</x:v>
      </x:c>
      <x:c r="P46" s="51" t="str">
        <x:v>E1</x:v>
      </x:c>
      <x:c r="Q46" s="51" t="str">
        <x:v>Very high</x:v>
      </x:c>
      <x:c r="R46" s="51" t="str">
        <x:v>SRC-010</x:v>
      </x:c>
      <x:c r="S46" s="51" t="str">
        <x:v>The manager/stewardship teams vote and engage under disclosed policies.</x:v>
      </x:c>
      <x:c r="T46" s="51" t="str">
        <x:v>Personal ownership, guaranteed board control, or identical voting in every fund.</x:v>
      </x:c>
      <x:c r="U46" s="51" t="str">
        <x:v>Client direction is expanding.</x:v>
      </x:c>
      <x:c r="V46" s="51" t="str">
        <x:v>Active</x:v>
      </x:c>
      <x:c r="W46" s="51" t="str">
        <x:v>57</x:v>
      </x:c>
      <x:c r="X46" s="51" t="str">
        <x:v>2026-07-27</x:v>
      </x:c>
    </x:row>
    <x:row r="47">
      <x:c r="A47" s="51" t="str">
        <x:v>AM-005</x:v>
      </x:c>
      <x:c r="B47" s="51" t="str">
        <x:v>Asset management</x:v>
      </x:c>
      <x:c r="C47" s="51" t="str">
        <x:v>ACT-VANGUARD</x:v>
      </x:c>
      <x:c r="D47" s="51" t="str">
        <x:v>Vanguard</x:v>
      </x:c>
      <x:c r="E47" s="51" t="str">
        <x:v>ACT-GOVERNINGINSTITUTIONALNE</x:v>
      </x:c>
      <x:c r="F47" s="51" t="str">
        <x:v>Governing institutional networks</x:v>
      </x:c>
      <x:c r="G47" s="51" t="str">
        <x:v>Manager → portfolio companies</x:v>
      </x:c>
      <x:c r="H47" s="51" t="str">
        <x:v>Ongoing</x:v>
      </x:c>
      <x:c r="I47" s="51" t="str">
        <x:v>Proxy voting and engagement</x:v>
      </x:c>
      <x:c r="J47" s="51" t="str">
        <x:v>INS-026</x:v>
      </x:c>
      <x:c r="K47" s="51" t="str">
        <x:v>Portfolio-wide</x:v>
      </x:c>
      <x:c r="L47" s="51" t="str">
        <x:v>Delegated voting rights</x:v>
      </x:c>
      <x:c r="M47" s="51" t="str">
        <x:v>Votes, engagement and board access</x:v>
      </x:c>
      <x:c r="N47" s="51" t="str">
        <x:v>Index holdings create recurring corporate-governance interfaces</x:v>
      </x:c>
      <x:c r="O47" s="51" t="str">
        <x:v>Ownership; relational; institutional</x:v>
      </x:c>
      <x:c r="P47" s="51" t="str">
        <x:v>E1</x:v>
      </x:c>
      <x:c r="Q47" s="51" t="str">
        <x:v>Very high</x:v>
      </x:c>
      <x:c r="R47" s="51" t="str">
        <x:v>SRC-012</x:v>
      </x:c>
      <x:c r="S47" s="51" t="str">
        <x:v>The manager/stewardship teams vote and engage under disclosed policies.</x:v>
      </x:c>
      <x:c r="T47" s="51" t="str">
        <x:v>Personal ownership, guaranteed board control, or identical voting in every fund.</x:v>
      </x:c>
      <x:c r="U47" s="51" t="str">
        <x:v>Client direction is expanding.</x:v>
      </x:c>
      <x:c r="V47" s="51" t="str">
        <x:v>Active</x:v>
      </x:c>
      <x:c r="W47" s="51" t="str">
        <x:v>57</x:v>
      </x:c>
      <x:c r="X47" s="51" t="str">
        <x:v>2026-07-27</x:v>
      </x:c>
    </x:row>
    <x:row r="48">
      <x:c r="A48" s="51" t="str">
        <x:v>AM-006</x:v>
      </x:c>
      <x:c r="B48" s="51" t="str">
        <x:v>Asset management</x:v>
      </x:c>
      <x:c r="C48" s="51" t="str">
        <x:v>ACT-STATESTREETINVESTMENTMAN</x:v>
      </x:c>
      <x:c r="D48" s="51" t="str">
        <x:v>State Street Investment Management</x:v>
      </x:c>
      <x:c r="E48" s="51" t="str">
        <x:v>ACT-GOVERNINGINSTITUTIONALNE</x:v>
      </x:c>
      <x:c r="F48" s="51" t="str">
        <x:v>Governing institutional networks</x:v>
      </x:c>
      <x:c r="G48" s="51" t="str">
        <x:v>Manager → portfolio companies</x:v>
      </x:c>
      <x:c r="H48" s="51" t="str">
        <x:v>Ongoing</x:v>
      </x:c>
      <x:c r="I48" s="51" t="str">
        <x:v>Proxy voting and engagement</x:v>
      </x:c>
      <x:c r="J48" s="51" t="str">
        <x:v>INS-026</x:v>
      </x:c>
      <x:c r="K48" s="51" t="str">
        <x:v>Portfolio-wide</x:v>
      </x:c>
      <x:c r="L48" s="51" t="str">
        <x:v>Delegated voting rights</x:v>
      </x:c>
      <x:c r="M48" s="51" t="str">
        <x:v>Votes, engagement and board access</x:v>
      </x:c>
      <x:c r="N48" s="51" t="str">
        <x:v>Index holdings create recurring corporate-governance interfaces</x:v>
      </x:c>
      <x:c r="O48" s="51" t="str">
        <x:v>Ownership; relational; institutional</x:v>
      </x:c>
      <x:c r="P48" s="51" t="str">
        <x:v>E1</x:v>
      </x:c>
      <x:c r="Q48" s="51" t="str">
        <x:v>Very high</x:v>
      </x:c>
      <x:c r="R48" s="51" t="str">
        <x:v>SRC-013</x:v>
      </x:c>
      <x:c r="S48" s="51" t="str">
        <x:v>The manager/stewardship teams vote and engage under disclosed policies.</x:v>
      </x:c>
      <x:c r="T48" s="51" t="str">
        <x:v>Personal ownership, guaranteed board control, or identical voting in every fund.</x:v>
      </x:c>
      <x:c r="U48" s="51" t="str">
        <x:v>Client direction is expanding.</x:v>
      </x:c>
      <x:c r="V48" s="51" t="str">
        <x:v>Active</x:v>
      </x:c>
      <x:c r="W48" s="51" t="str">
        <x:v>57</x:v>
      </x:c>
      <x:c r="X48" s="51" t="str">
        <x:v>2026-07-27</x:v>
      </x:c>
    </x:row>
    <x:row r="49">
      <x:c r="A49" s="51" t="str">
        <x:v>AM-007</x:v>
      </x:c>
      <x:c r="B49" s="51" t="str">
        <x:v>Asset management</x:v>
      </x:c>
      <x:c r="C49" s="51" t="str">
        <x:v>ACT-BLACKROCK</x:v>
      </x:c>
      <x:c r="D49" s="51" t="str">
        <x:v>BlackRock</x:v>
      </x:c>
      <x:c r="E49" s="51" t="str">
        <x:v>ACT-ALADDIN</x:v>
      </x:c>
      <x:c r="F49" s="51" t="str">
        <x:v>Aladdin</x:v>
      </x:c>
      <x:c r="G49" s="51" t="str">
        <x:v>A → B</x:v>
      </x:c>
      <x:c r="H49" s="51" t="str">
        <x:v>Ongoing</x:v>
      </x:c>
      <x:c r="I49" s="51" t="str">
        <x:v>Ownership and operation</x:v>
      </x:c>
      <x:c r="J49" s="51" t="str">
        <x:v>INS-004</x:v>
      </x:c>
      <x:c r="K49" s="51" t="str">
        <x:v>Platform business</x:v>
      </x:c>
      <x:c r="L49" s="51" t="str">
        <x:v>BlackRock technology and models</x:v>
      </x:c>
      <x:c r="M49" s="51" t="str">
        <x:v>Institutional risk/portfolio platform</x:v>
      </x:c>
      <x:c r="N49" s="51" t="str">
        <x:v>A financial institution converts analytics into a widely used decision interface</x:v>
      </x:c>
      <x:c r="O49" s="51" t="str">
        <x:v>Informational; financial</x:v>
      </x:c>
      <x:c r="P49" s="51" t="str">
        <x:v>E1</x:v>
      </x:c>
      <x:c r="Q49" s="51" t="str">
        <x:v>Very high</x:v>
      </x:c>
      <x:c r="R49" s="51" t="str">
        <x:v>SRC-009</x:v>
      </x:c>
      <x:c r="S49" s="51" t="str">
        <x:v>BlackRock owns and operates Aladdin.</x:v>
      </x:c>
      <x:c r="T49" s="51" t="str">
        <x:v>Aladdin makes final decisions for all users.</x:v>
      </x:c>
      <x:c r="U49" s="51" t="str">
        <x:v>Clients remain responsible and can customise workflows.</x:v>
      </x:c>
      <x:c r="V49" s="51" t="str">
        <x:v>Active</x:v>
      </x:c>
      <x:c r="W49" s="51" t="str">
        <x:v>57</x:v>
      </x:c>
      <x:c r="X49" s="51" t="str">
        <x:v>2026-07-27</x:v>
      </x:c>
    </x:row>
    <x:row r="50">
      <x:c r="A50" s="51" t="str">
        <x:v>AM-008</x:v>
      </x:c>
      <x:c r="B50" s="51" t="str">
        <x:v>Asset management</x:v>
      </x:c>
      <x:c r="C50" s="51" t="str">
        <x:v>ACT-ALADDIN</x:v>
      </x:c>
      <x:c r="D50" s="51" t="str">
        <x:v>Aladdin</x:v>
      </x:c>
      <x:c r="E50" s="51" t="str">
        <x:v>ACT-GOVERNINGINSTITUTIONALNE</x:v>
      </x:c>
      <x:c r="F50" s="51" t="str">
        <x:v>Governing institutional networks</x:v>
      </x:c>
      <x:c r="G50" s="51" t="str">
        <x:v>Platform → institutional users</x:v>
      </x:c>
      <x:c r="H50" s="51" t="str">
        <x:v>Ongoing</x:v>
      </x:c>
      <x:c r="I50" s="51" t="str">
        <x:v>Technology service</x:v>
      </x:c>
      <x:c r="J50" s="51" t="str">
        <x:v>INS-004</x:v>
      </x:c>
      <x:c r="K50" s="51" t="str">
        <x:v>Multiple institutions</x:v>
      </x:c>
      <x:c r="L50" s="51" t="str">
        <x:v>Portfolio data and scenarios</x:v>
      </x:c>
      <x:c r="M50" s="51" t="str">
        <x:v>Common risk representation</x:v>
      </x:c>
      <x:c r="N50" s="51" t="str">
        <x:v>Shared models shape which risks and options become salient</x:v>
      </x:c>
      <x:c r="O50" s="51" t="str">
        <x:v>Informational; adaptive</x:v>
      </x:c>
      <x:c r="P50" s="51" t="str">
        <x:v>S1</x:v>
      </x:c>
      <x:c r="Q50" s="51" t="str">
        <x:v>High</x:v>
      </x:c>
      <x:c r="R50" s="51" t="str">
        <x:v>SRC-009</x:v>
      </x:c>
      <x:c r="S50" s="51" t="str">
        <x:v>Institutions use BlackRock-developed risk/portfolio technology.</x:v>
      </x:c>
      <x:c r="T50" s="51" t="str">
        <x:v>BlackRock commands client assets or decisions.</x:v>
      </x:c>
      <x:c r="U50" s="51" t="str">
        <x:v>Standardisation can improve control while also concentrating model risk.</x:v>
      </x:c>
      <x:c r="V50" s="51" t="str">
        <x:v>Active</x:v>
      </x:c>
      <x:c r="W50" s="51" t="str">
        <x:v>57</x:v>
      </x:c>
      <x:c r="X50" s="51" t="str">
        <x:v>2026-07-27</x:v>
      </x:c>
    </x:row>
    <x:row r="51">
      <x:c r="A51" s="51" t="str">
        <x:v>AM-009</x:v>
      </x:c>
      <x:c r="B51" s="51" t="str">
        <x:v>Asset management</x:v>
      </x:c>
      <x:c r="C51" s="51" t="str">
        <x:v>ACT-BLACKROCK</x:v>
      </x:c>
      <x:c r="D51" s="51" t="str">
        <x:v>BlackRock</x:v>
      </x:c>
      <x:c r="E51" s="51" t="str">
        <x:v>ACT-CITIZENSANDLABOUR</x:v>
      </x:c>
      <x:c r="F51" s="51" t="str">
        <x:v>Citizens and labour</x:v>
      </x:c>
      <x:c r="G51" s="51" t="str">
        <x:v>Manager → eligible investors</x:v>
      </x:c>
      <x:c r="H51" s="51" t="str">
        <x:v>Ongoing 2026</x:v>
      </x:c>
      <x:c r="I51" s="51" t="str">
        <x:v>Voting Choice</x:v>
      </x:c>
      <x:c r="J51" s="51" t="str">
        <x:v>INS-026</x:v>
      </x:c>
      <x:c r="K51" s="51" t="str">
        <x:v>Eligible assets/accounts</x:v>
      </x:c>
      <x:c r="L51" s="51" t="str">
        <x:v>Investor preferences</x:v>
      </x:c>
      <x:c r="M51" s="51" t="str">
        <x:v>Partial direction over proxy voting</x:v>
      </x:c>
      <x:c r="N51" s="51" t="str">
        <x:v>Pass-through/policy-choice mechanisms partially return governance direction to beneficiaries</x:v>
      </x:c>
      <x:c r="O51" s="51" t="str">
        <x:v>Ownership; institutional</x:v>
      </x:c>
      <x:c r="P51" s="51" t="str">
        <x:v>E1</x:v>
      </x:c>
      <x:c r="Q51" s="51" t="str">
        <x:v>Very high</x:v>
      </x:c>
      <x:c r="R51" s="51" t="str">
        <x:v>SRC-011</x:v>
      </x:c>
      <x:c r="S51" s="51" t="str">
        <x:v>Voting Choice arrangements exist for eligible clients/investors.</x:v>
      </x:c>
      <x:c r="T51" s="51" t="str">
        <x:v>Universal direct voting on every resolution by every beneficiary.</x:v>
      </x:c>
      <x:c r="U51" s="51" t="str">
        <x:v>Eligibility and menu design limit decentralisation.</x:v>
      </x:c>
      <x:c r="V51" s="51" t="str">
        <x:v>Active</x:v>
      </x:c>
      <x:c r="W51" s="51" t="str">
        <x:v>57;80</x:v>
      </x:c>
      <x:c r="X51" s="51" t="str">
        <x:v>2026-07-27</x:v>
      </x:c>
    </x:row>
    <x:row r="52">
      <x:c r="A52" s="51" t="str">
        <x:v>AM-010</x:v>
      </x:c>
      <x:c r="B52" s="51" t="str">
        <x:v>Asset management</x:v>
      </x:c>
      <x:c r="C52" s="51" t="str">
        <x:v>ACT-VANGUARD</x:v>
      </x:c>
      <x:c r="D52" s="51" t="str">
        <x:v>Vanguard</x:v>
      </x:c>
      <x:c r="E52" s="51" t="str">
        <x:v>ACT-CITIZENSANDLABOUR</x:v>
      </x:c>
      <x:c r="F52" s="51" t="str">
        <x:v>Citizens and labour</x:v>
      </x:c>
      <x:c r="G52" s="51" t="str">
        <x:v>Manager → eligible investors</x:v>
      </x:c>
      <x:c r="H52" s="51" t="str">
        <x:v>Ongoing 2026</x:v>
      </x:c>
      <x:c r="I52" s="51" t="str">
        <x:v>Investor Choice</x:v>
      </x:c>
      <x:c r="J52" s="51" t="str">
        <x:v>INS-026</x:v>
      </x:c>
      <x:c r="K52" s="51" t="str">
        <x:v>Eligible assets/accounts</x:v>
      </x:c>
      <x:c r="L52" s="51" t="str">
        <x:v>Investor preferences</x:v>
      </x:c>
      <x:c r="M52" s="51" t="str">
        <x:v>Partial direction over proxy voting</x:v>
      </x:c>
      <x:c r="N52" s="51" t="str">
        <x:v>Pass-through/policy-choice mechanisms partially return governance direction to beneficiaries</x:v>
      </x:c>
      <x:c r="O52" s="51" t="str">
        <x:v>Ownership; institutional</x:v>
      </x:c>
      <x:c r="P52" s="51" t="str">
        <x:v>E1</x:v>
      </x:c>
      <x:c r="Q52" s="51" t="str">
        <x:v>Very high</x:v>
      </x:c>
      <x:c r="R52" s="51" t="str">
        <x:v>SRC-012</x:v>
      </x:c>
      <x:c r="S52" s="51" t="str">
        <x:v>Investor Choice arrangements exist for eligible clients/investors.</x:v>
      </x:c>
      <x:c r="T52" s="51" t="str">
        <x:v>Universal direct voting on every resolution by every beneficiary.</x:v>
      </x:c>
      <x:c r="U52" s="51" t="str">
        <x:v>Eligibility and menu design limit decentralisation.</x:v>
      </x:c>
      <x:c r="V52" s="51" t="str">
        <x:v>Active</x:v>
      </x:c>
      <x:c r="W52" s="51" t="str">
        <x:v>57;80</x:v>
      </x:c>
      <x:c r="X52" s="51" t="str">
        <x:v>2026-07-27</x:v>
      </x:c>
    </x:row>
    <x:row r="53">
      <x:c r="A53" s="51" t="str">
        <x:v>AM-011</x:v>
      </x:c>
      <x:c r="B53" s="51" t="str">
        <x:v>Asset management</x:v>
      </x:c>
      <x:c r="C53" s="51" t="str">
        <x:v>ACT-STATESTREETINVESTMENTMAN</x:v>
      </x:c>
      <x:c r="D53" s="51" t="str">
        <x:v>State Street Investment Management</x:v>
      </x:c>
      <x:c r="E53" s="51" t="str">
        <x:v>ACT-CITIZENSANDLABOUR</x:v>
      </x:c>
      <x:c r="F53" s="51" t="str">
        <x:v>Citizens and labour</x:v>
      </x:c>
      <x:c r="G53" s="51" t="str">
        <x:v>Manager → eligible investors</x:v>
      </x:c>
      <x:c r="H53" s="51" t="str">
        <x:v>Ongoing 2026</x:v>
      </x:c>
      <x:c r="I53" s="51" t="str">
        <x:v>Voting choice</x:v>
      </x:c>
      <x:c r="J53" s="51" t="str">
        <x:v>INS-026</x:v>
      </x:c>
      <x:c r="K53" s="51" t="str">
        <x:v>Eligible assets/accounts</x:v>
      </x:c>
      <x:c r="L53" s="51" t="str">
        <x:v>Investor preferences</x:v>
      </x:c>
      <x:c r="M53" s="51" t="str">
        <x:v>Partial direction over proxy voting</x:v>
      </x:c>
      <x:c r="N53" s="51" t="str">
        <x:v>Pass-through/policy-choice mechanisms partially return governance direction to beneficiaries</x:v>
      </x:c>
      <x:c r="O53" s="51" t="str">
        <x:v>Ownership; institutional</x:v>
      </x:c>
      <x:c r="P53" s="51" t="str">
        <x:v>E1</x:v>
      </x:c>
      <x:c r="Q53" s="51" t="str">
        <x:v>Very high</x:v>
      </x:c>
      <x:c r="R53" s="51" t="str">
        <x:v>SRC-013</x:v>
      </x:c>
      <x:c r="S53" s="51" t="str">
        <x:v>Voting choice arrangements exist for eligible clients/investors.</x:v>
      </x:c>
      <x:c r="T53" s="51" t="str">
        <x:v>Universal direct voting on every resolution by every beneficiary.</x:v>
      </x:c>
      <x:c r="U53" s="51" t="str">
        <x:v>Eligibility and menu design limit decentralisation.</x:v>
      </x:c>
      <x:c r="V53" s="51" t="str">
        <x:v>Active</x:v>
      </x:c>
      <x:c r="W53" s="51" t="str">
        <x:v>57;80</x:v>
      </x:c>
      <x:c r="X53" s="51" t="str">
        <x:v>2026-07-27</x:v>
      </x:c>
    </x:row>
    <x:row r="54">
      <x:c r="A54" s="51" t="str">
        <x:v>AM-012</x:v>
      </x:c>
      <x:c r="B54" s="51" t="str">
        <x:v>Asset management</x:v>
      </x:c>
      <x:c r="C54" s="51" t="str">
        <x:v>ACT-BLACKROCK</x:v>
      </x:c>
      <x:c r="D54" s="51" t="str">
        <x:v>BlackRock</x:v>
      </x:c>
      <x:c r="E54" s="51" t="str">
        <x:v>ACT-VANGUARD</x:v>
      </x:c>
      <x:c r="F54" s="51" t="str">
        <x:v>Vanguard</x:v>
      </x:c>
      <x:c r="G54" s="51" t="str">
        <x:v>Parallel / overlapping</x:v>
      </x:c>
      <x:c r="H54" s="51" t="str">
        <x:v>Global</x:v>
      </x:c>
      <x:c r="I54" s="51" t="str">
        <x:v>Common ownership pattern</x:v>
      </x:c>
      <x:c r="J54" s="51" t="str"/>
      <x:c r="K54" s="51" t="str">
        <x:v>Broad public-equity holdings</x:v>
      </x:c>
      <x:c r="L54" s="51" t="str">
        <x:v>Client capital in index funds</x:v>
      </x:c>
      <x:c r="M54" s="51" t="str">
        <x:v>Overlapping holdings across competitors</x:v>
      </x:c>
      <x:c r="N54" s="51" t="str">
        <x:v>Scale and index breadth create recurring governance positions</x:v>
      </x:c>
      <x:c r="O54" s="51" t="str">
        <x:v>Ownership; relational</x:v>
      </x:c>
      <x:c r="P54" s="51" t="str">
        <x:v>S1</x:v>
      </x:c>
      <x:c r="Q54" s="51" t="str">
        <x:v>High</x:v>
      </x:c>
      <x:c r="R54" s="51" t="str">
        <x:v>SRC-014</x:v>
      </x:c>
      <x:c r="S54" s="51" t="str">
        <x:v>Research documents common ownership and a Big Three contribution.</x:v>
      </x:c>
      <x:c r="T54" s="51" t="str">
        <x:v>Collusion or a secret ownership cartel.</x:v>
      </x:c>
      <x:c r="U54" s="51" t="str">
        <x:v>Beneficial ownership remains with fund investors; effects are contested.</x:v>
      </x:c>
      <x:c r="V54" s="51" t="str">
        <x:v>Ongoing</x:v>
      </x:c>
      <x:c r="W54" s="51" t="str">
        <x:v>57</x:v>
      </x:c>
      <x:c r="X54" s="51" t="str">
        <x:v>2026-07-27</x:v>
      </x:c>
    </x:row>
    <x:row r="55">
      <x:c r="A55" s="51" t="str">
        <x:v>AM-013</x:v>
      </x:c>
      <x:c r="B55" s="51" t="str">
        <x:v>Asset management</x:v>
      </x:c>
      <x:c r="C55" s="51" t="str">
        <x:v>ACT-STATESTREETINVESTMENTMAN</x:v>
      </x:c>
      <x:c r="D55" s="51" t="str">
        <x:v>State Street Investment Management</x:v>
      </x:c>
      <x:c r="E55" s="51" t="str">
        <x:v>ACT-VANGUARD</x:v>
      </x:c>
      <x:c r="F55" s="51" t="str">
        <x:v>Vanguard</x:v>
      </x:c>
      <x:c r="G55" s="51" t="str">
        <x:v>Parallel / overlapping</x:v>
      </x:c>
      <x:c r="H55" s="51" t="str">
        <x:v>Global</x:v>
      </x:c>
      <x:c r="I55" s="51" t="str">
        <x:v>Common ownership pattern</x:v>
      </x:c>
      <x:c r="J55" s="51" t="str"/>
      <x:c r="K55" s="51" t="str">
        <x:v>Broad public-equity holdings</x:v>
      </x:c>
      <x:c r="L55" s="51" t="str">
        <x:v>Client capital</x:v>
      </x:c>
      <x:c r="M55" s="51" t="str">
        <x:v>Overlapping holdings</x:v>
      </x:c>
      <x:c r="N55" s="51" t="str">
        <x:v>Index concentration can centralise stewardship interfaces</x:v>
      </x:c>
      <x:c r="O55" s="51" t="str">
        <x:v>Ownership; relational</x:v>
      </x:c>
      <x:c r="P55" s="51" t="str">
        <x:v>S1</x:v>
      </x:c>
      <x:c r="Q55" s="51" t="str">
        <x:v>High</x:v>
      </x:c>
      <x:c r="R55" s="51" t="str">
        <x:v>SRC-014</x:v>
      </x:c>
      <x:c r="S55" s="51" t="str">
        <x:v>Common ownership linked to large index managers is documented.</x:v>
      </x:c>
      <x:c r="T55" s="51" t="str">
        <x:v>Unified voting or control of all portfolio firms.</x:v>
      </x:c>
      <x:c r="U55" s="51" t="str">
        <x:v>Mandates and votes differ.</x:v>
      </x:c>
      <x:c r="V55" s="51" t="str">
        <x:v>Ongoing</x:v>
      </x:c>
      <x:c r="W55" s="51" t="str">
        <x:v>57</x:v>
      </x:c>
      <x:c r="X55" s="51" t="str">
        <x:v>2026-07-27</x:v>
      </x:c>
    </x:row>
    <x:row r="56">
      <x:c r="A56" s="51" t="str">
        <x:v>AM-014</x:v>
      </x:c>
      <x:c r="B56" s="51" t="str">
        <x:v>Asset management</x:v>
      </x:c>
      <x:c r="C56" s="51" t="str">
        <x:v>ACT-BLACKROCK</x:v>
      </x:c>
      <x:c r="D56" s="51" t="str">
        <x:v>BlackRock</x:v>
      </x:c>
      <x:c r="E56" s="51" t="str">
        <x:v>ACT-GOVERNINGINSTITUTIONALNE</x:v>
      </x:c>
      <x:c r="F56" s="51" t="str">
        <x:v>Governing institutional networks</x:v>
      </x:c>
      <x:c r="G56" s="51" t="str">
        <x:v>A → network</x:v>
      </x:c>
      <x:c r="H56" s="51" t="str">
        <x:v>Ongoing</x:v>
      </x:c>
      <x:c r="I56" s="51" t="str">
        <x:v>Risk-infrastructure influence</x:v>
      </x:c>
      <x:c r="J56" s="51" t="str">
        <x:v>INS-004</x:v>
      </x:c>
      <x:c r="K56" s="51" t="str">
        <x:v>Institutional</x:v>
      </x:c>
      <x:c r="L56" s="51" t="str">
        <x:v>Risk analytics and data</x:v>
      </x:c>
      <x:c r="M56" s="51" t="str">
        <x:v>Shared categories and workflows</x:v>
      </x:c>
      <x:c r="N56" s="51" t="str">
        <x:v>A widely used analytical interface creates epistemic influence without legal command</x:v>
      </x:c>
      <x:c r="O56" s="51" t="str">
        <x:v>Informational; relational</x:v>
      </x:c>
      <x:c r="P56" s="51" t="str">
        <x:v>S1</x:v>
      </x:c>
      <x:c r="Q56" s="51" t="str">
        <x:v>High</x:v>
      </x:c>
      <x:c r="R56" s="51" t="str">
        <x:v>SRC-009</x:v>
      </x:c>
      <x:c r="S56" s="51" t="str">
        <x:v>BlackRock provides an important institutional risk platform.</x:v>
      </x:c>
      <x:c r="T56" s="51" t="str">
        <x:v>Every client follows BlackRock's preferred trades or policies.</x:v>
      </x:c>
      <x:c r="U56" s="51" t="str">
        <x:v>Users can supplement or replace models.</x:v>
      </x:c>
      <x:c r="V56" s="51" t="str">
        <x:v>Active</x:v>
      </x:c>
      <x:c r="W56" s="51" t="str">
        <x:v>57</x:v>
      </x:c>
      <x:c r="X56" s="51" t="str">
        <x:v>2026-07-27</x:v>
      </x:c>
    </x:row>
    <x:row r="57">
      <x:c r="A57" s="51" t="str">
        <x:v>AM-015</x:v>
      </x:c>
      <x:c r="B57" s="51" t="str">
        <x:v>Evidence boundary</x:v>
      </x:c>
      <x:c r="C57" s="51" t="str">
        <x:v>ACT-BLACKROCK</x:v>
      </x:c>
      <x:c r="D57" s="51" t="str">
        <x:v>BlackRock</x:v>
      </x:c>
      <x:c r="E57" s="51" t="str">
        <x:v>ACT-GOVERNINGINSTITUTIONALNE</x:v>
      </x:c>
      <x:c r="F57" s="51" t="str">
        <x:v>Governing institutional networks</x:v>
      </x:c>
      <x:c r="G57" s="51" t="str">
        <x:v>Claim boundary</x:v>
      </x:c>
      <x:c r="H57" s="51" t="str">
        <x:v>Current review</x:v>
      </x:c>
      <x:c r="I57" s="51" t="str">
        <x:v>Unsupported total-ownership claim</x:v>
      </x:c>
      <x:c r="J57" s="51" t="str"/>
      <x:c r="K57" s="51" t="str">
        <x:v>N/A</x:v>
      </x:c>
      <x:c r="L57" s="51" t="str">
        <x:v>Assets under management</x:v>
      </x:c>
      <x:c r="M57" s="51" t="str">
        <x:v>Claimed beneficial ownership of everything</x:v>
      </x:c>
      <x:c r="N57" s="51" t="str">
        <x:v>Delegated management is misread as beneficial ownership</x:v>
      </x:c>
      <x:c r="O57" s="51" t="str">
        <x:v>Financial; narrative</x:v>
      </x:c>
      <x:c r="P57" s="51" t="str">
        <x:v>U1</x:v>
      </x:c>
      <x:c r="Q57" s="51" t="str">
        <x:v>Very low</x:v>
      </x:c>
      <x:c r="R57" s="51" t="str">
        <x:v>SRC-009; SRC-010; SRC-014</x:v>
      </x:c>
      <x:c r="S57" s="51" t="str">
        <x:v>BlackRock manages large portfolios and exercises stewardship authority.</x:v>
      </x:c>
      <x:c r="T57" s="51" t="str">
        <x:v>BlackRock or Larry Fink personally owns or controls every portfolio company.</x:v>
      </x:c>
      <x:c r="U57" s="51" t="str">
        <x:v>Fund clients are the economic beneficiaries and legal mandates constrain managers.</x:v>
      </x:c>
      <x:c r="V57" s="51" t="str">
        <x:v>Unsupported</x:v>
      </x:c>
      <x:c r="W57" s="51" t="str">
        <x:v>57;59</x:v>
      </x:c>
      <x:c r="X57" s="51" t="str">
        <x:v>2026-07-27</x:v>
      </x:c>
    </x:row>
    <x:row r="58">
      <x:c r="A58" s="51" t="str">
        <x:v>ANT-001</x:v>
      </x:c>
      <x:c r="B58" s="51" t="str">
        <x:v>Frontier AI governance</x:v>
      </x:c>
      <x:c r="C58" s="51" t="str">
        <x:v>ACT-ANTHROPICLONGTERMBENEFIT</x:v>
      </x:c>
      <x:c r="D58" s="51" t="str">
        <x:v>Anthropic Long-Term Benefit Trust</x:v>
      </x:c>
      <x:c r="E58" s="51" t="str">
        <x:v>ACT-ANTHROPIC</x:v>
      </x:c>
      <x:c r="F58" s="51" t="str">
        <x:v>Anthropic</x:v>
      </x:c>
      <x:c r="G58" s="51" t="str">
        <x:v>Trust → company</x:v>
      </x:c>
      <x:c r="H58" s="51" t="str">
        <x:v>Current</x:v>
      </x:c>
      <x:c r="I58" s="51" t="str">
        <x:v>Director-appointment and mission-protection rights</x:v>
      </x:c>
      <x:c r="J58" s="51" t="str"/>
      <x:c r="K58" s="51" t="str">
        <x:v>Trust-appointed board majority</x:v>
      </x:c>
      <x:c r="L58" s="51" t="str">
        <x:v>Public-benefit purpose and trustee authority</x:v>
      </x:c>
      <x:c r="M58" s="51" t="str">
        <x:v>Board composition and governance constraint</x:v>
      </x:c>
      <x:c r="N58" s="51" t="str">
        <x:v>A purpose trust introduces a non-shareholder governance centre inside a capital-intensive AI company</x:v>
      </x:c>
      <x:c r="O58" s="51" t="str">
        <x:v>Institutional; ownership; informational</x:v>
      </x:c>
      <x:c r="P58" s="51" t="str">
        <x:v>E1</x:v>
      </x:c>
      <x:c r="Q58" s="51" t="str">
        <x:v>Very high</x:v>
      </x:c>
      <x:c r="R58" s="51" t="str">
        <x:v>SRC-083; SRC-084</x:v>
      </x:c>
      <x:c r="S58" s="51" t="str">
        <x:v>Anthropic states Trust-appointed directors form a board majority.</x:v>
      </x:c>
      <x:c r="T58" s="51" t="str">
        <x:v>Independence from investors, management or commercial pressures in every decision.</x:v>
      </x:c>
      <x:c r="U58" s="51" t="str">
        <x:v>Legal powers and practical influence should be tested against financing contracts.</x:v>
      </x:c>
      <x:c r="V58" s="51" t="str">
        <x:v>Active</x:v>
      </x:c>
      <x:c r="W58" s="51" t="str">
        <x:v>71;75</x:v>
      </x:c>
      <x:c r="X58" s="51" t="str">
        <x:v>2026-07-27</x:v>
      </x:c>
    </x:row>
    <x:row r="59">
      <x:c r="A59" s="51" t="str">
        <x:v>ANT-002</x:v>
      </x:c>
      <x:c r="B59" s="51" t="str">
        <x:v>Frontier AI governance</x:v>
      </x:c>
      <x:c r="C59" s="51" t="str">
        <x:v>ACT-DARIOAMODEI</x:v>
      </x:c>
      <x:c r="D59" s="51" t="str">
        <x:v>Dario Amodei</x:v>
      </x:c>
      <x:c r="E59" s="51" t="str">
        <x:v>ACT-ANTHROPIC</x:v>
      </x:c>
      <x:c r="F59" s="51" t="str">
        <x:v>Anthropic</x:v>
      </x:c>
      <x:c r="G59" s="51" t="str">
        <x:v>Person → company</x:v>
      </x:c>
      <x:c r="H59" s="51" t="str">
        <x:v>Current</x:v>
      </x:c>
      <x:c r="I59" s="51" t="str">
        <x:v>Executive or board role</x:v>
      </x:c>
      <x:c r="J59" s="51" t="str"/>
      <x:c r="K59" s="51" t="str">
        <x:v>Role-specific</x:v>
      </x:c>
      <x:c r="L59" s="51" t="str">
        <x:v>Technical, commercial or institutional expertise</x:v>
      </x:c>
      <x:c r="M59" s="51" t="str">
        <x:v>Company governance and strategy</x:v>
      </x:c>
      <x:c r="N59" s="51" t="str">
        <x:v>Board and executive composition connects frontier AI to technology, health, media and government networks</x:v>
      </x:c>
      <x:c r="O59" s="51" t="str">
        <x:v>Relational; institutional; informational</x:v>
      </x:c>
      <x:c r="P59" s="51" t="str">
        <x:v>E1</x:v>
      </x:c>
      <x:c r="Q59" s="51" t="str">
        <x:v>Very high</x:v>
      </x:c>
      <x:c r="R59" s="51" t="str">
        <x:v>SRC-083</x:v>
      </x:c>
      <x:c r="S59" s="51" t="str">
        <x:v>Dario Amodei is listed in Anthropic's current board/executive governance.</x:v>
      </x:c>
      <x:c r="T59" s="51" t="str">
        <x:v>Representation of every prior employer or agreement on every policy.</x:v>
      </x:c>
      <x:c r="U59" s="51" t="str">
        <x:v>Board roles are collective and subject to fiduciary duties.</x:v>
      </x:c>
      <x:c r="V59" s="51" t="str">
        <x:v>Active</x:v>
      </x:c>
      <x:c r="W59" s="51" t="str">
        <x:v>71;75</x:v>
      </x:c>
      <x:c r="X59" s="51" t="str">
        <x:v>2026-07-27</x:v>
      </x:c>
    </x:row>
    <x:row r="60">
      <x:c r="A60" s="51" t="str">
        <x:v>ANT-003</x:v>
      </x:c>
      <x:c r="B60" s="51" t="str">
        <x:v>Frontier AI governance</x:v>
      </x:c>
      <x:c r="C60" s="51" t="str">
        <x:v>ACT-DANIELAAMODEI</x:v>
      </x:c>
      <x:c r="D60" s="51" t="str">
        <x:v>Daniela Amodei</x:v>
      </x:c>
      <x:c r="E60" s="51" t="str">
        <x:v>ACT-ANTHROPIC</x:v>
      </x:c>
      <x:c r="F60" s="51" t="str">
        <x:v>Anthropic</x:v>
      </x:c>
      <x:c r="G60" s="51" t="str">
        <x:v>Person → company</x:v>
      </x:c>
      <x:c r="H60" s="51" t="str">
        <x:v>Current</x:v>
      </x:c>
      <x:c r="I60" s="51" t="str">
        <x:v>Executive or board role</x:v>
      </x:c>
      <x:c r="J60" s="51" t="str"/>
      <x:c r="K60" s="51" t="str">
        <x:v>Role-specific</x:v>
      </x:c>
      <x:c r="L60" s="51" t="str">
        <x:v>Technical, commercial or institutional expertise</x:v>
      </x:c>
      <x:c r="M60" s="51" t="str">
        <x:v>Company governance and strategy</x:v>
      </x:c>
      <x:c r="N60" s="51" t="str">
        <x:v>Board and executive composition connects frontier AI to technology, health, media and government networks</x:v>
      </x:c>
      <x:c r="O60" s="51" t="str">
        <x:v>Relational; institutional; informational</x:v>
      </x:c>
      <x:c r="P60" s="51" t="str">
        <x:v>E1</x:v>
      </x:c>
      <x:c r="Q60" s="51" t="str">
        <x:v>Very high</x:v>
      </x:c>
      <x:c r="R60" s="51" t="str">
        <x:v>SRC-083</x:v>
      </x:c>
      <x:c r="S60" s="51" t="str">
        <x:v>Daniela Amodei is listed in Anthropic's current board/executive governance.</x:v>
      </x:c>
      <x:c r="T60" s="51" t="str">
        <x:v>Representation of every prior employer or agreement on every policy.</x:v>
      </x:c>
      <x:c r="U60" s="51" t="str">
        <x:v>Board roles are collective and subject to fiduciary duties.</x:v>
      </x:c>
      <x:c r="V60" s="51" t="str">
        <x:v>Active</x:v>
      </x:c>
      <x:c r="W60" s="51" t="str">
        <x:v>71;75</x:v>
      </x:c>
      <x:c r="X60" s="51" t="str">
        <x:v>2026-07-27</x:v>
      </x:c>
    </x:row>
    <x:row r="61">
      <x:c r="A61" s="51" t="str">
        <x:v>ANT-004</x:v>
      </x:c>
      <x:c r="B61" s="51" t="str">
        <x:v>Frontier AI governance</x:v>
      </x:c>
      <x:c r="C61" s="51" t="str">
        <x:v>ACT-VASNARASIMHAN</x:v>
      </x:c>
      <x:c r="D61" s="51" t="str">
        <x:v>Vas Narasimhan</x:v>
      </x:c>
      <x:c r="E61" s="51" t="str">
        <x:v>ACT-ANTHROPIC</x:v>
      </x:c>
      <x:c r="F61" s="51" t="str">
        <x:v>Anthropic</x:v>
      </x:c>
      <x:c r="G61" s="51" t="str">
        <x:v>Person → company</x:v>
      </x:c>
      <x:c r="H61" s="51" t="str">
        <x:v>Current</x:v>
      </x:c>
      <x:c r="I61" s="51" t="str">
        <x:v>Executive or board role</x:v>
      </x:c>
      <x:c r="J61" s="51" t="str"/>
      <x:c r="K61" s="51" t="str">
        <x:v>Role-specific</x:v>
      </x:c>
      <x:c r="L61" s="51" t="str">
        <x:v>Technical, commercial or institutional expertise</x:v>
      </x:c>
      <x:c r="M61" s="51" t="str">
        <x:v>Company governance and strategy</x:v>
      </x:c>
      <x:c r="N61" s="51" t="str">
        <x:v>Board and executive composition connects frontier AI to technology, health, media and government networks</x:v>
      </x:c>
      <x:c r="O61" s="51" t="str">
        <x:v>Relational; institutional; informational</x:v>
      </x:c>
      <x:c r="P61" s="51" t="str">
        <x:v>E1</x:v>
      </x:c>
      <x:c r="Q61" s="51" t="str">
        <x:v>Very high</x:v>
      </x:c>
      <x:c r="R61" s="51" t="str">
        <x:v>SRC-083</x:v>
      </x:c>
      <x:c r="S61" s="51" t="str">
        <x:v>Vas Narasimhan is listed in Anthropic's current board/executive governance.</x:v>
      </x:c>
      <x:c r="T61" s="51" t="str">
        <x:v>Representation of every prior employer or agreement on every policy.</x:v>
      </x:c>
      <x:c r="U61" s="51" t="str">
        <x:v>Board roles are collective and subject to fiduciary duties.</x:v>
      </x:c>
      <x:c r="V61" s="51" t="str">
        <x:v>Active</x:v>
      </x:c>
      <x:c r="W61" s="51" t="str">
        <x:v>71;75</x:v>
      </x:c>
      <x:c r="X61" s="51" t="str">
        <x:v>2026-07-27</x:v>
      </x:c>
    </x:row>
    <x:row r="62">
      <x:c r="A62" s="51" t="str">
        <x:v>ANT-005</x:v>
      </x:c>
      <x:c r="B62" s="51" t="str">
        <x:v>Frontier AI governance</x:v>
      </x:c>
      <x:c r="C62" s="51" t="str">
        <x:v>ACT-REEDHASTINGS</x:v>
      </x:c>
      <x:c r="D62" s="51" t="str">
        <x:v>Reed Hastings</x:v>
      </x:c>
      <x:c r="E62" s="51" t="str">
        <x:v>ACT-ANTHROPIC</x:v>
      </x:c>
      <x:c r="F62" s="51" t="str">
        <x:v>Anthropic</x:v>
      </x:c>
      <x:c r="G62" s="51" t="str">
        <x:v>Person → company</x:v>
      </x:c>
      <x:c r="H62" s="51" t="str">
        <x:v>Current</x:v>
      </x:c>
      <x:c r="I62" s="51" t="str">
        <x:v>Executive or board role</x:v>
      </x:c>
      <x:c r="J62" s="51" t="str"/>
      <x:c r="K62" s="51" t="str">
        <x:v>Role-specific</x:v>
      </x:c>
      <x:c r="L62" s="51" t="str">
        <x:v>Technical, commercial or institutional expertise</x:v>
      </x:c>
      <x:c r="M62" s="51" t="str">
        <x:v>Company governance and strategy</x:v>
      </x:c>
      <x:c r="N62" s="51" t="str">
        <x:v>Board and executive composition connects frontier AI to technology, health, media and government networks</x:v>
      </x:c>
      <x:c r="O62" s="51" t="str">
        <x:v>Relational; institutional; informational</x:v>
      </x:c>
      <x:c r="P62" s="51" t="str">
        <x:v>E1</x:v>
      </x:c>
      <x:c r="Q62" s="51" t="str">
        <x:v>Very high</x:v>
      </x:c>
      <x:c r="R62" s="51" t="str">
        <x:v>SRC-083</x:v>
      </x:c>
      <x:c r="S62" s="51" t="str">
        <x:v>Reed Hastings is listed in Anthropic's current board/executive governance.</x:v>
      </x:c>
      <x:c r="T62" s="51" t="str">
        <x:v>Representation of every prior employer or agreement on every policy.</x:v>
      </x:c>
      <x:c r="U62" s="51" t="str">
        <x:v>Board roles are collective and subject to fiduciary duties.</x:v>
      </x:c>
      <x:c r="V62" s="51" t="str">
        <x:v>Active</x:v>
      </x:c>
      <x:c r="W62" s="51" t="str">
        <x:v>71;75</x:v>
      </x:c>
      <x:c r="X62" s="51" t="str">
        <x:v>2026-07-27</x:v>
      </x:c>
    </x:row>
    <x:row r="63">
      <x:c r="A63" s="51" t="str">
        <x:v>ANT-006</x:v>
      </x:c>
      <x:c r="B63" s="51" t="str">
        <x:v>Frontier AI governance</x:v>
      </x:c>
      <x:c r="C63" s="51" t="str">
        <x:v>ACT-CHRISLIDDELL</x:v>
      </x:c>
      <x:c r="D63" s="51" t="str">
        <x:v>Chris Liddell</x:v>
      </x:c>
      <x:c r="E63" s="51" t="str">
        <x:v>ACT-ANTHROPIC</x:v>
      </x:c>
      <x:c r="F63" s="51" t="str">
        <x:v>Anthropic</x:v>
      </x:c>
      <x:c r="G63" s="51" t="str">
        <x:v>Person → company</x:v>
      </x:c>
      <x:c r="H63" s="51" t="str">
        <x:v>Current</x:v>
      </x:c>
      <x:c r="I63" s="51" t="str">
        <x:v>Executive or board role</x:v>
      </x:c>
      <x:c r="J63" s="51" t="str"/>
      <x:c r="K63" s="51" t="str">
        <x:v>Role-specific</x:v>
      </x:c>
      <x:c r="L63" s="51" t="str">
        <x:v>Technical, commercial or institutional expertise</x:v>
      </x:c>
      <x:c r="M63" s="51" t="str">
        <x:v>Company governance and strategy</x:v>
      </x:c>
      <x:c r="N63" s="51" t="str">
        <x:v>Board and executive composition connects frontier AI to technology, health, media and government networks</x:v>
      </x:c>
      <x:c r="O63" s="51" t="str">
        <x:v>Relational; institutional; informational</x:v>
      </x:c>
      <x:c r="P63" s="51" t="str">
        <x:v>E1</x:v>
      </x:c>
      <x:c r="Q63" s="51" t="str">
        <x:v>Very high</x:v>
      </x:c>
      <x:c r="R63" s="51" t="str">
        <x:v>SRC-083</x:v>
      </x:c>
      <x:c r="S63" s="51" t="str">
        <x:v>Chris Liddell is listed in Anthropic's current board/executive governance.</x:v>
      </x:c>
      <x:c r="T63" s="51" t="str">
        <x:v>Representation of every prior employer or agreement on every policy.</x:v>
      </x:c>
      <x:c r="U63" s="51" t="str">
        <x:v>Board roles are collective and subject to fiduciary duties.</x:v>
      </x:c>
      <x:c r="V63" s="51" t="str">
        <x:v>Active</x:v>
      </x:c>
      <x:c r="W63" s="51" t="str">
        <x:v>71;75</x:v>
      </x:c>
      <x:c r="X63" s="51" t="str">
        <x:v>2026-07-27</x:v>
      </x:c>
    </x:row>
    <x:row r="64">
      <x:c r="A64" s="51" t="str">
        <x:v>ANT-007</x:v>
      </x:c>
      <x:c r="B64" s="51" t="str">
        <x:v>Frontier AI governance</x:v>
      </x:c>
      <x:c r="C64" s="51" t="str">
        <x:v>ACT-BENBERNANKE</x:v>
      </x:c>
      <x:c r="D64" s="51" t="str">
        <x:v>Ben Bernanke</x:v>
      </x:c>
      <x:c r="E64" s="51" t="str">
        <x:v>ACT-ANTHROPICLONGTERMBENEFIT</x:v>
      </x:c>
      <x:c r="F64" s="51" t="str">
        <x:v>Anthropic Long-Term Benefit Trust</x:v>
      </x:c>
      <x:c r="G64" s="51" t="str">
        <x:v>Person → trust</x:v>
      </x:c>
      <x:c r="H64" s="51" t="str">
        <x:v>Current</x:v>
      </x:c>
      <x:c r="I64" s="51" t="str">
        <x:v>Trustee role</x:v>
      </x:c>
      <x:c r="J64" s="51" t="str"/>
      <x:c r="K64" s="51" t="str">
        <x:v>Trust governance</x:v>
      </x:c>
      <x:c r="L64" s="51" t="str">
        <x:v>Economic, legal or national-security expertise</x:v>
      </x:c>
      <x:c r="M64" s="51" t="str">
        <x:v>Purpose-trust oversight</x:v>
      </x:c>
      <x:c r="N64" s="51" t="str">
        <x:v>The AI-governance institution imports authority from central banking, law and security policy</x:v>
      </x:c>
      <x:c r="O64" s="51" t="str">
        <x:v>Relational; institutional</x:v>
      </x:c>
      <x:c r="P64" s="51" t="str">
        <x:v>E1</x:v>
      </x:c>
      <x:c r="Q64" s="51" t="str">
        <x:v>Very high</x:v>
      </x:c>
      <x:c r="R64" s="51" t="str">
        <x:v>SRC-084</x:v>
      </x:c>
      <x:c r="S64" s="51" t="str">
        <x:v>Ben Bernanke is identified as a current LTBT member.</x:v>
      </x:c>
      <x:c r="T64" s="51" t="str">
        <x:v>Control of Anthropic operations or representation of former institutions.</x:v>
      </x:c>
      <x:c r="U64" s="51" t="str">
        <x:v>Trust powers are specific and exercised collectively.</x:v>
      </x:c>
      <x:c r="V64" s="51" t="str">
        <x:v>Active</x:v>
      </x:c>
      <x:c r="W64" s="51" t="str">
        <x:v>71;75</x:v>
      </x:c>
      <x:c r="X64" s="51" t="str">
        <x:v>2026-07-27</x:v>
      </x:c>
    </x:row>
    <x:row r="65">
      <x:c r="A65" s="51" t="str">
        <x:v>ANT-008</x:v>
      </x:c>
      <x:c r="B65" s="51" t="str">
        <x:v>Frontier AI governance</x:v>
      </x:c>
      <x:c r="C65" s="51" t="str">
        <x:v>ACT-RICHARDFONTAINE</x:v>
      </x:c>
      <x:c r="D65" s="51" t="str">
        <x:v>Richard Fontaine</x:v>
      </x:c>
      <x:c r="E65" s="51" t="str">
        <x:v>ACT-ANTHROPICLONGTERMBENEFIT</x:v>
      </x:c>
      <x:c r="F65" s="51" t="str">
        <x:v>Anthropic Long-Term Benefit Trust</x:v>
      </x:c>
      <x:c r="G65" s="51" t="str">
        <x:v>Person → trust</x:v>
      </x:c>
      <x:c r="H65" s="51" t="str">
        <x:v>Current</x:v>
      </x:c>
      <x:c r="I65" s="51" t="str">
        <x:v>Trustee role</x:v>
      </x:c>
      <x:c r="J65" s="51" t="str"/>
      <x:c r="K65" s="51" t="str">
        <x:v>Trust governance</x:v>
      </x:c>
      <x:c r="L65" s="51" t="str">
        <x:v>Economic, legal or national-security expertise</x:v>
      </x:c>
      <x:c r="M65" s="51" t="str">
        <x:v>Purpose-trust oversight</x:v>
      </x:c>
      <x:c r="N65" s="51" t="str">
        <x:v>The AI-governance institution imports authority from central banking, law and security policy</x:v>
      </x:c>
      <x:c r="O65" s="51" t="str">
        <x:v>Relational; institutional</x:v>
      </x:c>
      <x:c r="P65" s="51" t="str">
        <x:v>E1</x:v>
      </x:c>
      <x:c r="Q65" s="51" t="str">
        <x:v>Very high</x:v>
      </x:c>
      <x:c r="R65" s="51" t="str">
        <x:v>SRC-084</x:v>
      </x:c>
      <x:c r="S65" s="51" t="str">
        <x:v>Richard Fontaine is identified as a current LTBT member.</x:v>
      </x:c>
      <x:c r="T65" s="51" t="str">
        <x:v>Control of Anthropic operations or representation of former institutions.</x:v>
      </x:c>
      <x:c r="U65" s="51" t="str">
        <x:v>Trust powers are specific and exercised collectively.</x:v>
      </x:c>
      <x:c r="V65" s="51" t="str">
        <x:v>Active</x:v>
      </x:c>
      <x:c r="W65" s="51" t="str">
        <x:v>71;75</x:v>
      </x:c>
      <x:c r="X65" s="51" t="str">
        <x:v>2026-07-27</x:v>
      </x:c>
    </x:row>
    <x:row r="66">
      <x:c r="A66" s="51" t="str">
        <x:v>ANT-009</x:v>
      </x:c>
      <x:c r="B66" s="51" t="str">
        <x:v>Frontier AI governance</x:v>
      </x:c>
      <x:c r="C66" s="51" t="str">
        <x:v>ACT-MARIANOFLORENTINOCULLAR</x:v>
      </x:c>
      <x:c r="D66" s="51" t="str">
        <x:v>Mariano-Florentino Cuéllar</x:v>
      </x:c>
      <x:c r="E66" s="51" t="str">
        <x:v>ACT-ANTHROPICLONGTERMBENEFIT</x:v>
      </x:c>
      <x:c r="F66" s="51" t="str">
        <x:v>Anthropic Long-Term Benefit Trust</x:v>
      </x:c>
      <x:c r="G66" s="51" t="str">
        <x:v>Person → trust</x:v>
      </x:c>
      <x:c r="H66" s="51" t="str">
        <x:v>Current</x:v>
      </x:c>
      <x:c r="I66" s="51" t="str">
        <x:v>Trustee role</x:v>
      </x:c>
      <x:c r="J66" s="51" t="str"/>
      <x:c r="K66" s="51" t="str">
        <x:v>Trust governance</x:v>
      </x:c>
      <x:c r="L66" s="51" t="str">
        <x:v>Economic, legal or national-security expertise</x:v>
      </x:c>
      <x:c r="M66" s="51" t="str">
        <x:v>Purpose-trust oversight</x:v>
      </x:c>
      <x:c r="N66" s="51" t="str">
        <x:v>The AI-governance institution imports authority from central banking, law and security policy</x:v>
      </x:c>
      <x:c r="O66" s="51" t="str">
        <x:v>Relational; institutional</x:v>
      </x:c>
      <x:c r="P66" s="51" t="str">
        <x:v>E1</x:v>
      </x:c>
      <x:c r="Q66" s="51" t="str">
        <x:v>Very high</x:v>
      </x:c>
      <x:c r="R66" s="51" t="str">
        <x:v>SRC-084</x:v>
      </x:c>
      <x:c r="S66" s="51" t="str">
        <x:v>Mariano-Florentino Cuéllar is identified as a current LTBT member.</x:v>
      </x:c>
      <x:c r="T66" s="51" t="str">
        <x:v>Control of Anthropic operations or representation of former institutions.</x:v>
      </x:c>
      <x:c r="U66" s="51" t="str">
        <x:v>Trust powers are specific and exercised collectively.</x:v>
      </x:c>
      <x:c r="V66" s="51" t="str">
        <x:v>Active</x:v>
      </x:c>
      <x:c r="W66" s="51" t="str">
        <x:v>71;75</x:v>
      </x:c>
      <x:c r="X66" s="51" t="str">
        <x:v>2026-07-27</x:v>
      </x:c>
    </x:row>
    <x:row r="67">
      <x:c r="A67" s="51" t="str">
        <x:v>ANT-010</x:v>
      </x:c>
      <x:c r="B67" s="51" t="str">
        <x:v>Frontier AI defence</x:v>
      </x:c>
      <x:c r="C67" s="51" t="str">
        <x:v>ACT-ANTHROPIC</x:v>
      </x:c>
      <x:c r="D67" s="51" t="str">
        <x:v>Anthropic</x:v>
      </x:c>
      <x:c r="E67" s="51" t="str">
        <x:v>ACT-USDEPARTMENTOFDEFENSE</x:v>
      </x:c>
      <x:c r="F67" s="51" t="str">
        <x:v>US Department of Defense</x:v>
      </x:c>
      <x:c r="G67" s="51" t="str">
        <x:v>Company → state</x:v>
      </x:c>
      <x:c r="H67" s="51" t="str">
        <x:v>2025</x:v>
      </x:c>
      <x:c r="I67" s="51" t="str">
        <x:v>Frontier-AI prototype contract</x:v>
      </x:c>
      <x:c r="J67" s="51" t="str">
        <x:v>INS-035</x:v>
      </x:c>
      <x:c r="K67" s="51" t="str">
        <x:v>Up to $200 million</x:v>
      </x:c>
      <x:c r="L67" s="51" t="str">
        <x:v>Claude models and safety controls</x:v>
      </x:c>
      <x:c r="M67" s="51" t="str">
        <x:v>Defence enterprise and warfighting prototypes</x:v>
      </x:c>
      <x:c r="N67" s="51" t="str">
        <x:v>A model lab converts frontier capability into sovereign military workflows</x:v>
      </x:c>
      <x:c r="O67" s="51" t="str">
        <x:v>Technological; informational; enforcement</x:v>
      </x:c>
      <x:c r="P67" s="51" t="str">
        <x:v>E1</x:v>
      </x:c>
      <x:c r="Q67" s="51" t="str">
        <x:v>High</x:v>
      </x:c>
      <x:c r="R67" s="51" t="str">
        <x:v>SRC-085</x:v>
      </x:c>
      <x:c r="S67" s="51" t="str">
        <x:v>Anthropic received a DoD contract up to $200 million.</x:v>
      </x:c>
      <x:c r="T67" s="51" t="str">
        <x:v>Agreement on every military use or removal of Anthropic usage restrictions.</x:v>
      </x:c>
      <x:c r="U67" s="51" t="str">
        <x:v>Later disputes show contracts do not eliminate objective conflict.</x:v>
      </x:c>
      <x:c r="V67" s="51" t="str">
        <x:v>Awarded / relationship evolved</x:v>
      </x:c>
      <x:c r="W67" s="51" t="str">
        <x:v>57;71</x:v>
      </x:c>
      <x:c r="X67" s="51" t="str">
        <x:v>2026-07-27</x:v>
      </x:c>
    </x:row>
    <x:row r="68">
      <x:c r="A68" s="51" t="str">
        <x:v>ANT-011</x:v>
      </x:c>
      <x:c r="B68" s="51" t="str">
        <x:v>AI political finance</x:v>
      </x:c>
      <x:c r="C68" s="51" t="str">
        <x:v>ACT-ANTHROPIC</x:v>
      </x:c>
      <x:c r="D68" s="51" t="str">
        <x:v>Anthropic</x:v>
      </x:c>
      <x:c r="E68" s="51" t="str">
        <x:v>ACT-PUBLICFIRSTACTION</x:v>
      </x:c>
      <x:c r="F68" s="51" t="str">
        <x:v>Public First Action</x:v>
      </x:c>
      <x:c r="G68" s="51" t="str">
        <x:v>Company → advocacy group</x:v>
      </x:c>
      <x:c r="H68" s="51" t="str">
        <x:v>2026</x:v>
      </x:c>
      <x:c r="I68" s="51" t="str">
        <x:v>Policy-advocacy donations</x:v>
      </x:c>
      <x:c r="J68" s="51" t="str">
        <x:v>INS-036</x:v>
      </x:c>
      <x:c r="K68" s="51" t="str">
        <x:v>$40 million total announced</x:v>
      </x:c>
      <x:c r="L68" s="51" t="str">
        <x:v>Corporate funds and policy preferences</x:v>
      </x:c>
      <x:c r="M68" s="51" t="str">
        <x:v>Public education and political-policy influence</x:v>
      </x:c>
      <x:c r="N68" s="51" t="str">
        <x:v>A frontier lab converts capital into organised influence over the rules governing its industry</x:v>
      </x:c>
      <x:c r="O68" s="51" t="str">
        <x:v>Financial; narrative; relational</x:v>
      </x:c>
      <x:c r="P68" s="51" t="str">
        <x:v>E1</x:v>
      </x:c>
      <x:c r="Q68" s="51" t="str">
        <x:v>Very high</x:v>
      </x:c>
      <x:c r="R68" s="51" t="str">
        <x:v>SRC-086; SRC-087</x:v>
      </x:c>
      <x:c r="S68" s="51" t="str">
        <x:v>Anthropic announced two $20 million contributions.</x:v>
      </x:c>
      <x:c r="T68" s="51" t="str">
        <x:v>Purchase of any candidate, legal control of allied PACs, or a hidden donation.</x:v>
      </x:c>
      <x:c r="U68" s="51" t="str">
        <x:v>The company states funds cannot be used directly for candidate elections in the specified arrangement.</x:v>
      </x:c>
      <x:c r="V68" s="51" t="str">
        <x:v>Active</x:v>
      </x:c>
      <x:c r="W68" s="51" t="str">
        <x:v>11;57;75</x:v>
      </x:c>
      <x:c r="X68" s="51" t="str">
        <x:v>2026-07-27</x:v>
      </x:c>
    </x:row>
    <x:row r="69">
      <x:c r="A69" s="51" t="str">
        <x:v>ANT-012</x:v>
      </x:c>
      <x:c r="B69" s="51" t="str">
        <x:v>AI political finance</x:v>
      </x:c>
      <x:c r="C69" s="51" t="str">
        <x:v>ACT-PUBLICFIRSTACTION</x:v>
      </x:c>
      <x:c r="D69" s="51" t="str">
        <x:v>Public First Action</x:v>
      </x:c>
      <x:c r="E69" s="51" t="str">
        <x:v>ACT-LEADINGTHEFUTURE</x:v>
      </x:c>
      <x:c r="F69" s="51" t="str">
        <x:v>Leading the Future</x:v>
      </x:c>
      <x:c r="G69" s="51" t="str">
        <x:v>Opposing networks</x:v>
      </x:c>
      <x:c r="H69" s="51" t="str">
        <x:v>2026</x:v>
      </x:c>
      <x:c r="I69" s="51" t="str">
        <x:v>Competing policy-advocacy coalitions</x:v>
      </x:c>
      <x:c r="J69" s="51" t="str"/>
      <x:c r="K69" s="51" t="str">
        <x:v>Large political spending ecosystems</x:v>
      </x:c>
      <x:c r="L69" s="51" t="str">
        <x:v>Different AI regulatory preferences</x:v>
      </x:c>
      <x:c r="M69" s="51" t="str">
        <x:v>Electoral and public-policy pressure</x:v>
      </x:c>
      <x:c r="N69" s="51" t="str">
        <x:v>Competing industry coalitions convert capital into rival regulatory narratives</x:v>
      </x:c>
      <x:c r="O69" s="51" t="str">
        <x:v>Financial; narrative; relational</x:v>
      </x:c>
      <x:c r="P69" s="51" t="str">
        <x:v>E2</x:v>
      </x:c>
      <x:c r="Q69" s="51" t="str">
        <x:v>High</x:v>
      </x:c>
      <x:c r="R69" s="51" t="str">
        <x:v>SRC-086; SRC-087</x:v>
      </x:c>
      <x:c r="S69" s="51" t="str">
        <x:v>Reuters described Public First Action as a counterweight to Leading the Future.</x:v>
      </x:c>
      <x:c r="T69" s="51" t="str">
        <x:v>A single binary division encompassing all AI firms or all policy issues.</x:v>
      </x:c>
      <x:c r="U69" s="51" t="str">
        <x:v>Labs and executives can cooperate on one issue and compete on another.</x:v>
      </x:c>
      <x:c r="V69" s="51" t="str">
        <x:v>Active</x:v>
      </x:c>
      <x:c r="W69" s="51" t="str">
        <x:v>11;57</x:v>
      </x:c>
      <x:c r="X69" s="51" t="str">
        <x:v>2026-07-27</x:v>
      </x:c>
    </x:row>
    <x:row r="70">
      <x:c r="A70" s="51" t="str">
        <x:v>ANT-013</x:v>
      </x:c>
      <x:c r="B70" s="51" t="str">
        <x:v>Frontier AI capital</x:v>
      </x:c>
      <x:c r="C70" s="51" t="str">
        <x:v>ACT-AMD</x:v>
      </x:c>
      <x:c r="D70" s="51" t="str">
        <x:v>AMD</x:v>
      </x:c>
      <x:c r="E70" s="51" t="str">
        <x:v>ACT-ANTHROPIC</x:v>
      </x:c>
      <x:c r="F70" s="51" t="str">
        <x:v>Anthropic</x:v>
      </x:c>
      <x:c r="G70" s="51" t="str">
        <x:v>Supplier/investor → company</x:v>
      </x:c>
      <x:c r="H70" s="51" t="str">
        <x:v>2026 onward</x:v>
      </x:c>
      <x:c r="I70" s="51" t="str">
        <x:v>Chip supply and strategic investment</x:v>
      </x:c>
      <x:c r="J70" s="51" t="str">
        <x:v>INS-038</x:v>
      </x:c>
      <x:c r="K70" s="51" t="str">
        <x:v>Up to $5 billion investment; 2 GW compute</x:v>
      </x:c>
      <x:c r="L70" s="51" t="str">
        <x:v>Semiconductor capital and server capacity</x:v>
      </x:c>
      <x:c r="M70" s="51" t="str">
        <x:v>Anthropic model-training and inference scale</x:v>
      </x:c>
      <x:c r="N70" s="51" t="str">
        <x:v>A chip supplier finances a major customer that commits to purchase its infrastructure</x:v>
      </x:c>
      <x:c r="O70" s="51" t="str">
        <x:v>Financial; technological; material</x:v>
      </x:c>
      <x:c r="P70" s="51" t="str">
        <x:v>E1</x:v>
      </x:c>
      <x:c r="Q70" s="51" t="str">
        <x:v>High</x:v>
      </x:c>
      <x:c r="R70" s="51" t="str">
        <x:v>SRC-097</x:v>
      </x:c>
      <x:c r="S70" s="51" t="str">
        <x:v>AMD announced a major server deal and milestone-dependent investment.</x:v>
      </x:c>
      <x:c r="T70" s="51" t="str">
        <x:v>Completed full investment, guaranteed purchases, or AMD control of Anthropic.</x:v>
      </x:c>
      <x:c r="U70" s="51" t="str">
        <x:v>The circular commercial structure can align incentives while concentrating counterparty risk.</x:v>
      </x:c>
      <x:c r="V70" s="51" t="str">
        <x:v>Announced</x:v>
      </x:c>
      <x:c r="W70" s="51" t="str">
        <x:v>57;76</x:v>
      </x:c>
      <x:c r="X70" s="51" t="str">
        <x:v>2026-07-27</x:v>
      </x:c>
    </x:row>
    <x:row r="71">
      <x:c r="A71" s="51" t="str">
        <x:v>ANT-014</x:v>
      </x:c>
      <x:c r="B71" s="51" t="str">
        <x:v>Frontier AI capital</x:v>
      </x:c>
      <x:c r="C71" s="51" t="str">
        <x:v>ACT-AMAZON</x:v>
      </x:c>
      <x:c r="D71" s="51" t="str">
        <x:v>Amazon</x:v>
      </x:c>
      <x:c r="E71" s="51" t="str">
        <x:v>ACT-ANTHROPIC</x:v>
      </x:c>
      <x:c r="F71" s="51" t="str">
        <x:v>Anthropic</x:v>
      </x:c>
      <x:c r="G71" s="51" t="str">
        <x:v>Investor/cloud → company</x:v>
      </x:c>
      <x:c r="H71" s="51" t="str">
        <x:v>2023–2026</x:v>
      </x:c>
      <x:c r="I71" s="51" t="str">
        <x:v>Equity and cloud relationship</x:v>
      </x:c>
      <x:c r="J71" s="51" t="str"/>
      <x:c r="K71" s="51" t="str">
        <x:v>At least $8 billion historically; further commitments reported</x:v>
      </x:c>
      <x:c r="L71" s="51" t="str">
        <x:v>AWS capital, chips and cloud</x:v>
      </x:c>
      <x:c r="M71" s="51" t="str">
        <x:v>Anthropic compute and distribution</x:v>
      </x:c>
      <x:c r="N71" s="51" t="str">
        <x:v>Cloud providers finance model labs that become anchor customers for proprietary chips</x:v>
      </x:c>
      <x:c r="O71" s="51" t="str">
        <x:v>Financial; technological; ownership</x:v>
      </x:c>
      <x:c r="P71" s="51" t="str">
        <x:v>E1</x:v>
      </x:c>
      <x:c r="Q71" s="51" t="str">
        <x:v>High</x:v>
      </x:c>
      <x:c r="R71" s="51" t="str">
        <x:v>SRC-098</x:v>
      </x:c>
      <x:c r="S71" s="51" t="str">
        <x:v>Reuters documented large Amazon investment and expanding cloud commitments.</x:v>
      </x:c>
      <x:c r="T71" s="51" t="str">
        <x:v>Amazon control of Anthropic or exclusivity over every workload.</x:v>
      </x:c>
      <x:c r="U71" s="51" t="str">
        <x:v>Anthropic also uses Google, Nvidia and AMD infrastructure.</x:v>
      </x:c>
      <x:c r="V71" s="51" t="str">
        <x:v>Active</x:v>
      </x:c>
      <x:c r="W71" s="51" t="str">
        <x:v>57;76</x:v>
      </x:c>
      <x:c r="X71" s="51" t="str">
        <x:v>2026-07-27</x:v>
      </x:c>
    </x:row>
    <x:row r="72">
      <x:c r="A72" s="51" t="str">
        <x:v>ANT-015</x:v>
      </x:c>
      <x:c r="B72" s="51" t="str">
        <x:v>Frontier AI capital</x:v>
      </x:c>
      <x:c r="C72" s="51" t="str">
        <x:v>ACT-GOOGLEGOOGLECLOUD</x:v>
      </x:c>
      <x:c r="D72" s="51" t="str">
        <x:v>Google / Google Cloud</x:v>
      </x:c>
      <x:c r="E72" s="51" t="str">
        <x:v>ACT-ANTHROPIC</x:v>
      </x:c>
      <x:c r="F72" s="51" t="str">
        <x:v>Anthropic</x:v>
      </x:c>
      <x:c r="G72" s="51" t="str">
        <x:v>Investor/cloud → company</x:v>
      </x:c>
      <x:c r="H72" s="51" t="str">
        <x:v>2023–2026</x:v>
      </x:c>
      <x:c r="I72" s="51" t="str">
        <x:v>Equity, cloud and chip relationship</x:v>
      </x:c>
      <x:c r="J72" s="51" t="str"/>
      <x:c r="K72" s="51" t="str">
        <x:v>Multi-billion-dollar commitments reported</x:v>
      </x:c>
      <x:c r="L72" s="51" t="str">
        <x:v>Google capital, TPUs and cloud</x:v>
      </x:c>
      <x:c r="M72" s="51" t="str">
        <x:v>Anthropic compute and distribution</x:v>
      </x:c>
      <x:c r="N72" s="51" t="str">
        <x:v>A platform competitor finances an independent model lab that also consumes its infrastructure</x:v>
      </x:c>
      <x:c r="O72" s="51" t="str">
        <x:v>Financial; technological; ownership</x:v>
      </x:c>
      <x:c r="P72" s="51" t="str">
        <x:v>E2</x:v>
      </x:c>
      <x:c r="Q72" s="51" t="str">
        <x:v>High</x:v>
      </x:c>
      <x:c r="R72" s="51" t="str">
        <x:v>SRC-098</x:v>
      </x:c>
      <x:c r="S72" s="51" t="str">
        <x:v>Large Google investment and cloud relationships are publicly reported.</x:v>
      </x:c>
      <x:c r="T72" s="51" t="str">
        <x:v>Google control of Anthropic or a unified product strategy.</x:v>
      </x:c>
      <x:c r="U72" s="51" t="str">
        <x:v>The companies compete in models while cooperating in infrastructure.</x:v>
      </x:c>
      <x:c r="V72" s="51" t="str">
        <x:v>Active</x:v>
      </x:c>
      <x:c r="W72" s="51" t="str">
        <x:v>57;76</x:v>
      </x:c>
      <x:c r="X72" s="51" t="str">
        <x:v>2026-07-27</x:v>
      </x:c>
    </x:row>
    <x:row r="73">
      <x:c r="A73" s="51" t="str">
        <x:v>APP-001</x:v>
      </x:c>
      <x:c r="B73" s="51" t="str">
        <x:v>Name appearance / documented contact</x:v>
      </x:c>
      <x:c r="C73" s="51" t="str">
        <x:v>ACT-BILLCLINTON</x:v>
      </x:c>
      <x:c r="D73" s="51" t="str">
        <x:v>Bill Clinton</x:v>
      </x:c>
      <x:c r="E73" s="51" t="str">
        <x:v>ACT-JEFFREYEPSTEIN</x:v>
      </x:c>
      <x:c r="F73" s="51" t="str">
        <x:v>Jeffrey Epstein</x:v>
      </x:c>
      <x:c r="G73" s="51" t="str">
        <x:v>Person ↔ person</x:v>
      </x:c>
      <x:c r="H73" s="51" t="str">
        <x:v>Varies</x:v>
      </x:c>
      <x:c r="I73" s="51" t="str">
        <x:v>Documented association and file appearance</x:v>
      </x:c>
      <x:c r="J73" s="51" t="str"/>
      <x:c r="K73" s="51" t="str">
        <x:v>Not necessarily financial</x:v>
      </x:c>
      <x:c r="L73" s="51" t="str">
        <x:v>Social, professional or scheduled contact</x:v>
      </x:c>
      <x:c r="M73" s="51" t="str">
        <x:v>File/document appearance or verified contact</x:v>
      </x:c>
      <x:c r="N73" s="51" t="str">
        <x:v>The register distinguishes a documented edge from unsupported guilt-by-association</x:v>
      </x:c>
      <x:c r="O73" s="51" t="str">
        <x:v>Relational; epistemic</x:v>
      </x:c>
      <x:c r="P73" s="51" t="str">
        <x:v>E2</x:v>
      </x:c>
      <x:c r="Q73" s="51" t="str">
        <x:v>Moderate</x:v>
      </x:c>
      <x:c r="R73" s="51" t="str">
        <x:v>SRC-054; SRC-057</x:v>
      </x:c>
      <x:c r="S73" s="51" t="str">
        <x:v>A historical association and appearances in released material.</x:v>
      </x:c>
      <x:c r="T73" s="51" t="str">
        <x:v>Criminal participation or knowledge from appearance alone.</x:v>
      </x:c>
      <x:c r="U73" s="51" t="str">
        <x:v>Degree, chronology and completion of scheduled meetings vary; consult underlying records.</x:v>
      </x:c>
      <x:c r="V73" s="51" t="str">
        <x:v>Historical / relationship-specific</x:v>
      </x:c>
      <x:c r="W73" s="51" t="str">
        <x:v>19;52;53</x:v>
      </x:c>
      <x:c r="X73" s="51" t="str">
        <x:v>2026-07-27</x:v>
      </x:c>
    </x:row>
    <x:row r="74">
      <x:c r="A74" s="51" t="str">
        <x:v>APP-002</x:v>
      </x:c>
      <x:c r="B74" s="51" t="str">
        <x:v>Name appearance / documented contact</x:v>
      </x:c>
      <x:c r="C74" s="51" t="str">
        <x:v>ACT-ANDREWMOUNTBATTENWINDSOR</x:v>
      </x:c>
      <x:c r="D74" s="51" t="str">
        <x:v>Andrew Mountbatten-Windsor</x:v>
      </x:c>
      <x:c r="E74" s="51" t="str">
        <x:v>ACT-JEFFREYEPSTEIN</x:v>
      </x:c>
      <x:c r="F74" s="51" t="str">
        <x:v>Jeffrey Epstein</x:v>
      </x:c>
      <x:c r="G74" s="51" t="str">
        <x:v>Person ↔ person</x:v>
      </x:c>
      <x:c r="H74" s="51" t="str">
        <x:v>Varies</x:v>
      </x:c>
      <x:c r="I74" s="51" t="str">
        <x:v>Extensive documented association</x:v>
      </x:c>
      <x:c r="J74" s="51" t="str"/>
      <x:c r="K74" s="51" t="str">
        <x:v>Not necessarily financial</x:v>
      </x:c>
      <x:c r="L74" s="51" t="str">
        <x:v>Social, professional or scheduled contact</x:v>
      </x:c>
      <x:c r="M74" s="51" t="str">
        <x:v>File/document appearance or verified contact</x:v>
      </x:c>
      <x:c r="N74" s="51" t="str">
        <x:v>The register distinguishes a documented edge from unsupported guilt-by-association</x:v>
      </x:c>
      <x:c r="O74" s="51" t="str">
        <x:v>Relational; epistemic</x:v>
      </x:c>
      <x:c r="P74" s="51" t="str">
        <x:v>E2</x:v>
      </x:c>
      <x:c r="Q74" s="51" t="str">
        <x:v>Moderate</x:v>
      </x:c>
      <x:c r="R74" s="51" t="str">
        <x:v>SRC-054; SRC-057</x:v>
      </x:c>
      <x:c r="S74" s="51" t="str">
        <x:v>A substantial social relationship existed.</x:v>
      </x:c>
      <x:c r="T74" s="51" t="str">
        <x:v>Every allegation, criminal liability or knowledge beyond adjudicated/settled facts.</x:v>
      </x:c>
      <x:c r="U74" s="51" t="str">
        <x:v>Degree, chronology and completion of scheduled meetings vary; consult underlying records.</x:v>
      </x:c>
      <x:c r="V74" s="51" t="str">
        <x:v>Historical / relationship-specific</x:v>
      </x:c>
      <x:c r="W74" s="51" t="str">
        <x:v>19;52;53</x:v>
      </x:c>
      <x:c r="X74" s="51" t="str">
        <x:v>2026-07-27</x:v>
      </x:c>
    </x:row>
    <x:row r="75">
      <x:c r="A75" s="51" t="str">
        <x:v>APP-003</x:v>
      </x:c>
      <x:c r="B75" s="51" t="str">
        <x:v>Name appearance / documented contact</x:v>
      </x:c>
      <x:c r="C75" s="51" t="str">
        <x:v>ACT-ELONMUSK</x:v>
      </x:c>
      <x:c r="D75" s="51" t="str">
        <x:v>Elon Musk</x:v>
      </x:c>
      <x:c r="E75" s="51" t="str">
        <x:v>ACT-JEFFREYEPSTEIN</x:v>
      </x:c>
      <x:c r="F75" s="51" t="str">
        <x:v>Jeffrey Epstein</x:v>
      </x:c>
      <x:c r="G75" s="51" t="str">
        <x:v>Person ↔ person</x:v>
      </x:c>
      <x:c r="H75" s="51" t="str">
        <x:v>Varies</x:v>
      </x:c>
      <x:c r="I75" s="51" t="str">
        <x:v>Emails discussing possible island visit / file appearance</x:v>
      </x:c>
      <x:c r="J75" s="51" t="str"/>
      <x:c r="K75" s="51" t="str">
        <x:v>Not necessarily financial</x:v>
      </x:c>
      <x:c r="L75" s="51" t="str">
        <x:v>Social, professional or scheduled contact</x:v>
      </x:c>
      <x:c r="M75" s="51" t="str">
        <x:v>File/document appearance or verified contact</x:v>
      </x:c>
      <x:c r="N75" s="51" t="str">
        <x:v>The register distinguishes a documented edge from unsupported guilt-by-association</x:v>
      </x:c>
      <x:c r="O75" s="51" t="str">
        <x:v>Relational; epistemic</x:v>
      </x:c>
      <x:c r="P75" s="51" t="str">
        <x:v>E2</x:v>
      </x:c>
      <x:c r="Q75" s="51" t="str">
        <x:v>Moderate</x:v>
      </x:c>
      <x:c r="R75" s="51" t="str">
        <x:v>SRC-054; SRC-057</x:v>
      </x:c>
      <x:c r="S75" s="51" t="str">
        <x:v>Communications or invitations were reported.</x:v>
      </x:c>
      <x:c r="T75" s="51" t="str">
        <x:v>That Musk visited the island, partnered with Epstein or committed crimes.</x:v>
      </x:c>
      <x:c r="U75" s="51" t="str">
        <x:v>Degree, chronology and completion of scheduled meetings vary; consult underlying records.</x:v>
      </x:c>
      <x:c r="V75" s="51" t="str">
        <x:v>Historical / relationship-specific</x:v>
      </x:c>
      <x:c r="W75" s="51" t="str">
        <x:v>19;52;53</x:v>
      </x:c>
      <x:c r="X75" s="51" t="str">
        <x:v>2026-07-27</x:v>
      </x:c>
    </x:row>
    <x:row r="76">
      <x:c r="A76" s="51" t="str">
        <x:v>APP-004</x:v>
      </x:c>
      <x:c r="B76" s="51" t="str">
        <x:v>Name appearance / documented contact</x:v>
      </x:c>
      <x:c r="C76" s="51" t="str">
        <x:v>ACT-SERGEYBRIN</x:v>
      </x:c>
      <x:c r="D76" s="51" t="str">
        <x:v>Sergey Brin</x:v>
      </x:c>
      <x:c r="E76" s="51" t="str">
        <x:v>ACT-JEFFREYEPSTEIN</x:v>
      </x:c>
      <x:c r="F76" s="51" t="str">
        <x:v>Jeffrey Epstein</x:v>
      </x:c>
      <x:c r="G76" s="51" t="str">
        <x:v>Person ↔ person</x:v>
      </x:c>
      <x:c r="H76" s="51" t="str">
        <x:v>Varies</x:v>
      </x:c>
      <x:c r="I76" s="51" t="str">
        <x:v>Appearance in released-file reporting</x:v>
      </x:c>
      <x:c r="J76" s="51" t="str"/>
      <x:c r="K76" s="51" t="str">
        <x:v>Not necessarily financial</x:v>
      </x:c>
      <x:c r="L76" s="51" t="str">
        <x:v>Social, professional or scheduled contact</x:v>
      </x:c>
      <x:c r="M76" s="51" t="str">
        <x:v>File/document appearance or verified contact</x:v>
      </x:c>
      <x:c r="N76" s="51" t="str">
        <x:v>The register distinguishes a documented edge from unsupported guilt-by-association</x:v>
      </x:c>
      <x:c r="O76" s="51" t="str">
        <x:v>Relational; epistemic</x:v>
      </x:c>
      <x:c r="P76" s="51" t="str">
        <x:v>E2</x:v>
      </x:c>
      <x:c r="Q76" s="51" t="str">
        <x:v>Moderate</x:v>
      </x:c>
      <x:c r="R76" s="51" t="str">
        <x:v>SRC-057</x:v>
      </x:c>
      <x:c r="S76" s="51" t="str">
        <x:v>The name/association appears in major reporting.</x:v>
      </x:c>
      <x:c r="T76" s="51" t="str">
        <x:v>A verified close relationship or criminal knowledge.</x:v>
      </x:c>
      <x:c r="U76" s="51" t="str">
        <x:v>Degree, chronology and completion of scheduled meetings vary; consult underlying records.</x:v>
      </x:c>
      <x:c r="V76" s="51" t="str">
        <x:v>Historical / relationship-specific</x:v>
      </x:c>
      <x:c r="W76" s="51" t="str">
        <x:v>19;52;53</x:v>
      </x:c>
      <x:c r="X76" s="51" t="str">
        <x:v>2026-07-27</x:v>
      </x:c>
    </x:row>
    <x:row r="77">
      <x:c r="A77" s="51" t="str">
        <x:v>APP-005</x:v>
      </x:c>
      <x:c r="B77" s="51" t="str">
        <x:v>Name appearance / documented contact</x:v>
      </x:c>
      <x:c r="C77" s="51" t="str">
        <x:v>ACT-HOWARDLUTNICK</x:v>
      </x:c>
      <x:c r="D77" s="51" t="str">
        <x:v>Howard Lutnick</x:v>
      </x:c>
      <x:c r="E77" s="51" t="str">
        <x:v>ACT-JEFFREYEPSTEIN</x:v>
      </x:c>
      <x:c r="F77" s="51" t="str">
        <x:v>Jeffrey Epstein</x:v>
      </x:c>
      <x:c r="G77" s="51" t="str">
        <x:v>Person ↔ person</x:v>
      </x:c>
      <x:c r="H77" s="51" t="str">
        <x:v>Varies</x:v>
      </x:c>
      <x:c r="I77" s="51" t="str">
        <x:v>Documented social contact</x:v>
      </x:c>
      <x:c r="J77" s="51" t="str"/>
      <x:c r="K77" s="51" t="str">
        <x:v>Not necessarily financial</x:v>
      </x:c>
      <x:c r="L77" s="51" t="str">
        <x:v>Social, professional or scheduled contact</x:v>
      </x:c>
      <x:c r="M77" s="51" t="str">
        <x:v>File/document appearance or verified contact</x:v>
      </x:c>
      <x:c r="N77" s="51" t="str">
        <x:v>The register distinguishes a documented edge from unsupported guilt-by-association</x:v>
      </x:c>
      <x:c r="O77" s="51" t="str">
        <x:v>Relational; epistemic</x:v>
      </x:c>
      <x:c r="P77" s="51" t="str">
        <x:v>E2</x:v>
      </x:c>
      <x:c r="Q77" s="51" t="str">
        <x:v>Moderate</x:v>
      </x:c>
      <x:c r="R77" s="51" t="str">
        <x:v>SRC-054; SRC-057</x:v>
      </x:c>
      <x:c r="S77" s="51" t="str">
        <x:v>Historical contact and an apparent island lunch were reported.</x:v>
      </x:c>
      <x:c r="T77" s="51" t="str">
        <x:v>Criminal participation or that current public office arose from Epstein.</x:v>
      </x:c>
      <x:c r="U77" s="51" t="str">
        <x:v>Degree, chronology and completion of scheduled meetings vary; consult underlying records.</x:v>
      </x:c>
      <x:c r="V77" s="51" t="str">
        <x:v>Historical / relationship-specific</x:v>
      </x:c>
      <x:c r="W77" s="51" t="str">
        <x:v>19;52;53</x:v>
      </x:c>
      <x:c r="X77" s="51" t="str">
        <x:v>2026-07-27</x:v>
      </x:c>
    </x:row>
    <x:row r="78">
      <x:c r="A78" s="51" t="str">
        <x:v>APP-006</x:v>
      </x:c>
      <x:c r="B78" s="51" t="str">
        <x:v>Name appearance / documented contact</x:v>
      </x:c>
      <x:c r="C78" s="51" t="str">
        <x:v>ACT-STEVEBANNON</x:v>
      </x:c>
      <x:c r="D78" s="51" t="str">
        <x:v>Steve Bannon</x:v>
      </x:c>
      <x:c r="E78" s="51" t="str">
        <x:v>ACT-JEFFREYEPSTEIN</x:v>
      </x:c>
      <x:c r="F78" s="51" t="str">
        <x:v>Jeffrey Epstein</x:v>
      </x:c>
      <x:c r="G78" s="51" t="str">
        <x:v>Person ↔ person</x:v>
      </x:c>
      <x:c r="H78" s="51" t="str">
        <x:v>Varies</x:v>
      </x:c>
      <x:c r="I78" s="51" t="str">
        <x:v>Reported repeated communications</x:v>
      </x:c>
      <x:c r="J78" s="51" t="str"/>
      <x:c r="K78" s="51" t="str">
        <x:v>Not necessarily financial</x:v>
      </x:c>
      <x:c r="L78" s="51" t="str">
        <x:v>Social, professional or scheduled contact</x:v>
      </x:c>
      <x:c r="M78" s="51" t="str">
        <x:v>File/document appearance or verified contact</x:v>
      </x:c>
      <x:c r="N78" s="51" t="str">
        <x:v>The register distinguishes a documented edge from unsupported guilt-by-association</x:v>
      </x:c>
      <x:c r="O78" s="51" t="str">
        <x:v>Relational; epistemic</x:v>
      </x:c>
      <x:c r="P78" s="51" t="str">
        <x:v>E2</x:v>
      </x:c>
      <x:c r="Q78" s="51" t="str">
        <x:v>Moderate</x:v>
      </x:c>
      <x:c r="R78" s="51" t="str">
        <x:v>SRC-057</x:v>
      </x:c>
      <x:c r="S78" s="51" t="str">
        <x:v>A communications relationship was reported.</x:v>
      </x:c>
      <x:c r="T78" s="51" t="str">
        <x:v>Shared criminal purpose or control of political events.</x:v>
      </x:c>
      <x:c r="U78" s="51" t="str">
        <x:v>Degree, chronology and completion of scheduled meetings vary; consult underlying records.</x:v>
      </x:c>
      <x:c r="V78" s="51" t="str">
        <x:v>Historical / relationship-specific</x:v>
      </x:c>
      <x:c r="W78" s="51" t="str">
        <x:v>19;52;53</x:v>
      </x:c>
      <x:c r="X78" s="51" t="str">
        <x:v>2026-07-27</x:v>
      </x:c>
    </x:row>
    <x:row r="79">
      <x:c r="A79" s="51" t="str">
        <x:v>APP-007</x:v>
      </x:c>
      <x:c r="B79" s="51" t="str">
        <x:v>Name appearance / documented contact</x:v>
      </x:c>
      <x:c r="C79" s="51" t="str">
        <x:v>ACT-PETERATTIA</x:v>
      </x:c>
      <x:c r="D79" s="51" t="str">
        <x:v>Peter Attia</x:v>
      </x:c>
      <x:c r="E79" s="51" t="str">
        <x:v>ACT-JEFFREYEPSTEIN</x:v>
      </x:c>
      <x:c r="F79" s="51" t="str">
        <x:v>Jeffrey Epstein</x:v>
      </x:c>
      <x:c r="G79" s="51" t="str">
        <x:v>Person ↔ person</x:v>
      </x:c>
      <x:c r="H79" s="51" t="str">
        <x:v>Varies</x:v>
      </x:c>
      <x:c r="I79" s="51" t="str">
        <x:v>Documented meetings</x:v>
      </x:c>
      <x:c r="J79" s="51" t="str"/>
      <x:c r="K79" s="51" t="str">
        <x:v>Not necessarily financial</x:v>
      </x:c>
      <x:c r="L79" s="51" t="str">
        <x:v>Social, professional or scheduled contact</x:v>
      </x:c>
      <x:c r="M79" s="51" t="str">
        <x:v>File/document appearance or verified contact</x:v>
      </x:c>
      <x:c r="N79" s="51" t="str">
        <x:v>The register distinguishes a documented edge from unsupported guilt-by-association</x:v>
      </x:c>
      <x:c r="O79" s="51" t="str">
        <x:v>Relational; epistemic</x:v>
      </x:c>
      <x:c r="P79" s="51" t="str">
        <x:v>E2</x:v>
      </x:c>
      <x:c r="Q79" s="51" t="str">
        <x:v>Moderate</x:v>
      </x:c>
      <x:c r="R79" s="51" t="str">
        <x:v>SRC-054</x:v>
      </x:c>
      <x:c r="S79" s="51" t="str">
        <x:v>Attia acknowledged several meetings.</x:v>
      </x:c>
      <x:c r="T79" s="51" t="str">
        <x:v>Knowledge of or participation in crimes.</x:v>
      </x:c>
      <x:c r="U79" s="51" t="str">
        <x:v>Degree, chronology and completion of scheduled meetings vary; consult underlying records.</x:v>
      </x:c>
      <x:c r="V79" s="51" t="str">
        <x:v>Historical / relationship-specific</x:v>
      </x:c>
      <x:c r="W79" s="51" t="str">
        <x:v>19;52;53</x:v>
      </x:c>
      <x:c r="X79" s="51" t="str">
        <x:v>2026-07-27</x:v>
      </x:c>
    </x:row>
    <x:row r="80">
      <x:c r="A80" s="51" t="str">
        <x:v>APP-008</x:v>
      </x:c>
      <x:c r="B80" s="51" t="str">
        <x:v>Name appearance / documented contact</x:v>
      </x:c>
      <x:c r="C80" s="51" t="str">
        <x:v>ACT-KATHYRUEMMLER</x:v>
      </x:c>
      <x:c r="D80" s="51" t="str">
        <x:v>Kathy Ruemmler</x:v>
      </x:c>
      <x:c r="E80" s="51" t="str">
        <x:v>ACT-JEFFREYEPSTEIN</x:v>
      </x:c>
      <x:c r="F80" s="51" t="str">
        <x:v>Jeffrey Epstein</x:v>
      </x:c>
      <x:c r="G80" s="51" t="str">
        <x:v>Person ↔ person</x:v>
      </x:c>
      <x:c r="H80" s="51" t="str">
        <x:v>Varies</x:v>
      </x:c>
      <x:c r="I80" s="51" t="str">
        <x:v>Documented gifts/advice relationship</x:v>
      </x:c>
      <x:c r="J80" s="51" t="str"/>
      <x:c r="K80" s="51" t="str">
        <x:v>Not necessarily financial</x:v>
      </x:c>
      <x:c r="L80" s="51" t="str">
        <x:v>Social, professional or scheduled contact</x:v>
      </x:c>
      <x:c r="M80" s="51" t="str">
        <x:v>File/document appearance or verified contact</x:v>
      </x:c>
      <x:c r="N80" s="51" t="str">
        <x:v>The register distinguishes a documented edge from unsupported guilt-by-association</x:v>
      </x:c>
      <x:c r="O80" s="51" t="str">
        <x:v>Relational; epistemic</x:v>
      </x:c>
      <x:c r="P80" s="51" t="str">
        <x:v>E2</x:v>
      </x:c>
      <x:c r="Q80" s="51" t="str">
        <x:v>Moderate</x:v>
      </x:c>
      <x:c r="R80" s="51" t="str">
        <x:v>SRC-054</x:v>
      </x:c>
      <x:c r="S80" s="51" t="str">
        <x:v>A personal/professional relationship was reported.</x:v>
      </x:c>
      <x:c r="T80" s="51" t="str">
        <x:v>Criminal participation or Goldman institutional knowledge.</x:v>
      </x:c>
      <x:c r="U80" s="51" t="str">
        <x:v>Degree, chronology and completion of scheduled meetings vary; consult underlying records.</x:v>
      </x:c>
      <x:c r="V80" s="51" t="str">
        <x:v>Historical / relationship-specific</x:v>
      </x:c>
      <x:c r="W80" s="51" t="str">
        <x:v>19;52;53</x:v>
      </x:c>
      <x:c r="X80" s="51" t="str">
        <x:v>2026-07-27</x:v>
      </x:c>
    </x:row>
    <x:row r="81">
      <x:c r="A81" s="51" t="str">
        <x:v>APP-009</x:v>
      </x:c>
      <x:c r="B81" s="51" t="str">
        <x:v>Name appearance / documented contact</x:v>
      </x:c>
      <x:c r="C81" s="51" t="str">
        <x:v>ACT-BRADKARP</x:v>
      </x:c>
      <x:c r="D81" s="51" t="str">
        <x:v>Brad Karp</x:v>
      </x:c>
      <x:c r="E81" s="51" t="str">
        <x:v>ACT-JEFFREYEPSTEIN</x:v>
      </x:c>
      <x:c r="F81" s="51" t="str">
        <x:v>Jeffrey Epstein</x:v>
      </x:c>
      <x:c r="G81" s="51" t="str">
        <x:v>Person ↔ person</x:v>
      </x:c>
      <x:c r="H81" s="51" t="str">
        <x:v>Varies</x:v>
      </x:c>
      <x:c r="I81" s="51" t="str">
        <x:v>Documented personal/business communications</x:v>
      </x:c>
      <x:c r="J81" s="51" t="str"/>
      <x:c r="K81" s="51" t="str">
        <x:v>Not necessarily financial</x:v>
      </x:c>
      <x:c r="L81" s="51" t="str">
        <x:v>Social, professional or scheduled contact</x:v>
      </x:c>
      <x:c r="M81" s="51" t="str">
        <x:v>File/document appearance or verified contact</x:v>
      </x:c>
      <x:c r="N81" s="51" t="str">
        <x:v>The register distinguishes a documented edge from unsupported guilt-by-association</x:v>
      </x:c>
      <x:c r="O81" s="51" t="str">
        <x:v>Relational; epistemic</x:v>
      </x:c>
      <x:c r="P81" s="51" t="str">
        <x:v>E2</x:v>
      </x:c>
      <x:c r="Q81" s="51" t="str">
        <x:v>Moderate</x:v>
      </x:c>
      <x:c r="R81" s="51" t="str">
        <x:v>SRC-054</x:v>
      </x:c>
      <x:c r="S81" s="51" t="str">
        <x:v>Communications existed.</x:v>
      </x:c>
      <x:c r="T81" s="51" t="str">
        <x:v>Criminal participation or Paul Weiss institutional involvement.</x:v>
      </x:c>
      <x:c r="U81" s="51" t="str">
        <x:v>Degree, chronology and completion of scheduled meetings vary; consult underlying records.</x:v>
      </x:c>
      <x:c r="V81" s="51" t="str">
        <x:v>Historical / relationship-specific</x:v>
      </x:c>
      <x:c r="W81" s="51" t="str">
        <x:v>19;52;53</x:v>
      </x:c>
      <x:c r="X81" s="51" t="str">
        <x:v>2026-07-27</x:v>
      </x:c>
    </x:row>
    <x:row r="82">
      <x:c r="A82" s="51" t="str">
        <x:v>APP-010</x:v>
      </x:c>
      <x:c r="B82" s="51" t="str">
        <x:v>Name appearance / documented contact</x:v>
      </x:c>
      <x:c r="C82" s="51" t="str">
        <x:v>ACT-BORGEBRENDE</x:v>
      </x:c>
      <x:c r="D82" s="51" t="str">
        <x:v>Borge Brende</x:v>
      </x:c>
      <x:c r="E82" s="51" t="str">
        <x:v>ACT-JEFFREYEPSTEIN</x:v>
      </x:c>
      <x:c r="F82" s="51" t="str">
        <x:v>Jeffrey Epstein</x:v>
      </x:c>
      <x:c r="G82" s="51" t="str">
        <x:v>Person ↔ person</x:v>
      </x:c>
      <x:c r="H82" s="51" t="str">
        <x:v>Varies</x:v>
      </x:c>
      <x:c r="I82" s="51" t="str">
        <x:v>Documented dinners/emails</x:v>
      </x:c>
      <x:c r="J82" s="51" t="str"/>
      <x:c r="K82" s="51" t="str">
        <x:v>Not necessarily financial</x:v>
      </x:c>
      <x:c r="L82" s="51" t="str">
        <x:v>Social, professional or scheduled contact</x:v>
      </x:c>
      <x:c r="M82" s="51" t="str">
        <x:v>File/document appearance or verified contact</x:v>
      </x:c>
      <x:c r="N82" s="51" t="str">
        <x:v>The register distinguishes a documented edge from unsupported guilt-by-association</x:v>
      </x:c>
      <x:c r="O82" s="51" t="str">
        <x:v>Relational; epistemic</x:v>
      </x:c>
      <x:c r="P82" s="51" t="str">
        <x:v>E2</x:v>
      </x:c>
      <x:c r="Q82" s="51" t="str">
        <x:v>Moderate</x:v>
      </x:c>
      <x:c r="R82" s="51" t="str">
        <x:v>SRC-054</x:v>
      </x:c>
      <x:c r="S82" s="51" t="str">
        <x:v>A relationship existed and had institutional consequences.</x:v>
      </x:c>
      <x:c r="T82" s="51" t="str">
        <x:v>Criminal participation or WEF endorsement.</x:v>
      </x:c>
      <x:c r="U82" s="51" t="str">
        <x:v>Degree, chronology and completion of scheduled meetings vary; consult underlying records.</x:v>
      </x:c>
      <x:c r="V82" s="51" t="str">
        <x:v>Historical / relationship-specific</x:v>
      </x:c>
      <x:c r="W82" s="51" t="str">
        <x:v>19;52;53</x:v>
      </x:c>
      <x:c r="X82" s="51" t="str">
        <x:v>2026-07-27</x:v>
      </x:c>
    </x:row>
    <x:row r="83">
      <x:c r="A83" s="51" t="str">
        <x:v>APP-011</x:v>
      </x:c>
      <x:c r="B83" s="51" t="str">
        <x:v>Name appearance / documented contact</x:v>
      </x:c>
      <x:c r="C83" s="51" t="str">
        <x:v>ACT-NOAMCHOMSKY</x:v>
      </x:c>
      <x:c r="D83" s="51" t="str">
        <x:v>Noam Chomsky</x:v>
      </x:c>
      <x:c r="E83" s="51" t="str">
        <x:v>ACT-JEFFREYEPSTEIN</x:v>
      </x:c>
      <x:c r="F83" s="51" t="str">
        <x:v>Jeffrey Epstein</x:v>
      </x:c>
      <x:c r="G83" s="51" t="str">
        <x:v>Person ↔ person</x:v>
      </x:c>
      <x:c r="H83" s="51" t="str">
        <x:v>Varies</x:v>
      </x:c>
      <x:c r="I83" s="51" t="str">
        <x:v>Documented meetings</x:v>
      </x:c>
      <x:c r="J83" s="51" t="str"/>
      <x:c r="K83" s="51" t="str">
        <x:v>Not necessarily financial</x:v>
      </x:c>
      <x:c r="L83" s="51" t="str">
        <x:v>Social, professional or scheduled contact</x:v>
      </x:c>
      <x:c r="M83" s="51" t="str">
        <x:v>File/document appearance or verified contact</x:v>
      </x:c>
      <x:c r="N83" s="51" t="str">
        <x:v>The register distinguishes a documented edge from unsupported guilt-by-association</x:v>
      </x:c>
      <x:c r="O83" s="51" t="str">
        <x:v>Relational; epistemic</x:v>
      </x:c>
      <x:c r="P83" s="51" t="str">
        <x:v>E2</x:v>
      </x:c>
      <x:c r="Q83" s="51" t="str">
        <x:v>Moderate</x:v>
      </x:c>
      <x:c r="R83" s="51" t="str">
        <x:v>SRC-057</x:v>
      </x:c>
      <x:c r="S83" s="51" t="str">
        <x:v>Meetings occurred.</x:v>
      </x:c>
      <x:c r="T83" s="51" t="str">
        <x:v>Financial dependency, criminal knowledge or shared purpose.</x:v>
      </x:c>
      <x:c r="U83" s="51" t="str">
        <x:v>Degree, chronology and completion of scheduled meetings vary; consult underlying records.</x:v>
      </x:c>
      <x:c r="V83" s="51" t="str">
        <x:v>Historical / relationship-specific</x:v>
      </x:c>
      <x:c r="W83" s="51" t="str">
        <x:v>19;52;53</x:v>
      </x:c>
      <x:c r="X83" s="51" t="str">
        <x:v>2026-07-27</x:v>
      </x:c>
    </x:row>
    <x:row r="84">
      <x:c r="A84" s="51" t="str">
        <x:v>APPSTORE-001</x:v>
      </x:c>
      <x:c r="B84" s="51" t="str">
        <x:v>Application distribution gatekeeping</x:v>
      </x:c>
      <x:c r="C84" s="51" t="str">
        <x:v>ACT-APPLE</x:v>
      </x:c>
      <x:c r="D84" s="51" t="str">
        <x:v>Apple</x:v>
      </x:c>
      <x:c r="E84" s="51" t="str">
        <x:v>ACT-APPSTORE</x:v>
      </x:c>
      <x:c r="F84" s="51" t="str">
        <x:v>App Store</x:v>
      </x:c>
      <x:c r="G84" s="51" t="str">
        <x:v>Company → platform</x:v>
      </x:c>
      <x:c r="H84" s="51" t="str">
        <x:v>Ongoing</x:v>
      </x:c>
      <x:c r="I84" s="51" t="str">
        <x:v>Ownership and rule-setting</x:v>
      </x:c>
      <x:c r="J84" s="51" t="str">
        <x:v>INS-081</x:v>
      </x:c>
      <x:c r="K84" s="51" t="str">
        <x:v>Global iOS ecosystem</x:v>
      </x:c>
      <x:c r="L84" s="51" t="str">
        <x:v>Operating-system control and developer agreements</x:v>
      </x:c>
      <x:c r="M84" s="51" t="str">
        <x:v>App review, distribution and payment access</x:v>
      </x:c>
      <x:c r="N84" s="51" t="str">
        <x:v>Device ownership and operating-system control are converted into permission over third-party software distribution</x:v>
      </x:c>
      <x:c r="O84" s="51" t="str">
        <x:v>Ownership; informational; financial; enforcement</x:v>
      </x:c>
      <x:c r="P84" s="51" t="str">
        <x:v>E1</x:v>
      </x:c>
      <x:c r="Q84" s="51" t="str">
        <x:v>Very high</x:v>
      </x:c>
      <x:c r="R84" s="51" t="str">
        <x:v>SRC-166</x:v>
      </x:c>
      <x:c r="S84" s="51" t="str">
        <x:v>Apple controls App Store review and distribution rules.</x:v>
      </x:c>
      <x:c r="T84" s="51" t="str">
        <x:v>Ownership of developer businesses or absence of security benefits.</x:v>
      </x:c>
      <x:c r="U84" s="51" t="str">
        <x:v>Alternative distribution differs by jurisdiction and device policy.</x:v>
      </x:c>
      <x:c r="V84" s="51" t="str">
        <x:v>Active</x:v>
      </x:c>
      <x:c r="W84" s="51" t="str">
        <x:v>57;73</x:v>
      </x:c>
      <x:c r="X84" s="51" t="str">
        <x:v>2026-07-27</x:v>
      </x:c>
    </x:row>
    <x:row r="85">
      <x:c r="A85" s="51" t="str">
        <x:v>APPSTORE-002</x:v>
      </x:c>
      <x:c r="B85" s="51" t="str">
        <x:v>Application distribution gatekeeping</x:v>
      </x:c>
      <x:c r="C85" s="51" t="str">
        <x:v>ACT-ALPHABET</x:v>
      </x:c>
      <x:c r="D85" s="51" t="str">
        <x:v>Alphabet</x:v>
      </x:c>
      <x:c r="E85" s="51" t="str">
        <x:v>ACT-GOOGLEPLAY</x:v>
      </x:c>
      <x:c r="F85" s="51" t="str">
        <x:v>Google Play</x:v>
      </x:c>
      <x:c r="G85" s="51" t="str">
        <x:v>Company → platform</x:v>
      </x:c>
      <x:c r="H85" s="51" t="str">
        <x:v>Ongoing</x:v>
      </x:c>
      <x:c r="I85" s="51" t="str">
        <x:v>Ownership and rule-setting</x:v>
      </x:c>
      <x:c r="J85" s="51" t="str">
        <x:v>INS-082</x:v>
      </x:c>
      <x:c r="K85" s="51" t="str">
        <x:v>Global Android distribution ecosystem</x:v>
      </x:c>
      <x:c r="L85" s="51" t="str">
        <x:v>Android services, store ranking and billing</x:v>
      </x:c>
      <x:c r="M85" s="51" t="str">
        <x:v>App distribution and monetisation</x:v>
      </x:c>
      <x:c r="N85" s="51" t="str">
        <x:v>A platform converts installed-base and service integration into developer dependence and fee power</x:v>
      </x:c>
      <x:c r="O85" s="51" t="str">
        <x:v>Ownership; informational; financial</x:v>
      </x:c>
      <x:c r="P85" s="51" t="str">
        <x:v>E1</x:v>
      </x:c>
      <x:c r="Q85" s="51" t="str">
        <x:v>Very high</x:v>
      </x:c>
      <x:c r="R85" s="51" t="str">
        <x:v>SRC-167</x:v>
      </x:c>
      <x:c r="S85" s="51" t="str">
        <x:v>Google sets Play service fees and distribution conditions.</x:v>
      </x:c>
      <x:c r="T85" s="51" t="str">
        <x:v>Exclusive Android distribution in every jurisdiction or ownership of developer content.</x:v>
      </x:c>
      <x:c r="U85" s="51" t="str">
        <x:v>Android permits more sideloading than iOS, but Play remains a major channel.</x:v>
      </x:c>
      <x:c r="V85" s="51" t="str">
        <x:v>Active</x:v>
      </x:c>
      <x:c r="W85" s="51" t="str">
        <x:v>57;73</x:v>
      </x:c>
      <x:c r="X85" s="51" t="str">
        <x:v>2026-07-27</x:v>
      </x:c>
    </x:row>
    <x:row r="86">
      <x:c r="A86" s="51" t="str">
        <x:v>APPSTORE-003</x:v>
      </x:c>
      <x:c r="B86" s="51" t="str">
        <x:v>Application distribution gatekeeping</x:v>
      </x:c>
      <x:c r="C86" s="51" t="str">
        <x:v>ACT-APPSTORE</x:v>
      </x:c>
      <x:c r="D86" s="51" t="str">
        <x:v>App Store</x:v>
      </x:c>
      <x:c r="E86" s="51" t="str">
        <x:v>ACT-MOBILEAPPLICATIONDEVELOP</x:v>
      </x:c>
      <x:c r="F86" s="51" t="str">
        <x:v>Mobile application developers</x:v>
      </x:c>
      <x:c r="G86" s="51" t="str">
        <x:v>Platform → developers</x:v>
      </x:c>
      <x:c r="H86" s="51" t="str">
        <x:v>Ongoing</x:v>
      </x:c>
      <x:c r="I86" s="51" t="str">
        <x:v>Review, ranking, billing and fee relationship</x:v>
      </x:c>
      <x:c r="J86" s="51" t="str">
        <x:v>INS-081</x:v>
      </x:c>
      <x:c r="K86" s="51" t="str">
        <x:v>Platform scale</x:v>
      </x:c>
      <x:c r="L86" s="51" t="str">
        <x:v>Developer code, content and customer access</x:v>
      </x:c>
      <x:c r="M86" s="51" t="str">
        <x:v>Approval, discovery, payments or removal</x:v>
      </x:c>
      <x:c r="N86" s="51" t="str">
        <x:v>Distribution gatekeepers can impose business and content rules without acquiring the developer</x:v>
      </x:c>
      <x:c r="O86" s="51" t="str">
        <x:v>Informational; financial; enforcement</x:v>
      </x:c>
      <x:c r="P86" s="51" t="str">
        <x:v>E1</x:v>
      </x:c>
      <x:c r="Q86" s="51" t="str">
        <x:v>Very high</x:v>
      </x:c>
      <x:c r="R86" s="51" t="str">
        <x:v>SRC-166</x:v>
      </x:c>
      <x:c r="S86" s="51" t="str">
        <x:v>App Store publishes binding developer rules and fee structures.</x:v>
      </x:c>
      <x:c r="T86" s="51" t="str">
        <x:v>Uniform treatment, absence of appeal or complete control of all software distribution.</x:v>
      </x:c>
      <x:c r="U86" s="51" t="str">
        <x:v>Developers may use web, enterprise or alternative channels to varying degrees.</x:v>
      </x:c>
      <x:c r="V86" s="51" t="str">
        <x:v>Active</x:v>
      </x:c>
      <x:c r="W86" s="51" t="str">
        <x:v>57;73</x:v>
      </x:c>
      <x:c r="X86" s="51" t="str">
        <x:v>2026-07-27</x:v>
      </x:c>
    </x:row>
    <x:row r="87">
      <x:c r="A87" s="51" t="str">
        <x:v>APPSTORE-004</x:v>
      </x:c>
      <x:c r="B87" s="51" t="str">
        <x:v>Application distribution gatekeeping</x:v>
      </x:c>
      <x:c r="C87" s="51" t="str">
        <x:v>ACT-GOOGLEPLAY</x:v>
      </x:c>
      <x:c r="D87" s="51" t="str">
        <x:v>Google Play</x:v>
      </x:c>
      <x:c r="E87" s="51" t="str">
        <x:v>ACT-MOBILEAPPLICATIONDEVELOP</x:v>
      </x:c>
      <x:c r="F87" s="51" t="str">
        <x:v>Mobile application developers</x:v>
      </x:c>
      <x:c r="G87" s="51" t="str">
        <x:v>Platform → developers</x:v>
      </x:c>
      <x:c r="H87" s="51" t="str">
        <x:v>Ongoing</x:v>
      </x:c>
      <x:c r="I87" s="51" t="str">
        <x:v>Review, ranking, billing and fee relationship</x:v>
      </x:c>
      <x:c r="J87" s="51" t="str">
        <x:v>INS-082</x:v>
      </x:c>
      <x:c r="K87" s="51" t="str">
        <x:v>Platform scale</x:v>
      </x:c>
      <x:c r="L87" s="51" t="str">
        <x:v>Developer code, content and customer access</x:v>
      </x:c>
      <x:c r="M87" s="51" t="str">
        <x:v>Approval, discovery, payments or removal</x:v>
      </x:c>
      <x:c r="N87" s="51" t="str">
        <x:v>Distribution gatekeepers can impose business and content rules without acquiring the developer</x:v>
      </x:c>
      <x:c r="O87" s="51" t="str">
        <x:v>Informational; financial; enforcement</x:v>
      </x:c>
      <x:c r="P87" s="51" t="str">
        <x:v>E1</x:v>
      </x:c>
      <x:c r="Q87" s="51" t="str">
        <x:v>Very high</x:v>
      </x:c>
      <x:c r="R87" s="51" t="str">
        <x:v>SRC-167</x:v>
      </x:c>
      <x:c r="S87" s="51" t="str">
        <x:v>Google Play publishes binding developer rules and fee structures.</x:v>
      </x:c>
      <x:c r="T87" s="51" t="str">
        <x:v>Uniform treatment, absence of appeal or complete control of all software distribution.</x:v>
      </x:c>
      <x:c r="U87" s="51" t="str">
        <x:v>Developers may use web, enterprise or alternative channels to varying degrees.</x:v>
      </x:c>
      <x:c r="V87" s="51" t="str">
        <x:v>Active</x:v>
      </x:c>
      <x:c r="W87" s="51" t="str">
        <x:v>57;73</x:v>
      </x:c>
      <x:c r="X87" s="51" t="str">
        <x:v>2026-07-27</x:v>
      </x:c>
    </x:row>
    <x:row r="88">
      <x:c r="A88" s="51" t="str">
        <x:v>APPSTORE-005</x:v>
      </x:c>
      <x:c r="B88" s="51" t="str">
        <x:v>Application distribution gatekeeping</x:v>
      </x:c>
      <x:c r="C88" s="51" t="str">
        <x:v>ACT-EUROPEANCOMMISSION</x:v>
      </x:c>
      <x:c r="D88" s="51" t="str">
        <x:v>European Commission</x:v>
      </x:c>
      <x:c r="E88" s="51" t="str">
        <x:v>ACT-DIGITALMARKETSACT</x:v>
      </x:c>
      <x:c r="F88" s="51" t="str">
        <x:v>Digital Markets Act</x:v>
      </x:c>
      <x:c r="G88" s="51" t="str">
        <x:v>Authority → legal framework</x:v>
      </x:c>
      <x:c r="H88" s="51" t="str">
        <x:v>2024 onward</x:v>
      </x:c>
      <x:c r="I88" s="51" t="str">
        <x:v>Enforcement and designation</x:v>
      </x:c>
      <x:c r="J88" s="51" t="str">
        <x:v>INS-080</x:v>
      </x:c>
      <x:c r="K88" s="51" t="str">
        <x:v>EU core platform services</x:v>
      </x:c>
      <x:c r="L88" s="51" t="str">
        <x:v>Competition and market-contestability authority</x:v>
      </x:c>
      <x:c r="M88" s="51" t="str">
        <x:v>Obligations, investigations and fines</x:v>
      </x:c>
      <x:c r="N88" s="51" t="str">
        <x:v>Public regulation limits private gatekeeping by forcing interoperability and alternative routes</x:v>
      </x:c>
      <x:c r="O88" s="51" t="str">
        <x:v>Institutional; enforcement; financial</x:v>
      </x:c>
      <x:c r="P88" s="51" t="str">
        <x:v>E1</x:v>
      </x:c>
      <x:c r="Q88" s="51" t="str">
        <x:v>Very high</x:v>
      </x:c>
      <x:c r="R88" s="51" t="str">
        <x:v>SRC-165; SRC-168</x:v>
      </x:c>
      <x:c r="S88" s="51" t="str">
        <x:v>The Commission designates gatekeepers and enforces DMA obligations.</x:v>
      </x:c>
      <x:c r="T88" s="51" t="str">
        <x:v>Replacement of platform governance or elimination of all network effects.</x:v>
      </x:c>
      <x:c r="U88" s="51" t="str">
        <x:v>Compliance design and litigation continue to evolve.</x:v>
      </x:c>
      <x:c r="V88" s="51" t="str">
        <x:v>Active</x:v>
      </x:c>
      <x:c r="W88" s="51" t="str">
        <x:v>57;73;80</x:v>
      </x:c>
      <x:c r="X88" s="51" t="str">
        <x:v>2026-07-27</x:v>
      </x:c>
    </x:row>
    <x:row r="89">
      <x:c r="A89" s="51" t="str">
        <x:v>APPSTORE-006</x:v>
      </x:c>
      <x:c r="B89" s="51" t="str">
        <x:v>Application distribution gatekeeping</x:v>
      </x:c>
      <x:c r="C89" s="51" t="str">
        <x:v>ACT-DIGITALMARKETSACT</x:v>
      </x:c>
      <x:c r="D89" s="51" t="str">
        <x:v>Digital Markets Act</x:v>
      </x:c>
      <x:c r="E89" s="51" t="str">
        <x:v>ACT-APPLE</x:v>
      </x:c>
      <x:c r="F89" s="51" t="str">
        <x:v>Apple</x:v>
      </x:c>
      <x:c r="G89" s="51" t="str">
        <x:v>Legal framework → gatekeeper</x:v>
      </x:c>
      <x:c r="H89" s="51" t="str">
        <x:v>2024 onward</x:v>
      </x:c>
      <x:c r="I89" s="51" t="str">
        <x:v>Gatekeeper obligations</x:v>
      </x:c>
      <x:c r="J89" s="51" t="str">
        <x:v>INS-080</x:v>
      </x:c>
      <x:c r="K89" s="51" t="str">
        <x:v>EU operations</x:v>
      </x:c>
      <x:c r="L89" s="51" t="str">
        <x:v>Legal designation</x:v>
      </x:c>
      <x:c r="M89" s="51" t="str">
        <x:v>Interoperability, steering and distribution constraints</x:v>
      </x:c>
      <x:c r="N89" s="51" t="str">
        <x:v>A supranational law changes the conversion cost between platform control and developer/customer exit</x:v>
      </x:c>
      <x:c r="O89" s="51" t="str">
        <x:v>Institutional; enforcement; financial</x:v>
      </x:c>
      <x:c r="P89" s="51" t="str">
        <x:v>E1</x:v>
      </x:c>
      <x:c r="Q89" s="51" t="str">
        <x:v>Very high</x:v>
      </x:c>
      <x:c r="R89" s="51" t="str">
        <x:v>SRC-165; SRC-168</x:v>
      </x:c>
      <x:c r="S89" s="51" t="str">
        <x:v>Apple is a designated DMA gatekeeper for relevant services.</x:v>
      </x:c>
      <x:c r="T89" s="51" t="str">
        <x:v>Full structural separation or proof that every obligation is satisfied.</x:v>
      </x:c>
      <x:c r="U89" s="51" t="str">
        <x:v>Enforcement remains service-specific and contested.</x:v>
      </x:c>
      <x:c r="V89" s="51" t="str">
        <x:v>Active</x:v>
      </x:c>
      <x:c r="W89" s="51" t="str">
        <x:v>57;73;80</x:v>
      </x:c>
      <x:c r="X89" s="51" t="str">
        <x:v>2026-07-27</x:v>
      </x:c>
    </x:row>
    <x:row r="90">
      <x:c r="A90" s="51" t="str">
        <x:v>APPSTORE-007</x:v>
      </x:c>
      <x:c r="B90" s="51" t="str">
        <x:v>Application distribution gatekeeping</x:v>
      </x:c>
      <x:c r="C90" s="51" t="str">
        <x:v>ACT-DIGITALMARKETSACT</x:v>
      </x:c>
      <x:c r="D90" s="51" t="str">
        <x:v>Digital Markets Act</x:v>
      </x:c>
      <x:c r="E90" s="51" t="str">
        <x:v>ACT-ALPHABET</x:v>
      </x:c>
      <x:c r="F90" s="51" t="str">
        <x:v>Alphabet</x:v>
      </x:c>
      <x:c r="G90" s="51" t="str">
        <x:v>Legal framework → gatekeeper</x:v>
      </x:c>
      <x:c r="H90" s="51" t="str">
        <x:v>2024 onward</x:v>
      </x:c>
      <x:c r="I90" s="51" t="str">
        <x:v>Gatekeeper obligations</x:v>
      </x:c>
      <x:c r="J90" s="51" t="str">
        <x:v>INS-080</x:v>
      </x:c>
      <x:c r="K90" s="51" t="str">
        <x:v>EU operations</x:v>
      </x:c>
      <x:c r="L90" s="51" t="str">
        <x:v>Legal designation</x:v>
      </x:c>
      <x:c r="M90" s="51" t="str">
        <x:v>Interoperability, steering and distribution constraints</x:v>
      </x:c>
      <x:c r="N90" s="51" t="str">
        <x:v>A supranational law changes the conversion cost between platform control and developer/customer exit</x:v>
      </x:c>
      <x:c r="O90" s="51" t="str">
        <x:v>Institutional; enforcement; financial</x:v>
      </x:c>
      <x:c r="P90" s="51" t="str">
        <x:v>E1</x:v>
      </x:c>
      <x:c r="Q90" s="51" t="str">
        <x:v>Very high</x:v>
      </x:c>
      <x:c r="R90" s="51" t="str">
        <x:v>SRC-165; SRC-168</x:v>
      </x:c>
      <x:c r="S90" s="51" t="str">
        <x:v>Alphabet is a designated DMA gatekeeper for relevant services.</x:v>
      </x:c>
      <x:c r="T90" s="51" t="str">
        <x:v>Full structural separation or proof that every obligation is satisfied.</x:v>
      </x:c>
      <x:c r="U90" s="51" t="str">
        <x:v>Enforcement remains service-specific and contested.</x:v>
      </x:c>
      <x:c r="V90" s="51" t="str">
        <x:v>Active</x:v>
      </x:c>
      <x:c r="W90" s="51" t="str">
        <x:v>57;73;80</x:v>
      </x:c>
      <x:c r="X90" s="51" t="str">
        <x:v>2026-07-27</x:v>
      </x:c>
    </x:row>
    <x:row r="91">
      <x:c r="A91" s="51" t="str">
        <x:v>ARB-001</x:v>
      </x:c>
      <x:c r="B91" s="51" t="str">
        <x:v>Private adjudication and arbitration</x:v>
      </x:c>
      <x:c r="C91" s="51" t="str">
        <x:v>ACT-COMMERCIALCONTRACTINGPAR</x:v>
      </x:c>
      <x:c r="D91" s="51" t="str">
        <x:v>Commercial contracting parties</x:v>
      </x:c>
      <x:c r="E91" s="51" t="str">
        <x:v>ACT-ICCARBITRATIONRULES</x:v>
      </x:c>
      <x:c r="F91" s="51" t="str">
        <x:v>ICC Arbitration Rules</x:v>
      </x:c>
      <x:c r="G91" s="51" t="str">
        <x:v>Parties → rules</x:v>
      </x:c>
      <x:c r="H91" s="51" t="str">
        <x:v>Contract formation</x:v>
      </x:c>
      <x:c r="I91" s="51" t="str">
        <x:v>Consent through arbitration clause</x:v>
      </x:c>
      <x:c r="J91" s="51" t="str">
        <x:v>INS-125</x:v>
      </x:c>
      <x:c r="K91" s="51" t="str">
        <x:v>Contract-specific</x:v>
      </x:c>
      <x:c r="L91" s="51" t="str">
        <x:v>Private contract and forum selection</x:v>
      </x:c>
      <x:c r="M91" s="51" t="str">
        <x:v>Private adjudicative procedure</x:v>
      </x:c>
      <x:c r="N91" s="51" t="str">
        <x:v>Consent converts commercial disputes from public courts into institutionally administered private proceedings</x:v>
      </x:c>
      <x:c r="O91" s="51" t="str">
        <x:v>Institutional; enforcement; relational</x:v>
      </x:c>
      <x:c r="P91" s="51" t="str">
        <x:v>E1</x:v>
      </x:c>
      <x:c r="Q91" s="51" t="str">
        <x:v>Very high</x:v>
      </x:c>
      <x:c r="R91" s="51" t="str">
        <x:v>SRC-238; SRC-239; SRC-655; SRC-656; SRC-657; SRC-688</x:v>
      </x:c>
      <x:c r="S91" s="51" t="str">
        <x:v>Parties may choose ICC arbitration by contract.</x:v>
      </x:c>
      <x:c r="T91" s="51" t="str">
        <x:v>Waiver of every court right or immunity from public enforcement review.</x:v>
      </x:c>
      <x:c r="U91" s="51" t="str">
        <x:v>National courts remain relevant for interim relief and award enforcement.</x:v>
      </x:c>
      <x:c r="V91" s="51" t="str">
        <x:v>Active</x:v>
      </x:c>
      <x:c r="W91" s="51" t="str">
        <x:v>55;57</x:v>
      </x:c>
      <x:c r="X91" s="51" t="str">
        <x:v>2026-07-27</x:v>
      </x:c>
    </x:row>
    <x:row r="92">
      <x:c r="A92" s="51" t="str">
        <x:v>ARB-002</x:v>
      </x:c>
      <x:c r="B92" s="51" t="str">
        <x:v>Private adjudication and arbitration</x:v>
      </x:c>
      <x:c r="C92" s="51" t="str">
        <x:v>ACT-ICCINTERNATIONALCOURTOFA</x:v>
      </x:c>
      <x:c r="D92" s="51" t="str">
        <x:v>ICC International Court of Arbitration</x:v>
      </x:c>
      <x:c r="E92" s="51" t="str">
        <x:v>ACT-ARBITRALTRIBUNALS</x:v>
      </x:c>
      <x:c r="F92" s="51" t="str">
        <x:v>Arbitral tribunals</x:v>
      </x:c>
      <x:c r="G92" s="51" t="str">
        <x:v>Institution → tribunals</x:v>
      </x:c>
      <x:c r="H92" s="51" t="str">
        <x:v>Ongoing</x:v>
      </x:c>
      <x:c r="I92" s="51" t="str">
        <x:v>Administration, appointment and scrutiny</x:v>
      </x:c>
      <x:c r="J92" s="51" t="str">
        <x:v>INS-125</x:v>
      </x:c>
      <x:c r="K92" s="51" t="str">
        <x:v>881 new cases in 2025</x:v>
      </x:c>
      <x:c r="L92" s="51" t="str">
        <x:v>Party submissions and institutional rules</x:v>
      </x:c>
      <x:c r="M92" s="51" t="str">
        <x:v>Constituted tribunal and reviewed award process</x:v>
      </x:c>
      <x:c r="N92" s="51" t="str">
        <x:v>An arbitral institution provides procedural legitimacy and quality control without deciding every case itself</x:v>
      </x:c>
      <x:c r="O92" s="51" t="str">
        <x:v>Institutional; informational; enforcement</x:v>
      </x:c>
      <x:c r="P92" s="51" t="str">
        <x:v>E1</x:v>
      </x:c>
      <x:c r="Q92" s="51" t="str">
        <x:v>Very high</x:v>
      </x:c>
      <x:c r="R92" s="51" t="str">
        <x:v>SRC-238; SRC-239; SRC-655; SRC-656; SRC-657; SRC-688</x:v>
      </x:c>
      <x:c r="S92" s="51" t="str">
        <x:v>ICC administers arbitration and supports tribunal constitution and award scrutiny.</x:v>
      </x:c>
      <x:c r="T92" s="51" t="str">
        <x:v>The ICC Court acting as the merits tribunal in every dispute.</x:v>
      </x:c>
      <x:c r="U92" s="51" t="str">
        <x:v>Arbitrators decide the merits under the applicable law.</x:v>
      </x:c>
      <x:c r="V92" s="51" t="str">
        <x:v>Active</x:v>
      </x:c>
      <x:c r="W92" s="51" t="str">
        <x:v>55;57</x:v>
      </x:c>
      <x:c r="X92" s="51" t="str">
        <x:v>2026-07-27</x:v>
      </x:c>
    </x:row>
    <x:row r="93">
      <x:c r="A93" s="51" t="str">
        <x:v>ARB-003</x:v>
      </x:c>
      <x:c r="B93" s="51" t="str">
        <x:v>Private adjudication and arbitration</x:v>
      </x:c>
      <x:c r="C93" s="51" t="str">
        <x:v>ACT-ARBITRALTRIBUNALS</x:v>
      </x:c>
      <x:c r="D93" s="51" t="str">
        <x:v>Arbitral tribunals</x:v>
      </x:c>
      <x:c r="E93" s="51" t="str">
        <x:v>ACT-COMMERCIALCONTRACTINGPAR</x:v>
      </x:c>
      <x:c r="F93" s="51" t="str">
        <x:v>Commercial contracting parties</x:v>
      </x:c>
      <x:c r="G93" s="51" t="str">
        <x:v>Tribunal → parties</x:v>
      </x:c>
      <x:c r="H93" s="51" t="str">
        <x:v>Dispute-specific</x:v>
      </x:c>
      <x:c r="I93" s="51" t="str">
        <x:v>Binding award</x:v>
      </x:c>
      <x:c r="J93" s="51" t="str">
        <x:v>INS-125</x:v>
      </x:c>
      <x:c r="K93" s="51" t="str">
        <x:v>Up to $31bn in a new 2025 case; aggregate new-case amount near $41bn</x:v>
      </x:c>
      <x:c r="L93" s="51" t="str">
        <x:v>Evidence, law and contractual rights</x:v>
      </x:c>
      <x:c r="M93" s="51" t="str">
        <x:v>Final or interim arbitral award</x:v>
      </x:c>
      <x:c r="N93" s="51" t="str">
        <x:v>Private adjudicators convert contractual consent into an enforceable allocation of liability</x:v>
      </x:c>
      <x:c r="O93" s="51" t="str">
        <x:v>Enforcement; financial; institutional</x:v>
      </x:c>
      <x:c r="P93" s="51" t="str">
        <x:v>E1</x:v>
      </x:c>
      <x:c r="Q93" s="51" t="str">
        <x:v>High</x:v>
      </x:c>
      <x:c r="R93" s="51" t="str">
        <x:v>SRC-238; SRC-239; SRC-655; SRC-656; SRC-657; SRC-688</x:v>
      </x:c>
      <x:c r="S93" s="51" t="str">
        <x:v>ICC tribunals issue awards under the rules and applicable law.</x:v>
      </x:c>
      <x:c r="T93" s="51" t="str">
        <x:v>Automatic payment, public precedent or absence of annulment/enforcement challenges.</x:v>
      </x:c>
      <x:c r="U93" s="51" t="str">
        <x:v>Award enforcement depends on national legal systems and asset location.</x:v>
      </x:c>
      <x:c r="V93" s="51" t="str">
        <x:v>Case-specific</x:v>
      </x:c>
      <x:c r="W93" s="51" t="str">
        <x:v>55;57</x:v>
      </x:c>
      <x:c r="X93" s="51" t="str">
        <x:v>2026-07-27</x:v>
      </x:c>
    </x:row>
    <x:row r="94">
      <x:c r="A94" s="51" t="str">
        <x:v>ARB-004</x:v>
      </x:c>
      <x:c r="B94" s="51" t="str">
        <x:v>Private adjudication and arbitration</x:v>
      </x:c>
      <x:c r="C94" s="51" t="str">
        <x:v>ACT-FOREIGNINVESTORS</x:v>
      </x:c>
      <x:c r="D94" s="51" t="str">
        <x:v>Foreign investors</x:v>
      </x:c>
      <x:c r="E94" s="51" t="str">
        <x:v>ACT-ICSID</x:v>
      </x:c>
      <x:c r="F94" s="51" t="str">
        <x:v>ICSID</x:v>
      </x:c>
      <x:c r="G94" s="51" t="str">
        <x:v>Investor → institution</x:v>
      </x:c>
      <x:c r="H94" s="51" t="str">
        <x:v>Treaty or contract dispute</x:v>
      </x:c>
      <x:c r="I94" s="51" t="str">
        <x:v>Registration request and consent basis</x:v>
      </x:c>
      <x:c r="J94" s="51" t="str">
        <x:v>INS-126</x:v>
      </x:c>
      <x:c r="K94" s="51" t="str">
        <x:v>Case-specific</x:v>
      </x:c>
      <x:c r="L94" s="51" t="str">
        <x:v>Investment claim and arbitration consent</x:v>
      </x:c>
      <x:c r="M94" s="51" t="str">
        <x:v>Administered investor-state proceeding</x:v>
      </x:c>
      <x:c r="N94" s="51" t="str">
        <x:v>Treaties and contracts convert investment disputes into an international adjudicative forum</x:v>
      </x:c>
      <x:c r="O94" s="51" t="str">
        <x:v>Institutional; financial; enforcement</x:v>
      </x:c>
      <x:c r="P94" s="51" t="str">
        <x:v>E1</x:v>
      </x:c>
      <x:c r="Q94" s="51" t="str">
        <x:v>High</x:v>
      </x:c>
      <x:c r="R94" s="51" t="str">
        <x:v>SRC-236; SRC-237; SRC-651; SRC-652; SRC-653; SRC-654; SRC-681</x:v>
      </x:c>
      <x:c r="S94" s="51" t="str">
        <x:v>ICSID administers investor-state cases under applicable consent instruments.</x:v>
      </x:c>
      <x:c r="T94" s="51" t="str">
        <x:v>Investor victory, jurisdiction in every dispute or review of ordinary commercial claims.</x:v>
      </x:c>
      <x:c r="U94" s="51" t="str">
        <x:v>Jurisdiction depends on consent, nationality and investment criteria.</x:v>
      </x:c>
      <x:c r="V94" s="51" t="str">
        <x:v>Case-specific</x:v>
      </x:c>
      <x:c r="W94" s="51" t="str">
        <x:v>55;57</x:v>
      </x:c>
      <x:c r="X94" s="51" t="str">
        <x:v>2026-07-27</x:v>
      </x:c>
    </x:row>
    <x:row r="95">
      <x:c r="A95" s="51" t="str">
        <x:v>ARB-005</x:v>
      </x:c>
      <x:c r="B95" s="51" t="str">
        <x:v>Private adjudication and arbitration</x:v>
      </x:c>
      <x:c r="C95" s="51" t="str">
        <x:v>ACT-HOSTSTATES</x:v>
      </x:c>
      <x:c r="D95" s="51" t="str">
        <x:v>Host states</x:v>
      </x:c>
      <x:c r="E95" s="51" t="str">
        <x:v>ACT-ICSID</x:v>
      </x:c>
      <x:c r="F95" s="51" t="str">
        <x:v>ICSID</x:v>
      </x:c>
      <x:c r="G95" s="51" t="str">
        <x:v>State → institution</x:v>
      </x:c>
      <x:c r="H95" s="51" t="str">
        <x:v>Treaty/contract participation</x:v>
      </x:c>
      <x:c r="I95" s="51" t="str">
        <x:v>Consent and defence</x:v>
      </x:c>
      <x:c r="J95" s="51" t="str">
        <x:v>INS-126</x:v>
      </x:c>
      <x:c r="K95" s="51" t="str">
        <x:v>347 administered cases FY2025</x:v>
      </x:c>
      <x:c r="L95" s="51" t="str">
        <x:v>Treaty obligations, regulation and state defences</x:v>
      </x:c>
      <x:c r="M95" s="51" t="str">
        <x:v>International proceeding and potential award</x:v>
      </x:c>
      <x:c r="N95" s="51" t="str">
        <x:v>A sovereign's prior consent creates an external forum for reviewing certain exercises of state power</x:v>
      </x:c>
      <x:c r="O95" s="51" t="str">
        <x:v>Institutional; enforcement; financial</x:v>
      </x:c>
      <x:c r="P95" s="51" t="str">
        <x:v>E1</x:v>
      </x:c>
      <x:c r="Q95" s="51" t="str">
        <x:v>High</x:v>
      </x:c>
      <x:c r="R95" s="51" t="str">
        <x:v>SRC-236; SRC-237; SRC-651; SRC-652; SRC-653; SRC-654; SRC-681</x:v>
      </x:c>
      <x:c r="S95" s="51" t="str">
        <x:v>States participate as respondents and parties within ICSID proceedings.</x:v>
      </x:c>
      <x:c r="T95" s="51" t="str">
        <x:v>Loss of general sovereignty or automatic invalidation of regulation.</x:v>
      </x:c>
      <x:c r="U95" s="51" t="str">
        <x:v>Tribunals apply treaty and jurisdictional standards to specific claims.</x:v>
      </x:c>
      <x:c r="V95" s="51" t="str">
        <x:v>Case-specific</x:v>
      </x:c>
      <x:c r="W95" s="51" t="str">
        <x:v>55;57</x:v>
      </x:c>
      <x:c r="X95" s="51" t="str">
        <x:v>2026-07-27</x:v>
      </x:c>
    </x:row>
    <x:row r="96">
      <x:c r="A96" s="51" t="str">
        <x:v>ARB-006</x:v>
      </x:c>
      <x:c r="B96" s="51" t="str">
        <x:v>Private adjudication and arbitration</x:v>
      </x:c>
      <x:c r="C96" s="51" t="str">
        <x:v>ACT-ICSID</x:v>
      </x:c>
      <x:c r="D96" s="51" t="str">
        <x:v>ICSID</x:v>
      </x:c>
      <x:c r="E96" s="51" t="str">
        <x:v>ACT-ARBITRALTRIBUNALS</x:v>
      </x:c>
      <x:c r="F96" s="51" t="str">
        <x:v>Arbitral tribunals</x:v>
      </x:c>
      <x:c r="G96" s="51" t="str">
        <x:v>Institution → tribunals</x:v>
      </x:c>
      <x:c r="H96" s="51" t="str">
        <x:v>Ongoing</x:v>
      </x:c>
      <x:c r="I96" s="51" t="str">
        <x:v>Case administration and appointment support</x:v>
      </x:c>
      <x:c r="J96" s="51" t="str">
        <x:v>INS-126</x:v>
      </x:c>
      <x:c r="K96" s="51" t="str">
        <x:v>Global caseload</x:v>
      </x:c>
      <x:c r="L96" s="51" t="str">
        <x:v>Registered dispute and procedural rules</x:v>
      </x:c>
      <x:c r="M96" s="51" t="str">
        <x:v>Constituted tribunal and administered record</x:v>
      </x:c>
      <x:c r="N96" s="51" t="str">
        <x:v>Institutional administration separates case infrastructure from merits adjudication</x:v>
      </x:c>
      <x:c r="O96" s="51" t="str">
        <x:v>Institutional; informational</x:v>
      </x:c>
      <x:c r="P96" s="51" t="str">
        <x:v>E1</x:v>
      </x:c>
      <x:c r="Q96" s="51" t="str">
        <x:v>Very high</x:v>
      </x:c>
      <x:c r="R96" s="51" t="str">
        <x:v>SRC-236; SRC-237; SRC-651; SRC-652; SRC-653; SRC-654; SRC-681</x:v>
      </x:c>
      <x:c r="S96" s="51" t="str">
        <x:v>ICSID administers proceedings and maintains caseload systems.</x:v>
      </x:c>
      <x:c r="T96" s="51" t="str">
        <x:v>Institutional direction of tribunal outcomes.</x:v>
      </x:c>
      <x:c r="U96" s="51" t="str">
        <x:v>Tribunals exercise independent adjudicative functions.</x:v>
      </x:c>
      <x:c r="V96" s="51" t="str">
        <x:v>Active</x:v>
      </x:c>
      <x:c r="W96" s="51" t="str">
        <x:v>55;57</x:v>
      </x:c>
      <x:c r="X96" s="51" t="str">
        <x:v>2026-07-27</x:v>
      </x:c>
    </x:row>
    <x:row r="97">
      <x:c r="A97" s="51" t="str">
        <x:v>AUD-001</x:v>
      </x:c>
      <x:c r="B97" s="51" t="str">
        <x:v>Audit and professional infrastructure</x:v>
      </x:c>
      <x:c r="C97" s="51" t="str">
        <x:v>ACT-FINANCIALREPORTINGCOUNCI</x:v>
      </x:c>
      <x:c r="D97" s="51" t="str">
        <x:v>Financial Reporting Council</x:v>
      </x:c>
      <x:c r="E97" s="51" t="str">
        <x:v>ACT-DELOITTE</x:v>
      </x:c>
      <x:c r="F97" s="51" t="str">
        <x:v>Deloitte</x:v>
      </x:c>
      <x:c r="G97" s="51" t="str">
        <x:v>Regulator → firm</x:v>
      </x:c>
      <x:c r="H97" s="51" t="str">
        <x:v>Ongoing</x:v>
      </x:c>
      <x:c r="I97" s="51" t="str">
        <x:v>Audit-quality supervision</x:v>
      </x:c>
      <x:c r="J97" s="51" t="str"/>
      <x:c r="K97" s="51" t="str">
        <x:v>Tier-1 audit market</x:v>
      </x:c>
      <x:c r="L97" s="51" t="str">
        <x:v>Inspection and professional standards</x:v>
      </x:c>
      <x:c r="M97" s="51" t="str">
        <x:v>Required remediation and public quality signals</x:v>
      </x:c>
      <x:c r="N97" s="51" t="str">
        <x:v>Regulatory oversight converts audit failure risk into institutional discipline</x:v>
      </x:c>
      <x:c r="O97" s="51" t="str">
        <x:v>Institutional; informational; enforcement</x:v>
      </x:c>
      <x:c r="P97" s="51" t="str">
        <x:v>E1</x:v>
      </x:c>
      <x:c r="Q97" s="51" t="str">
        <x:v>High</x:v>
      </x:c>
      <x:c r="R97" s="51" t="str">
        <x:v>SRC-140; SRC-141</x:v>
      </x:c>
      <x:c r="S97" s="51" t="str">
        <x:v>The FRC supervises major audit firms and publishes market and inspection findings.</x:v>
      </x:c>
      <x:c r="T97" s="51" t="str">
        <x:v>Guarantee of audit accuracy or direct control of client management.</x:v>
      </x:c>
      <x:c r="U97" s="51" t="str">
        <x:v>Inspection is sample-based and jurisdiction-specific.</x:v>
      </x:c>
      <x:c r="V97" s="51" t="str">
        <x:v>Active</x:v>
      </x:c>
      <x:c r="W97" s="51" t="str">
        <x:v>55;57</x:v>
      </x:c>
      <x:c r="X97" s="51" t="str">
        <x:v>2026-07-27</x:v>
      </x:c>
    </x:row>
    <x:row r="98">
      <x:c r="A98" s="51" t="str">
        <x:v>AUD-002</x:v>
      </x:c>
      <x:c r="B98" s="51" t="str">
        <x:v>Audit and professional infrastructure</x:v>
      </x:c>
      <x:c r="C98" s="51" t="str">
        <x:v>ACT-FINANCIALREPORTINGCOUNCI</x:v>
      </x:c>
      <x:c r="D98" s="51" t="str">
        <x:v>Financial Reporting Council</x:v>
      </x:c>
      <x:c r="E98" s="51" t="str">
        <x:v>ACT-PWC</x:v>
      </x:c>
      <x:c r="F98" s="51" t="str">
        <x:v>PwC</x:v>
      </x:c>
      <x:c r="G98" s="51" t="str">
        <x:v>Regulator → firm</x:v>
      </x:c>
      <x:c r="H98" s="51" t="str">
        <x:v>Ongoing</x:v>
      </x:c>
      <x:c r="I98" s="51" t="str">
        <x:v>Audit-quality supervision</x:v>
      </x:c>
      <x:c r="J98" s="51" t="str"/>
      <x:c r="K98" s="51" t="str">
        <x:v>Tier-1 audit market</x:v>
      </x:c>
      <x:c r="L98" s="51" t="str">
        <x:v>Inspection and professional standards</x:v>
      </x:c>
      <x:c r="M98" s="51" t="str">
        <x:v>Required remediation and public quality signals</x:v>
      </x:c>
      <x:c r="N98" s="51" t="str">
        <x:v>Regulatory oversight constrains professional gatekeepers whose opinions support capital-market trust</x:v>
      </x:c>
      <x:c r="O98" s="51" t="str">
        <x:v>Institutional; informational; enforcement</x:v>
      </x:c>
      <x:c r="P98" s="51" t="str">
        <x:v>E1</x:v>
      </x:c>
      <x:c r="Q98" s="51" t="str">
        <x:v>High</x:v>
      </x:c>
      <x:c r="R98" s="51" t="str">
        <x:v>SRC-140; SRC-141</x:v>
      </x:c>
      <x:c r="S98" s="51" t="str">
        <x:v>The FRC supervises PwC within the major audit-firm market.</x:v>
      </x:c>
      <x:c r="T98" s="51" t="str">
        <x:v>Guarantee of every audit or global authority over the network.</x:v>
      </x:c>
      <x:c r="U98" s="51" t="str">
        <x:v>International member firms are legally separate and oversight differs by country.</x:v>
      </x:c>
      <x:c r="V98" s="51" t="str">
        <x:v>Active</x:v>
      </x:c>
      <x:c r="W98" s="51" t="str">
        <x:v>55;57</x:v>
      </x:c>
      <x:c r="X98" s="51" t="str">
        <x:v>2026-07-27</x:v>
      </x:c>
    </x:row>
    <x:row r="99">
      <x:c r="A99" s="51" t="str">
        <x:v>AUD-003</x:v>
      </x:c>
      <x:c r="B99" s="51" t="str">
        <x:v>Audit and professional infrastructure</x:v>
      </x:c>
      <x:c r="C99" s="51" t="str">
        <x:v>ACT-FINANCIALREPORTINGCOUNCI</x:v>
      </x:c>
      <x:c r="D99" s="51" t="str">
        <x:v>Financial Reporting Council</x:v>
      </x:c>
      <x:c r="E99" s="51" t="str">
        <x:v>ACT-EY</x:v>
      </x:c>
      <x:c r="F99" s="51" t="str">
        <x:v>EY</x:v>
      </x:c>
      <x:c r="G99" s="51" t="str">
        <x:v>Regulator → firm</x:v>
      </x:c>
      <x:c r="H99" s="51" t="str">
        <x:v>Ongoing</x:v>
      </x:c>
      <x:c r="I99" s="51" t="str">
        <x:v>Audit-quality supervision</x:v>
      </x:c>
      <x:c r="J99" s="51" t="str"/>
      <x:c r="K99" s="51" t="str">
        <x:v>Tier-1 audit market</x:v>
      </x:c>
      <x:c r="L99" s="51" t="str">
        <x:v>Inspection and professional standards</x:v>
      </x:c>
      <x:c r="M99" s="51" t="str">
        <x:v>Required remediation and public quality signals</x:v>
      </x:c>
      <x:c r="N99" s="51" t="str">
        <x:v>Regulatory oversight constrains professional gatekeepers whose opinions support capital-market trust</x:v>
      </x:c>
      <x:c r="O99" s="51" t="str">
        <x:v>Institutional; informational; enforcement</x:v>
      </x:c>
      <x:c r="P99" s="51" t="str">
        <x:v>E1</x:v>
      </x:c>
      <x:c r="Q99" s="51" t="str">
        <x:v>High</x:v>
      </x:c>
      <x:c r="R99" s="51" t="str">
        <x:v>SRC-140; SRC-141</x:v>
      </x:c>
      <x:c r="S99" s="51" t="str">
        <x:v>The FRC supervises EY within the major audit-firm market.</x:v>
      </x:c>
      <x:c r="T99" s="51" t="str">
        <x:v>Guarantee of every audit or global authority over the network.</x:v>
      </x:c>
      <x:c r="U99" s="51" t="str">
        <x:v>International member firms are legally separate and oversight differs by country.</x:v>
      </x:c>
      <x:c r="V99" s="51" t="str">
        <x:v>Active</x:v>
      </x:c>
      <x:c r="W99" s="51" t="str">
        <x:v>55;57</x:v>
      </x:c>
      <x:c r="X99" s="51" t="str">
        <x:v>2026-07-27</x:v>
      </x:c>
    </x:row>
    <x:row r="100">
      <x:c r="A100" s="51" t="str">
        <x:v>AUD-004</x:v>
      </x:c>
      <x:c r="B100" s="51" t="str">
        <x:v>Audit and professional infrastructure</x:v>
      </x:c>
      <x:c r="C100" s="51" t="str">
        <x:v>ACT-FINANCIALREPORTINGCOUNCI</x:v>
      </x:c>
      <x:c r="D100" s="51" t="str">
        <x:v>Financial Reporting Council</x:v>
      </x:c>
      <x:c r="E100" s="51" t="str">
        <x:v>ACT-KPMG</x:v>
      </x:c>
      <x:c r="F100" s="51" t="str">
        <x:v>KPMG</x:v>
      </x:c>
      <x:c r="G100" s="51" t="str">
        <x:v>Regulator → firm</x:v>
      </x:c>
      <x:c r="H100" s="51" t="str">
        <x:v>Ongoing</x:v>
      </x:c>
      <x:c r="I100" s="51" t="str">
        <x:v>Audit-quality supervision</x:v>
      </x:c>
      <x:c r="J100" s="51" t="str"/>
      <x:c r="K100" s="51" t="str">
        <x:v>Tier-1 audit market</x:v>
      </x:c>
      <x:c r="L100" s="51" t="str">
        <x:v>Inspection and professional standards</x:v>
      </x:c>
      <x:c r="M100" s="51" t="str">
        <x:v>Required remediation and public quality signals</x:v>
      </x:c>
      <x:c r="N100" s="51" t="str">
        <x:v>Regulatory oversight constrains professional gatekeepers whose opinions support capital-market trust</x:v>
      </x:c>
      <x:c r="O100" s="51" t="str">
        <x:v>Institutional; informational; enforcement</x:v>
      </x:c>
      <x:c r="P100" s="51" t="str">
        <x:v>E1</x:v>
      </x:c>
      <x:c r="Q100" s="51" t="str">
        <x:v>High</x:v>
      </x:c>
      <x:c r="R100" s="51" t="str">
        <x:v>SRC-140; SRC-141</x:v>
      </x:c>
      <x:c r="S100" s="51" t="str">
        <x:v>The FRC supervises KPMG within the major audit-firm market.</x:v>
      </x:c>
      <x:c r="T100" s="51" t="str">
        <x:v>Guarantee of every audit or global authority over the network.</x:v>
      </x:c>
      <x:c r="U100" s="51" t="str">
        <x:v>International member firms are legally separate and oversight differs by country.</x:v>
      </x:c>
      <x:c r="V100" s="51" t="str">
        <x:v>Active</x:v>
      </x:c>
      <x:c r="W100" s="51" t="str">
        <x:v>55;57</x:v>
      </x:c>
      <x:c r="X100" s="51" t="str">
        <x:v>2026-07-27</x:v>
      </x:c>
    </x:row>
    <x:row r="101">
      <x:c r="A101" s="51" t="str">
        <x:v>AUD-005</x:v>
      </x:c>
      <x:c r="B101" s="51" t="str">
        <x:v>Audit and professional infrastructure</x:v>
      </x:c>
      <x:c r="C101" s="51" t="str">
        <x:v>ACT-DELOITTE</x:v>
      </x:c>
      <x:c r="D101" s="51" t="str">
        <x:v>Deloitte</x:v>
      </x:c>
      <x:c r="E101" s="51" t="str">
        <x:v>ACT-GOVERNINGINSTITUTIONALNE</x:v>
      </x:c>
      <x:c r="F101" s="51" t="str">
        <x:v>Governing institutional networks</x:v>
      </x:c>
      <x:c r="G101" s="51" t="str">
        <x:v>Firm → capital markets</x:v>
      </x:c>
      <x:c r="H101" s="51" t="str">
        <x:v>Ongoing</x:v>
      </x:c>
      <x:c r="I101" s="51" t="str">
        <x:v>Audit and assurance services</x:v>
      </x:c>
      <x:c r="J101" s="51" t="str"/>
      <x:c r="K101" s="51" t="str">
        <x:v>Large listed-company and public-interest-entity market</x:v>
      </x:c>
      <x:c r="L101" s="51" t="str">
        <x:v>Financial statements, controls and professional judgement</x:v>
      </x:c>
      <x:c r="M101" s="51" t="str">
        <x:v>Audit opinion and assurance signal</x:v>
      </x:c>
      <x:c r="N101" s="51" t="str">
        <x:v>Professional certification converts private company records into information trusted by investors and regulators</x:v>
      </x:c>
      <x:c r="O101" s="51" t="str">
        <x:v>Informational; relational; financial</x:v>
      </x:c>
      <x:c r="P101" s="51" t="str">
        <x:v>S1</x:v>
      </x:c>
      <x:c r="Q101" s="51" t="str">
        <x:v>High</x:v>
      </x:c>
      <x:c r="R101" s="51" t="str">
        <x:v>SRC-140; SRC-141</x:v>
      </x:c>
      <x:c r="S101" s="51" t="str">
        <x:v>Deloitte is one of the dominant major audit networks.</x:v>
      </x:c>
      <x:c r="T101" s="51" t="str">
        <x:v>Proof that audited statements are correct, control of clients or absence of conflicts.</x:v>
      </x:c>
      <x:c r="U101" s="51" t="str">
        <x:v>Audit is periodic, sample-based and dependent on management records and judgement.</x:v>
      </x:c>
      <x:c r="V101" s="51" t="str">
        <x:v>Active</x:v>
      </x:c>
      <x:c r="W101" s="51" t="str">
        <x:v>55;57</x:v>
      </x:c>
      <x:c r="X101" s="51" t="str">
        <x:v>2026-07-27</x:v>
      </x:c>
    </x:row>
    <x:row r="102">
      <x:c r="A102" s="51" t="str">
        <x:v>AUD-006</x:v>
      </x:c>
      <x:c r="B102" s="51" t="str">
        <x:v>Audit and professional infrastructure</x:v>
      </x:c>
      <x:c r="C102" s="51" t="str">
        <x:v>ACT-PWC</x:v>
      </x:c>
      <x:c r="D102" s="51" t="str">
        <x:v>PwC</x:v>
      </x:c>
      <x:c r="E102" s="51" t="str">
        <x:v>ACT-GOVERNINGINSTITUTIONALNE</x:v>
      </x:c>
      <x:c r="F102" s="51" t="str">
        <x:v>Governing institutional networks</x:v>
      </x:c>
      <x:c r="G102" s="51" t="str">
        <x:v>Firm → capital markets</x:v>
      </x:c>
      <x:c r="H102" s="51" t="str">
        <x:v>Ongoing</x:v>
      </x:c>
      <x:c r="I102" s="51" t="str">
        <x:v>Audit and assurance services</x:v>
      </x:c>
      <x:c r="J102" s="51" t="str"/>
      <x:c r="K102" s="51" t="str">
        <x:v>Large listed-company and public-interest-entity market</x:v>
      </x:c>
      <x:c r="L102" s="51" t="str">
        <x:v>Financial statements, controls and professional judgement</x:v>
      </x:c>
      <x:c r="M102" s="51" t="str">
        <x:v>Audit opinion and assurance signal</x:v>
      </x:c>
      <x:c r="N102" s="51" t="str">
        <x:v>Professional certification converts private company records into information trusted by investors and regulators</x:v>
      </x:c>
      <x:c r="O102" s="51" t="str">
        <x:v>Informational; relational; financial</x:v>
      </x:c>
      <x:c r="P102" s="51" t="str">
        <x:v>S1</x:v>
      </x:c>
      <x:c r="Q102" s="51" t="str">
        <x:v>High</x:v>
      </x:c>
      <x:c r="R102" s="51" t="str">
        <x:v>SRC-140; SRC-141</x:v>
      </x:c>
      <x:c r="S102" s="51" t="str">
        <x:v>PwC is one of the dominant major audit networks.</x:v>
      </x:c>
      <x:c r="T102" s="51" t="str">
        <x:v>Proof that audited statements are correct, control of clients or absence of conflicts.</x:v>
      </x:c>
      <x:c r="U102" s="51" t="str">
        <x:v>Audit is periodic, sample-based and dependent on management records and judgement.</x:v>
      </x:c>
      <x:c r="V102" s="51" t="str">
        <x:v>Active</x:v>
      </x:c>
      <x:c r="W102" s="51" t="str">
        <x:v>55;57</x:v>
      </x:c>
      <x:c r="X102" s="51" t="str">
        <x:v>2026-07-27</x:v>
      </x:c>
    </x:row>
    <x:row r="103">
      <x:c r="A103" s="51" t="str">
        <x:v>AUD-007</x:v>
      </x:c>
      <x:c r="B103" s="51" t="str">
        <x:v>Audit and professional infrastructure</x:v>
      </x:c>
      <x:c r="C103" s="51" t="str">
        <x:v>ACT-EY</x:v>
      </x:c>
      <x:c r="D103" s="51" t="str">
        <x:v>EY</x:v>
      </x:c>
      <x:c r="E103" s="51" t="str">
        <x:v>ACT-GOVERNINGINSTITUTIONALNE</x:v>
      </x:c>
      <x:c r="F103" s="51" t="str">
        <x:v>Governing institutional networks</x:v>
      </x:c>
      <x:c r="G103" s="51" t="str">
        <x:v>Firm → capital markets</x:v>
      </x:c>
      <x:c r="H103" s="51" t="str">
        <x:v>Ongoing</x:v>
      </x:c>
      <x:c r="I103" s="51" t="str">
        <x:v>Audit and assurance services</x:v>
      </x:c>
      <x:c r="J103" s="51" t="str"/>
      <x:c r="K103" s="51" t="str">
        <x:v>Large listed-company and public-interest-entity market</x:v>
      </x:c>
      <x:c r="L103" s="51" t="str">
        <x:v>Financial statements, controls and professional judgement</x:v>
      </x:c>
      <x:c r="M103" s="51" t="str">
        <x:v>Audit opinion and assurance signal</x:v>
      </x:c>
      <x:c r="N103" s="51" t="str">
        <x:v>Professional certification converts private company records into information trusted by investors and regulators</x:v>
      </x:c>
      <x:c r="O103" s="51" t="str">
        <x:v>Informational; relational; financial</x:v>
      </x:c>
      <x:c r="P103" s="51" t="str">
        <x:v>S1</x:v>
      </x:c>
      <x:c r="Q103" s="51" t="str">
        <x:v>High</x:v>
      </x:c>
      <x:c r="R103" s="51" t="str">
        <x:v>SRC-140; SRC-141</x:v>
      </x:c>
      <x:c r="S103" s="51" t="str">
        <x:v>EY is one of the dominant major audit networks.</x:v>
      </x:c>
      <x:c r="T103" s="51" t="str">
        <x:v>Proof that audited statements are correct, control of clients or absence of conflicts.</x:v>
      </x:c>
      <x:c r="U103" s="51" t="str">
        <x:v>Audit is periodic, sample-based and dependent on management records and judgement.</x:v>
      </x:c>
      <x:c r="V103" s="51" t="str">
        <x:v>Active</x:v>
      </x:c>
      <x:c r="W103" s="51" t="str">
        <x:v>55;57</x:v>
      </x:c>
      <x:c r="X103" s="51" t="str">
        <x:v>2026-07-27</x:v>
      </x:c>
    </x:row>
    <x:row r="104">
      <x:c r="A104" s="51" t="str">
        <x:v>AUD-008</x:v>
      </x:c>
      <x:c r="B104" s="51" t="str">
        <x:v>Audit and professional infrastructure</x:v>
      </x:c>
      <x:c r="C104" s="51" t="str">
        <x:v>ACT-KPMG</x:v>
      </x:c>
      <x:c r="D104" s="51" t="str">
        <x:v>KPMG</x:v>
      </x:c>
      <x:c r="E104" s="51" t="str">
        <x:v>ACT-GOVERNINGINSTITUTIONALNE</x:v>
      </x:c>
      <x:c r="F104" s="51" t="str">
        <x:v>Governing institutional networks</x:v>
      </x:c>
      <x:c r="G104" s="51" t="str">
        <x:v>Firm → capital markets</x:v>
      </x:c>
      <x:c r="H104" s="51" t="str">
        <x:v>Ongoing</x:v>
      </x:c>
      <x:c r="I104" s="51" t="str">
        <x:v>Audit and assurance services</x:v>
      </x:c>
      <x:c r="J104" s="51" t="str"/>
      <x:c r="K104" s="51" t="str">
        <x:v>Large listed-company and public-interest-entity market</x:v>
      </x:c>
      <x:c r="L104" s="51" t="str">
        <x:v>Financial statements, controls and professional judgement</x:v>
      </x:c>
      <x:c r="M104" s="51" t="str">
        <x:v>Audit opinion and assurance signal</x:v>
      </x:c>
      <x:c r="N104" s="51" t="str">
        <x:v>Professional certification converts private company records into information trusted by investors and regulators</x:v>
      </x:c>
      <x:c r="O104" s="51" t="str">
        <x:v>Informational; relational; financial</x:v>
      </x:c>
      <x:c r="P104" s="51" t="str">
        <x:v>S1</x:v>
      </x:c>
      <x:c r="Q104" s="51" t="str">
        <x:v>High</x:v>
      </x:c>
      <x:c r="R104" s="51" t="str">
        <x:v>SRC-140; SRC-141</x:v>
      </x:c>
      <x:c r="S104" s="51" t="str">
        <x:v>KPMG is one of the dominant major audit networks.</x:v>
      </x:c>
      <x:c r="T104" s="51" t="str">
        <x:v>Proof that audited statements are correct, control of clients or absence of conflicts.</x:v>
      </x:c>
      <x:c r="U104" s="51" t="str">
        <x:v>Audit is periodic, sample-based and dependent on management records and judgement.</x:v>
      </x:c>
      <x:c r="V104" s="51" t="str">
        <x:v>Active</x:v>
      </x:c>
      <x:c r="W104" s="51" t="str">
        <x:v>55;57</x:v>
      </x:c>
      <x:c r="X104" s="51" t="str">
        <x:v>2026-07-27</x:v>
      </x:c>
    </x:row>
    <x:row r="105">
      <x:c r="A105" s="51" t="str">
        <x:v>AUD-009</x:v>
      </x:c>
      <x:c r="B105" s="51" t="str">
        <x:v>Audit and professional infrastructure</x:v>
      </x:c>
      <x:c r="C105" s="51" t="str">
        <x:v>ACT-FINANCIALREPORTINGCOUNCI</x:v>
      </x:c>
      <x:c r="D105" s="51" t="str">
        <x:v>Financial Reporting Council</x:v>
      </x:c>
      <x:c r="E105" s="51" t="str">
        <x:v>ACT-GOVERNINGINSTITUTIONALNE</x:v>
      </x:c>
      <x:c r="F105" s="51" t="str">
        <x:v>Governing institutional networks</x:v>
      </x:c>
      <x:c r="G105" s="51" t="str">
        <x:v>Regulator → profession</x:v>
      </x:c>
      <x:c r="H105" s="51" t="str">
        <x:v>2025 onward</x:v>
      </x:c>
      <x:c r="I105" s="51" t="str">
        <x:v>AI-in-audit guidance</x:v>
      </x:c>
      <x:c r="J105" s="51" t="str"/>
      <x:c r="K105" s="51" t="str">
        <x:v>Profession-wide</x:v>
      </x:c>
      <x:c r="L105" s="51" t="str">
        <x:v>AI tools and audit evidence</x:v>
      </x:c>
      <x:c r="M105" s="51" t="str">
        <x:v>Documentation and governance requirements</x:v>
      </x:c>
      <x:c r="N105" s="51" t="str">
        <x:v>Regulators are beginning to govern how AI enters the legitimacy-production process of audit</x:v>
      </x:c>
      <x:c r="O105" s="51" t="str">
        <x:v>Informational; institutional; adaptive</x:v>
      </x:c>
      <x:c r="P105" s="51" t="str">
        <x:v>E1</x:v>
      </x:c>
      <x:c r="Q105" s="51" t="str">
        <x:v>High</x:v>
      </x:c>
      <x:c r="R105" s="51" t="str">
        <x:v>SRC-142</x:v>
      </x:c>
      <x:c r="S105" s="51" t="str">
        <x:v>The FRC issued guidance on AI-enabled tools in audit.</x:v>
      </x:c>
      <x:c r="T105" s="51" t="str">
        <x:v>Validation of any specific tool or removal of auditor responsibility.</x:v>
      </x:c>
      <x:c r="U105" s="51" t="str">
        <x:v>Human judgement and documentation remain required.</x:v>
      </x:c>
      <x:c r="V105" s="51" t="str">
        <x:v>Implementation</x:v>
      </x:c>
      <x:c r="W105" s="51" t="str">
        <x:v>55;74</x:v>
      </x:c>
      <x:c r="X105" s="51" t="str">
        <x:v>2026-07-27</x:v>
      </x:c>
    </x:row>
    <x:row r="106">
      <x:c r="A106" s="51" t="str">
        <x:v>BENCH-001</x:v>
      </x:c>
      <x:c r="B106" s="51" t="str">
        <x:v>Commodity benchmarks and derivative price formation</x:v>
      </x:c>
      <x:c r="C106" s="51" t="str">
        <x:v>ACT-BRENTPHYSICALCARGOMARKET</x:v>
      </x:c>
      <x:c r="D106" s="51" t="str">
        <x:v>Brent physical cargo market</x:v>
      </x:c>
      <x:c r="E106" s="51" t="str">
        <x:v>ACT-ICEBRENTINDEX</x:v>
      </x:c>
      <x:c r="F106" s="51" t="str">
        <x:v>ICE Brent Index</x:v>
      </x:c>
      <x:c r="G106" s="51" t="str">
        <x:v>Physical market → index</x:v>
      </x:c>
      <x:c r="H106" s="51" t="str">
        <x:v>Monthly settlement cycle</x:v>
      </x:c>
      <x:c r="I106" s="51" t="str">
        <x:v>Published cargo trades and assessments</x:v>
      </x:c>
      <x:c r="J106" s="51" t="str">
        <x:v>INS-195</x:v>
      </x:c>
      <x:c r="K106" s="51" t="str">
        <x:v>Full cargo size currently 700,000 barrels</x:v>
      </x:c>
      <x:c r="L106" s="51" t="str">
        <x:v>North Sea and qualifying cargo price information</x:v>
      </x:c>
      <x:c r="M106" s="51" t="str">
        <x:v>Cash settlement index</x:v>
      </x:c>
      <x:c r="N106" s="51" t="str">
        <x:v>A small set of observable physical cargo data anchors a much larger financial derivatives complex</x:v>
      </x:c>
      <x:c r="O106" s="51" t="str">
        <x:v>Informational; financial; material</x:v>
      </x:c>
      <x:c r="P106" s="51" t="str">
        <x:v>E1</x:v>
      </x:c>
      <x:c r="Q106" s="51" t="str">
        <x:v>Very high</x:v>
      </x:c>
      <x:c r="R106" s="51" t="str">
        <x:v>SRC-347</x:v>
      </x:c>
      <x:c r="S106" s="51" t="str">
        <x:v>The ICE Brent Index uses published full-cargo trades and assessments for settlement.</x:v>
      </x:c>
      <x:c r="T106" s="51" t="str">
        <x:v>That every global oil cargo trades at the index price.</x:v>
      </x:c>
      <x:c r="U106" s="51" t="str">
        <x:v>Location, quality, timing and freight differentials remain.</x:v>
      </x:c>
      <x:c r="V106" s="51" t="str">
        <x:v>Active</x:v>
      </x:c>
      <x:c r="W106" s="51" t="str">
        <x:v>33;57</x:v>
      </x:c>
      <x:c r="X106" s="51" t="str">
        <x:v>2026-07-27</x:v>
      </x:c>
    </x:row>
    <x:row r="107">
      <x:c r="A107" s="51" t="str">
        <x:v>BENCH-002</x:v>
      </x:c>
      <x:c r="B107" s="51" t="str">
        <x:v>Commodity benchmarks and derivative price formation</x:v>
      </x:c>
      <x:c r="C107" s="51" t="str">
        <x:v>ACT-ICEFUTURESEUROPE</x:v>
      </x:c>
      <x:c r="D107" s="51" t="str">
        <x:v>ICE Futures Europe</x:v>
      </x:c>
      <x:c r="E107" s="51" t="str">
        <x:v>ACT-WESTTEXASINTERMEDIATEFUT</x:v>
      </x:c>
      <x:c r="F107" s="51" t="str">
        <x:v>West Texas Intermediate futures</x:v>
      </x:c>
      <x:c r="G107" s="51" t="str">
        <x:v>Exchange → traders</x:v>
      </x:c>
      <x:c r="H107" s="51" t="str">
        <x:v>Ongoing</x:v>
      </x:c>
      <x:c r="I107" s="51" t="str">
        <x:v>Cross-market listing and hedging access</x:v>
      </x:c>
      <x:c r="J107" s="51" t="str"/>
      <x:c r="K107" s="51" t="str">
        <x:v>Not applicable</x:v>
      </x:c>
      <x:c r="L107" s="51" t="str">
        <x:v>Exchange infrastructure</x:v>
      </x:c>
      <x:c r="M107" s="51" t="str">
        <x:v>Derivative trading access</x:v>
      </x:c>
      <x:c r="N107" s="51" t="str">
        <x:v>Benchmark competition allows related physical markets to influence one another through spreads and arbitrage</x:v>
      </x:c>
      <x:c r="O107" s="51" t="str">
        <x:v>Financial; informational</x:v>
      </x:c>
      <x:c r="P107" s="51" t="str">
        <x:v>S1</x:v>
      </x:c>
      <x:c r="Q107" s="51" t="str">
        <x:v>Moderate</x:v>
      </x:c>
      <x:c r="R107" s="51" t="str">
        <x:v>SRC-346; SRC-349; SRC-350</x:v>
      </x:c>
      <x:c r="S107" s="51" t="str">
        <x:v>ICE and CME list distinct crude benchmarks used in global hedging.</x:v>
      </x:c>
      <x:c r="T107" s="51" t="str">
        <x:v>A single exchange controlling both benchmarks.</x:v>
      </x:c>
      <x:c r="U107" s="51" t="str">
        <x:v>The actor label represents cross-market users, not a legal issuer relationship.</x:v>
      </x:c>
      <x:c r="V107" s="51" t="str">
        <x:v>Structural comparison</x:v>
      </x:c>
      <x:c r="W107" s="51" t="str">
        <x:v>33;57</x:v>
      </x:c>
      <x:c r="X107" s="51" t="str">
        <x:v>2026-07-27</x:v>
      </x:c>
    </x:row>
    <x:row r="108">
      <x:c r="A108" s="51" t="str">
        <x:v>BENCH-003</x:v>
      </x:c>
      <x:c r="B108" s="51" t="str">
        <x:v>Commodity benchmarks and derivative price formation</x:v>
      </x:c>
      <x:c r="C108" s="51" t="str">
        <x:v>ACT-ICEFUTURESEUROPE</x:v>
      </x:c>
      <x:c r="D108" s="51" t="str">
        <x:v>ICE Futures Europe</x:v>
      </x:c>
      <x:c r="E108" s="51" t="str">
        <x:v>ACT-ICEBRENTINDEX</x:v>
      </x:c>
      <x:c r="F108" s="51" t="str">
        <x:v>ICE Brent Index</x:v>
      </x:c>
      <x:c r="G108" s="51" t="str">
        <x:v>Exchange → benchmark</x:v>
      </x:c>
      <x:c r="H108" s="51" t="str">
        <x:v>Ongoing</x:v>
      </x:c>
      <x:c r="I108" s="51" t="str">
        <x:v>Index publication and futures settlement</x:v>
      </x:c>
      <x:c r="J108" s="51" t="str">
        <x:v>INS-195</x:v>
      </x:c>
      <x:c r="K108" s="51" t="str">
        <x:v>Global Brent complex</x:v>
      </x:c>
      <x:c r="L108" s="51" t="str">
        <x:v>Exchange rules and market reports</x:v>
      </x:c>
      <x:c r="M108" s="51" t="str">
        <x:v>Final settlement value</x:v>
      </x:c>
      <x:c r="N108" s="51" t="str">
        <x:v>An exchange converts physical-market information into a legally enforceable derivatives cash flow</x:v>
      </x:c>
      <x:c r="O108" s="51" t="str">
        <x:v>Financial; informational; enforcement</x:v>
      </x:c>
      <x:c r="P108" s="51" t="str">
        <x:v>E1</x:v>
      </x:c>
      <x:c r="Q108" s="51" t="str">
        <x:v>Very high</x:v>
      </x:c>
      <x:c r="R108" s="51" t="str">
        <x:v>SRC-346; SRC-347</x:v>
      </x:c>
      <x:c r="S108" s="51" t="str">
        <x:v>ICE publishes the Brent Index and uses it for cash settlement.</x:v>
      </x:c>
      <x:c r="T108" s="51" t="str">
        <x:v>Exchange ownership of the underlying crude or every assessment source.</x:v>
      </x:c>
      <x:c r="U108" s="51" t="str">
        <x:v>The index methodology and reporting process remain distinct from physical title.</x:v>
      </x:c>
      <x:c r="V108" s="51" t="str">
        <x:v>Active</x:v>
      </x:c>
      <x:c r="W108" s="51" t="str">
        <x:v>33;57</x:v>
      </x:c>
      <x:c r="X108" s="51" t="str">
        <x:v>2026-07-27</x:v>
      </x:c>
    </x:row>
    <x:row r="109">
      <x:c r="A109" s="51" t="str">
        <x:v>BENCH-004</x:v>
      </x:c>
      <x:c r="B109" s="51" t="str">
        <x:v>Commodity benchmarks and derivative price formation</x:v>
      </x:c>
      <x:c r="C109" s="51" t="str">
        <x:v>ACT-SPGLOBALENERGYPLATTS</x:v>
      </x:c>
      <x:c r="D109" s="51" t="str">
        <x:v>S&amp;P Global Energy Platts</x:v>
      </x:c>
      <x:c r="E109" s="51" t="str">
        <x:v>ACT-PLATTSDATEDBRENT</x:v>
      </x:c>
      <x:c r="F109" s="51" t="str">
        <x:v>Platts Dated Brent</x:v>
      </x:c>
      <x:c r="G109" s="51" t="str">
        <x:v>Price reporting agency → assessment</x:v>
      </x:c>
      <x:c r="H109" s="51" t="str">
        <x:v>Daily</x:v>
      </x:c>
      <x:c r="I109" s="51" t="str">
        <x:v>Market-on-close and published methodology</x:v>
      </x:c>
      <x:c r="J109" s="51" t="str">
        <x:v>INS-196</x:v>
      </x:c>
      <x:c r="K109" s="51" t="str">
        <x:v>Atlantic Basin crude benchmark</x:v>
      </x:c>
      <x:c r="L109" s="51" t="str">
        <x:v>Bids, offers, trades and freight/quality rules</x:v>
      </x:c>
      <x:c r="M109" s="51" t="str">
        <x:v>Daily physical price assessment</x:v>
      </x:c>
      <x:c r="N109" s="51" t="str">
        <x:v>A price-reporting agency converts selected market evidence into a benchmark used in contracts far beyond the observed cargoes</x:v>
      </x:c>
      <x:c r="O109" s="51" t="str">
        <x:v>Informational; financial; relational</x:v>
      </x:c>
      <x:c r="P109" s="51" t="str">
        <x:v>E1</x:v>
      </x:c>
      <x:c r="Q109" s="51" t="str">
        <x:v>Very high</x:v>
      </x:c>
      <x:c r="R109" s="51" t="str">
        <x:v>SRC-348</x:v>
      </x:c>
      <x:c r="S109" s="51" t="str">
        <x:v>Platts publishes Dated Brent using a defined methodology that includes WTI Midland.</x:v>
      </x:c>
      <x:c r="T109" s="51" t="str">
        <x:v>Ownership of oil or legal authority to force use of the assessment.</x:v>
      </x:c>
      <x:c r="U109" s="51" t="str">
        <x:v>Contract parties choose benchmark references.</x:v>
      </x:c>
      <x:c r="V109" s="51" t="str">
        <x:v>Active</x:v>
      </x:c>
      <x:c r="W109" s="51" t="str">
        <x:v>33;57</x:v>
      </x:c>
      <x:c r="X109" s="51" t="str">
        <x:v>2026-07-27</x:v>
      </x:c>
    </x:row>
    <x:row r="110">
      <x:c r="A110" s="51" t="str">
        <x:v>BENCH-005</x:v>
      </x:c>
      <x:c r="B110" s="51" t="str">
        <x:v>Commodity benchmarks and derivative price formation</x:v>
      </x:c>
      <x:c r="C110" s="51" t="str">
        <x:v>ACT-PLATTSDATEDBRENT</x:v>
      </x:c>
      <x:c r="D110" s="51" t="str">
        <x:v>Platts Dated Brent</x:v>
      </x:c>
      <x:c r="E110" s="51" t="str">
        <x:v>ACT-COMMODITYPRODUCERSANDSTA</x:v>
      </x:c>
      <x:c r="F110" s="51" t="str">
        <x:v>Commodity producers and state sellers</x:v>
      </x:c>
      <x:c r="G110" s="51" t="str">
        <x:v>Benchmark → sellers</x:v>
      </x:c>
      <x:c r="H110" s="51" t="str">
        <x:v>Ongoing</x:v>
      </x:c>
      <x:c r="I110" s="51" t="str">
        <x:v>Contract pricing reference</x:v>
      </x:c>
      <x:c r="J110" s="51" t="str">
        <x:v>INS-196</x:v>
      </x:c>
      <x:c r="K110" s="51" t="str">
        <x:v>Cargo-specific differentials</x:v>
      </x:c>
      <x:c r="L110" s="51" t="str">
        <x:v>Published benchmark plus quality, freight and timing adjustments</x:v>
      </x:c>
      <x:c r="M110" s="51" t="str">
        <x:v>Invoice price for physical crude</x:v>
      </x:c>
      <x:c r="N110" s="51" t="str">
        <x:v>Benchmark clauses standardise negotiation while preserving cargo-specific differentials</x:v>
      </x:c>
      <x:c r="O110" s="51" t="str">
        <x:v>Financial; informational; material</x:v>
      </x:c>
      <x:c r="P110" s="51" t="str">
        <x:v>S1</x:v>
      </x:c>
      <x:c r="Q110" s="51" t="str">
        <x:v>High</x:v>
      </x:c>
      <x:c r="R110" s="51" t="str">
        <x:v>SRC-348</x:v>
      </x:c>
      <x:c r="S110" s="51" t="str">
        <x:v>Dated Brent is widely used as a physical crude pricing reference.</x:v>
      </x:c>
      <x:c r="T110" s="51" t="str">
        <x:v>One price for every crude grade or proof of benchmark manipulation.</x:v>
      </x:c>
      <x:c r="U110" s="51" t="str">
        <x:v>Contracts may use averages, lags and differentials.</x:v>
      </x:c>
      <x:c r="V110" s="51" t="str">
        <x:v>Active mechanism</x:v>
      </x:c>
      <x:c r="W110" s="51" t="str">
        <x:v>33;57</x:v>
      </x:c>
      <x:c r="X110" s="51" t="str">
        <x:v>2026-07-27</x:v>
      </x:c>
    </x:row>
    <x:row r="111">
      <x:c r="A111" s="51" t="str">
        <x:v>BENCH-006</x:v>
      </x:c>
      <x:c r="B111" s="51" t="str">
        <x:v>Commodity benchmarks and derivative price formation</x:v>
      </x:c>
      <x:c r="C111" s="51" t="str">
        <x:v>ACT-CMEGROUPNYMEX</x:v>
      </x:c>
      <x:c r="D111" s="51" t="str">
        <x:v>CME Group / NYMEX</x:v>
      </x:c>
      <x:c r="E111" s="51" t="str">
        <x:v>ACT-WESTTEXASINTERMEDIATEFUT</x:v>
      </x:c>
      <x:c r="F111" s="51" t="str">
        <x:v>West Texas Intermediate futures</x:v>
      </x:c>
      <x:c r="G111" s="51" t="str">
        <x:v>Exchange → futures contract</x:v>
      </x:c>
      <x:c r="H111" s="51" t="str">
        <x:v>Ongoing</x:v>
      </x:c>
      <x:c r="I111" s="51" t="str">
        <x:v>Contract listing, clearing and delivery rules</x:v>
      </x:c>
      <x:c r="J111" s="51" t="str">
        <x:v>INS-197</x:v>
      </x:c>
      <x:c r="K111" s="51" t="str">
        <x:v>1,000 barrels per standard contract</x:v>
      </x:c>
      <x:c r="L111" s="51" t="str">
        <x:v>US crude price risk and physical delivery infrastructure</x:v>
      </x:c>
      <x:c r="M111" s="51" t="str">
        <x:v>Standard futures position and settlement</x:v>
      </x:c>
      <x:c r="N111" s="51" t="str">
        <x:v>Exchange rules convert US physical crude exposure into globally tradeable financial contracts</x:v>
      </x:c>
      <x:c r="O111" s="51" t="str">
        <x:v>Financial; informational; enforcement</x:v>
      </x:c>
      <x:c r="P111" s="51" t="str">
        <x:v>E1</x:v>
      </x:c>
      <x:c r="Q111" s="51" t="str">
        <x:v>Very high</x:v>
      </x:c>
      <x:c r="R111" s="51" t="str">
        <x:v>SRC-349; SRC-350</x:v>
      </x:c>
      <x:c r="S111" s="51" t="str">
        <x:v>NYMEX lists WTI crude futures and options used internationally.</x:v>
      </x:c>
      <x:c r="T111" s="51" t="str">
        <x:v>Direct ownership of physical barrels traded by market participants.</x:v>
      </x:c>
      <x:c r="U111" s="51" t="str">
        <x:v>Clearing and delivery obligations are contract specific.</x:v>
      </x:c>
      <x:c r="V111" s="51" t="str">
        <x:v>Active</x:v>
      </x:c>
      <x:c r="W111" s="51" t="str">
        <x:v>33;57</x:v>
      </x:c>
      <x:c r="X111" s="51" t="str">
        <x:v>2026-07-27</x:v>
      </x:c>
    </x:row>
    <x:row r="112">
      <x:c r="A112" s="51" t="str">
        <x:v>BENCH-007</x:v>
      </x:c>
      <x:c r="B112" s="51" t="str">
        <x:v>Commodity benchmarks and derivative price formation</x:v>
      </x:c>
      <x:c r="C112" s="51" t="str">
        <x:v>ACT-SPGLOBALENERGYPLATTS</x:v>
      </x:c>
      <x:c r="D112" s="51" t="str">
        <x:v>S&amp;P Global Energy Platts</x:v>
      </x:c>
      <x:c r="E112" s="51" t="str">
        <x:v>ACT-PLATTSJKM</x:v>
      </x:c>
      <x:c r="F112" s="51" t="str">
        <x:v>Platts JKM</x:v>
      </x:c>
      <x:c r="G112" s="51" t="str">
        <x:v>Price reporting agency → LNG assessment</x:v>
      </x:c>
      <x:c r="H112" s="51" t="str">
        <x:v>Daily</x:v>
      </x:c>
      <x:c r="I112" s="51" t="str">
        <x:v>Spot DES LNG assessment</x:v>
      </x:c>
      <x:c r="J112" s="51" t="str">
        <x:v>INS-194</x:v>
      </x:c>
      <x:c r="K112" s="51" t="str">
        <x:v>Northeast Asia delivered cargo benchmark</x:v>
      </x:c>
      <x:c r="L112" s="51" t="str">
        <x:v>Market bids, offers and trades</x:v>
      </x:c>
      <x:c r="M112" s="51" t="str">
        <x:v>JKM price assessment</x:v>
      </x:c>
      <x:c r="N112" s="51" t="str">
        <x:v>A delivered-cargo benchmark compresses origin, voyage and destination economics into one reference price</x:v>
      </x:c>
      <x:c r="O112" s="51" t="str">
        <x:v>Informational; financial; material</x:v>
      </x:c>
      <x:c r="P112" s="51" t="str">
        <x:v>E1</x:v>
      </x:c>
      <x:c r="Q112" s="51" t="str">
        <x:v>Very high</x:v>
      </x:c>
      <x:c r="R112" s="51" t="str">
        <x:v>SRC-345</x:v>
      </x:c>
      <x:c r="S112" s="51" t="str">
        <x:v>JKM reflects spot cargoes delivered into Japan, Korea, China and Taiwan and is referenced in contracts.</x:v>
      </x:c>
      <x:c r="T112" s="51" t="str">
        <x:v>One global LNG price or control over destination demand.</x:v>
      </x:c>
      <x:c r="U112" s="51" t="str">
        <x:v>Atlantic and pipeline gas benchmarks remain distinct.</x:v>
      </x:c>
      <x:c r="V112" s="51" t="str">
        <x:v>Active</x:v>
      </x:c>
      <x:c r="W112" s="51" t="str">
        <x:v>33;57</x:v>
      </x:c>
      <x:c r="X112" s="51" t="str">
        <x:v>2026-07-27</x:v>
      </x:c>
    </x:row>
    <x:row r="113">
      <x:c r="A113" s="51" t="str">
        <x:v>BENCH-008</x:v>
      </x:c>
      <x:c r="B113" s="51" t="str">
        <x:v>Commodity benchmarks and derivative price formation</x:v>
      </x:c>
      <x:c r="C113" s="51" t="str">
        <x:v>ACT-PLATTSJKM</x:v>
      </x:c>
      <x:c r="D113" s="51" t="str">
        <x:v>Platts JKM</x:v>
      </x:c>
      <x:c r="E113" s="51" t="str">
        <x:v>ACT-LNGBUYERSANDUTILITIES</x:v>
      </x:c>
      <x:c r="F113" s="51" t="str">
        <x:v>LNG buyers and utilities</x:v>
      </x:c>
      <x:c r="G113" s="51" t="str">
        <x:v>Benchmark → buyers</x:v>
      </x:c>
      <x:c r="H113" s="51" t="str">
        <x:v>Ongoing</x:v>
      </x:c>
      <x:c r="I113" s="51" t="str">
        <x:v>Spot, tender and contract price reference</x:v>
      </x:c>
      <x:c r="J113" s="51" t="str">
        <x:v>INS-194</x:v>
      </x:c>
      <x:c r="K113" s="51" t="str">
        <x:v>Contract-specific</x:v>
      </x:c>
      <x:c r="L113" s="51" t="str">
        <x:v>Delivered LNG benchmark and contractual formula</x:v>
      </x:c>
      <x:c r="M113" s="51" t="str">
        <x:v>Purchase price and hedge exposure</x:v>
      </x:c>
      <x:c r="N113" s="51" t="str">
        <x:v>Benchmark indexation converts regional physical scarcity into utility and consumer energy cost</x:v>
      </x:c>
      <x:c r="O113" s="51" t="str">
        <x:v>Financial; material; distributional</x:v>
      </x:c>
      <x:c r="P113" s="51" t="str">
        <x:v>E1</x:v>
      </x:c>
      <x:c r="Q113" s="51" t="str">
        <x:v>High</x:v>
      </x:c>
      <x:c r="R113" s="51" t="str">
        <x:v>SRC-345</x:v>
      </x:c>
      <x:c r="S113" s="51" t="str">
        <x:v>JKM is referenced in spot, tender and longer-term LNG contracts.</x:v>
      </x:c>
      <x:c r="T113" s="51" t="str">
        <x:v>Uniform pass-through to consumers or identical contract formulas.</x:v>
      </x:c>
      <x:c r="U113" s="51" t="str">
        <x:v>Oil-linked and hub-linked LNG contracts also exist.</x:v>
      </x:c>
      <x:c r="V113" s="51" t="str">
        <x:v>Active</x:v>
      </x:c>
      <x:c r="W113" s="51" t="str">
        <x:v>33;57</x:v>
      </x:c>
      <x:c r="X113" s="51" t="str">
        <x:v>2026-07-27</x:v>
      </x:c>
    </x:row>
    <x:row r="114">
      <x:c r="A114" s="51" t="str">
        <x:v>BENCH-009</x:v>
      </x:c>
      <x:c r="B114" s="51" t="str">
        <x:v>Commodity benchmarks and derivative price formation</x:v>
      </x:c>
      <x:c r="C114" s="51" t="str">
        <x:v>ACT-LONDONMETALEXCHANGE</x:v>
      </x:c>
      <x:c r="D114" s="51" t="str">
        <x:v>London Metal Exchange</x:v>
      </x:c>
      <x:c r="E114" s="51" t="str">
        <x:v>ACT-LMELICENSEDWAREHOUSES</x:v>
      </x:c>
      <x:c r="F114" s="51" t="str">
        <x:v>LME licensed warehouses</x:v>
      </x:c>
      <x:c r="G114" s="51" t="str">
        <x:v>Exchange → warehouse network</x:v>
      </x:c>
      <x:c r="H114" s="51" t="str">
        <x:v>Ongoing</x:v>
      </x:c>
      <x:c r="I114" s="51" t="str">
        <x:v>Licensing and delivery-point rules</x:v>
      </x:c>
      <x:c r="J114" s="51" t="str">
        <x:v>INS-198</x:v>
      </x:c>
      <x:c r="K114" s="51" t="str">
        <x:v>Global licensed locations</x:v>
      </x:c>
      <x:c r="L114" s="51" t="str">
        <x:v>Warehouse standards and exchange rules</x:v>
      </x:c>
      <x:c r="M114" s="51" t="str">
        <x:v>Eligible storage and delivery infrastructure</x:v>
      </x:c>
      <x:c r="N114" s="51" t="str">
        <x:v>The exchange defines which warehouses can transform physical metal into deliverable contract collateral</x:v>
      </x:c>
      <x:c r="O114" s="51" t="str">
        <x:v>Material; informational; institutional</x:v>
      </x:c>
      <x:c r="P114" s="51" t="str">
        <x:v>E1</x:v>
      </x:c>
      <x:c r="Q114" s="51" t="str">
        <x:v>Very high</x:v>
      </x:c>
      <x:c r="R114" s="51" t="str">
        <x:v>SRC-351; SRC-352</x:v>
      </x:c>
      <x:c r="S114" s="51" t="str">
        <x:v>The LME approves and licenses warehouses and publishes stock data.</x:v>
      </x:c>
      <x:c r="T114" s="51" t="str">
        <x:v>Ownership of all stored metal by the LME.</x:v>
      </x:c>
      <x:c r="U114" s="51" t="str">
        <x:v>Warehouse operators and warrant holders retain separate rights.</x:v>
      </x:c>
      <x:c r="V114" s="51" t="str">
        <x:v>Active</x:v>
      </x:c>
      <x:c r="W114" s="51" t="str">
        <x:v>33;57</x:v>
      </x:c>
      <x:c r="X114" s="51" t="str">
        <x:v>2026-07-27</x:v>
      </x:c>
    </x:row>
    <x:row r="115">
      <x:c r="A115" s="51" t="str">
        <x:v>BENCH-010</x:v>
      </x:c>
      <x:c r="B115" s="51" t="str">
        <x:v>Commodity benchmarks and derivative price formation</x:v>
      </x:c>
      <x:c r="C115" s="51" t="str">
        <x:v>ACT-LMELICENSEDWAREHOUSES</x:v>
      </x:c>
      <x:c r="D115" s="51" t="str">
        <x:v>LME licensed warehouses</x:v>
      </x:c>
      <x:c r="E115" s="51" t="str">
        <x:v>ACT-LMEWARRANTHOLDERS</x:v>
      </x:c>
      <x:c r="F115" s="51" t="str">
        <x:v>LME warrant holders</x:v>
      </x:c>
      <x:c r="G115" s="51" t="str">
        <x:v>Warehouse → title holders</x:v>
      </x:c>
      <x:c r="H115" s="51" t="str">
        <x:v>Ongoing</x:v>
      </x:c>
      <x:c r="I115" s="51" t="str">
        <x:v>Warehouse warrant issuance and cancellation</x:v>
      </x:c>
      <x:c r="J115" s="51" t="str">
        <x:v>INS-198</x:v>
      </x:c>
      <x:c r="K115" s="51" t="str">
        <x:v>Metal-specific tonnes</x:v>
      </x:c>
      <x:c r="L115" s="51" t="str">
        <x:v>Exchange-grade metal placed on warrant</x:v>
      </x:c>
      <x:c r="M115" s="51" t="str">
        <x:v>Recognised title and delivery claim</x:v>
      </x:c>
      <x:c r="N115" s="51" t="str">
        <x:v>A warehouse receipt converts stored metal into a standardised, financeable and deliverable asset</x:v>
      </x:c>
      <x:c r="O115" s="51" t="str">
        <x:v>Ownership; financial; material</x:v>
      </x:c>
      <x:c r="P115" s="51" t="str">
        <x:v>E1</x:v>
      </x:c>
      <x:c r="Q115" s="51" t="str">
        <x:v>High</x:v>
      </x:c>
      <x:c r="R115" s="51" t="str">
        <x:v>SRC-351; SRC-352</x:v>
      </x:c>
      <x:c r="S115" s="51" t="str">
        <x:v>LME warehouse warrants and stock reports identify deliverable metal positions.</x:v>
      </x:c>
      <x:c r="T115" s="51" t="str">
        <x:v>Freedom from storage queues, quality disputes or financing liens.</x:v>
      </x:c>
      <x:c r="U115" s="51" t="str">
        <x:v>On-warrant and off-warrant stocks differ.</x:v>
      </x:c>
      <x:c r="V115" s="51" t="str">
        <x:v>Active</x:v>
      </x:c>
      <x:c r="W115" s="51" t="str">
        <x:v>33;57</x:v>
      </x:c>
      <x:c r="X115" s="51" t="str">
        <x:v>2026-07-27</x:v>
      </x:c>
    </x:row>
    <x:row r="116">
      <x:c r="A116" s="51" t="str">
        <x:v>BK-001</x:v>
      </x:c>
      <x:c r="B116" s="51" t="str">
        <x:v>Bankruptcy and failure resolution</x:v>
      </x:c>
      <x:c r="C116" s="51" t="str">
        <x:v>ACT-USBANKRUPTCYCOURTS</x:v>
      </x:c>
      <x:c r="D116" s="51" t="str">
        <x:v>US Bankruptcy Courts</x:v>
      </x:c>
      <x:c r="E116" s="51" t="str">
        <x:v>ACT-DEBTORINPOSSESSION</x:v>
      </x:c>
      <x:c r="F116" s="51" t="str">
        <x:v>Debtor in possession</x:v>
      </x:c>
      <x:c r="G116" s="51" t="str">
        <x:v>Court → estate fiduciary</x:v>
      </x:c>
      <x:c r="H116" s="51" t="str">
        <x:v>Chapter 11</x:v>
      </x:c>
      <x:c r="I116" s="51" t="str">
        <x:v>Supervision and authorisation</x:v>
      </x:c>
      <x:c r="J116" s="51" t="str">
        <x:v>INS-120</x:v>
      </x:c>
      <x:c r="K116" s="51" t="str">
        <x:v>Case-specific</x:v>
      </x:c>
      <x:c r="L116" s="51" t="str">
        <x:v>Bankruptcy petition and estate property</x:v>
      </x:c>
      <x:c r="M116" s="51" t="str">
        <x:v>Authority to operate, sell, finance and propose a plan subject to court review</x:v>
      </x:c>
      <x:c r="N116" s="51" t="str">
        <x:v>Bankruptcy converts pre-filing management into a court-supervised fiduciary with estate-wide powers</x:v>
      </x:c>
      <x:c r="O116" s="51" t="str">
        <x:v>Institutional; ownership; enforcement</x:v>
      </x:c>
      <x:c r="P116" s="51" t="str">
        <x:v>E1</x:v>
      </x:c>
      <x:c r="Q116" s="51" t="str">
        <x:v>Very high</x:v>
      </x:c>
      <x:c r="R116" s="51" t="str">
        <x:v>SRC-231; SRC-642; SRC-643; SRC-644; SRC-646; SRC-647; SRC-649; SRC-650; SRC-678</x:v>
      </x:c>
      <x:c r="S116" s="51" t="str">
        <x:v>Chapter 11 debtors usually remain in possession and operate under statutory duties.</x:v>
      </x:c>
      <x:c r="T116" s="51" t="str">
        <x:v>Unrestricted management authority or immunity from creditor challenge.</x:v>
      </x:c>
      <x:c r="U116" s="51" t="str">
        <x:v>Major transactions and financing may require court approval.</x:v>
      </x:c>
      <x:c r="V116" s="51" t="str">
        <x:v>Case-specific</x:v>
      </x:c>
      <x:c r="W116" s="51" t="str">
        <x:v>47;57</x:v>
      </x:c>
      <x:c r="X116" s="51" t="str">
        <x:v>2026-07-27</x:v>
      </x:c>
    </x:row>
    <x:row r="117">
      <x:c r="A117" s="51" t="str">
        <x:v>BK-002</x:v>
      </x:c>
      <x:c r="B117" s="51" t="str">
        <x:v>Bankruptcy and failure resolution</x:v>
      </x:c>
      <x:c r="C117" s="51" t="str">
        <x:v>ACT-DEBTORINPOSSESSION</x:v>
      </x:c>
      <x:c r="D117" s="51" t="str">
        <x:v>Debtor in possession</x:v>
      </x:c>
      <x:c r="E117" s="51" t="str">
        <x:v>ACT-BANKRUPTCYESTATE</x:v>
      </x:c>
      <x:c r="F117" s="51" t="str">
        <x:v>Bankruptcy estate</x:v>
      </x:c>
      <x:c r="G117" s="51" t="str">
        <x:v>Fiduciary → asset pool</x:v>
      </x:c>
      <x:c r="H117" s="51" t="str">
        <x:v>Chapter 11</x:v>
      </x:c>
      <x:c r="I117" s="51" t="str">
        <x:v>Possession and administration</x:v>
      </x:c>
      <x:c r="J117" s="51" t="str">
        <x:v>INS-120</x:v>
      </x:c>
      <x:c r="K117" s="51" t="str">
        <x:v>Estate-wide</x:v>
      </x:c>
      <x:c r="L117" s="51" t="str">
        <x:v>Prepetition debtor property and avoidance powers</x:v>
      </x:c>
      <x:c r="M117" s="51" t="str">
        <x:v>Operating business and distributable value</x:v>
      </x:c>
      <x:c r="N117" s="51" t="str">
        <x:v>The filing creates a legally bounded estate whose value is managed for creditor and stakeholder claims</x:v>
      </x:c>
      <x:c r="O117" s="51" t="str">
        <x:v>Ownership; financial; institutional</x:v>
      </x:c>
      <x:c r="P117" s="51" t="str">
        <x:v>E1</x:v>
      </x:c>
      <x:c r="Q117" s="51" t="str">
        <x:v>Very high</x:v>
      </x:c>
      <x:c r="R117" s="51" t="str">
        <x:v>SRC-231; SRC-642; SRC-643; SRC-644; SRC-646; SRC-647; SRC-649; SRC-650; SRC-678</x:v>
      </x:c>
      <x:c r="S117" s="51" t="str">
        <x:v>The debtor in possession controls estate property subject to fiduciary duties.</x:v>
      </x:c>
      <x:c r="T117" s="51" t="str">
        <x:v>Beneficial ownership of estate property by management.</x:v>
      </x:c>
      <x:c r="U117" s="51" t="str">
        <x:v>The estate remains subject to liens, executory contracts and court orders.</x:v>
      </x:c>
      <x:c r="V117" s="51" t="str">
        <x:v>Case-specific</x:v>
      </x:c>
      <x:c r="W117" s="51" t="str">
        <x:v>47;57</x:v>
      </x:c>
      <x:c r="X117" s="51" t="str">
        <x:v>2026-07-27</x:v>
      </x:c>
    </x:row>
    <x:row r="118">
      <x:c r="A118" s="51" t="str">
        <x:v>BK-003</x:v>
      </x:c>
      <x:c r="B118" s="51" t="str">
        <x:v>Bankruptcy and failure resolution</x:v>
      </x:c>
      <x:c r="C118" s="51" t="str">
        <x:v>ACT-USTRUSTEEPROGRAM</x:v>
      </x:c>
      <x:c r="D118" s="51" t="str">
        <x:v>US Trustee Program</x:v>
      </x:c>
      <x:c r="E118" s="51" t="str">
        <x:v>ACT-OFFICIALCOMMITTEEOFUNSEC</x:v>
      </x:c>
      <x:c r="F118" s="51" t="str">
        <x:v>Official Committee of Unsecured Creditors</x:v>
      </x:c>
      <x:c r="G118" s="51" t="str">
        <x:v>Oversight authority → committee</x:v>
      </x:c>
      <x:c r="H118" s="51" t="str">
        <x:v>Chapter 11</x:v>
      </x:c>
      <x:c r="I118" s="51" t="str">
        <x:v>Appointment and oversight</x:v>
      </x:c>
      <x:c r="J118" s="51" t="str">
        <x:v>INS-121</x:v>
      </x:c>
      <x:c r="K118" s="51" t="str">
        <x:v>Usually 7–15 members</x:v>
      </x:c>
      <x:c r="L118" s="51" t="str">
        <x:v>Creditor claims and representativeness</x:v>
      </x:c>
      <x:c r="M118" s="51" t="str">
        <x:v>Official committee with professionals and statutory powers</x:v>
      </x:c>
      <x:c r="N118" s="51" t="str">
        <x:v>A public administrator converts dispersed unsecured claims into a collective governance body</x:v>
      </x:c>
      <x:c r="O118" s="51" t="str">
        <x:v>Institutional; relational; enforcement</x:v>
      </x:c>
      <x:c r="P118" s="51" t="str">
        <x:v>E1</x:v>
      </x:c>
      <x:c r="Q118" s="51" t="str">
        <x:v>Very high</x:v>
      </x:c>
      <x:c r="R118" s="51" t="str">
        <x:v>SRC-231; SRC-232; SRC-642; SRC-643; SRC-644; SRC-646; SRC-647; SRC-649; SRC-650; SRC-678</x:v>
      </x:c>
      <x:c r="S118" s="51" t="str">
        <x:v>The US Trustee appoints and oversees official committees.</x:v>
      </x:c>
      <x:c r="T118" s="51" t="str">
        <x:v>Control of the debtor or guaranteed committee formation in every case.</x:v>
      </x:c>
      <x:c r="U118" s="51" t="str">
        <x:v>Case size, creditor interest and court circumstances affect formation.</x:v>
      </x:c>
      <x:c r="V118" s="51" t="str">
        <x:v>Case-specific</x:v>
      </x:c>
      <x:c r="W118" s="51" t="str">
        <x:v>47;57</x:v>
      </x:c>
      <x:c r="X118" s="51" t="str">
        <x:v>2026-07-27</x:v>
      </x:c>
    </x:row>
    <x:row r="119">
      <x:c r="A119" s="51" t="str">
        <x:v>BK-004</x:v>
      </x:c>
      <x:c r="B119" s="51" t="str">
        <x:v>Bankruptcy and failure resolution</x:v>
      </x:c>
      <x:c r="C119" s="51" t="str">
        <x:v>ACT-OFFICIALCOMMITTEEOFUNSEC</x:v>
      </x:c>
      <x:c r="D119" s="51" t="str">
        <x:v>Official Committee of Unsecured Creditors</x:v>
      </x:c>
      <x:c r="E119" s="51" t="str">
        <x:v>ACT-DEBTORINPOSSESSION</x:v>
      </x:c>
      <x:c r="F119" s="51" t="str">
        <x:v>Debtor in possession</x:v>
      </x:c>
      <x:c r="G119" s="51" t="str">
        <x:v>Committee → debtor</x:v>
      </x:c>
      <x:c r="H119" s="51" t="str">
        <x:v>Chapter 11</x:v>
      </x:c>
      <x:c r="I119" s="51" t="str">
        <x:v>Consultation, investigation and plan participation</x:v>
      </x:c>
      <x:c r="J119" s="51" t="str">
        <x:v>INS-121</x:v>
      </x:c>
      <x:c r="K119" s="51" t="str">
        <x:v>Case-specific</x:v>
      </x:c>
      <x:c r="L119" s="51" t="str">
        <x:v>Collective unsecured claims and professional advice</x:v>
      </x:c>
      <x:c r="M119" s="51" t="str">
        <x:v>Negotiating leverage, discovery and plan objections</x:v>
      </x:c>
      <x:c r="N119" s="51" t="str">
        <x:v>Collective representation lowers coordination costs among creditors who otherwise face free-rider problems</x:v>
      </x:c>
      <x:c r="O119" s="51" t="str">
        <x:v>Relational; informational; financial</x:v>
      </x:c>
      <x:c r="P119" s="51" t="str">
        <x:v>E1</x:v>
      </x:c>
      <x:c r="Q119" s="51" t="str">
        <x:v>Very high</x:v>
      </x:c>
      <x:c r="R119" s="51" t="str">
        <x:v>SRC-231; SRC-232; SRC-642; SRC-643; SRC-644; SRC-646; SRC-647; SRC-649; SRC-650; SRC-678</x:v>
      </x:c>
      <x:c r="S119" s="51" t="str">
        <x:v>Committees may investigate the debtor, consult on administration and participate in plans.</x:v>
      </x:c>
      <x:c r="T119" s="51" t="str">
        <x:v>A veto over all debtor actions or priority over secured claims.</x:v>
      </x:c>
      <x:c r="U119" s="51" t="str">
        <x:v>Court rulings and creditor class voting determine final outcomes.</x:v>
      </x:c>
      <x:c r="V119" s="51" t="str">
        <x:v>Case-specific</x:v>
      </x:c>
      <x:c r="W119" s="51" t="str">
        <x:v>47;57</x:v>
      </x:c>
      <x:c r="X119" s="51" t="str">
        <x:v>2026-07-27</x:v>
      </x:c>
    </x:row>
    <x:row r="120">
      <x:c r="A120" s="51" t="str">
        <x:v>BK-005</x:v>
      </x:c>
      <x:c r="B120" s="51" t="str">
        <x:v>Bankruptcy and failure resolution</x:v>
      </x:c>
      <x:c r="C120" s="51" t="str">
        <x:v>ACT-DEBTORINPOSSESSIONLENDER</x:v>
      </x:c>
      <x:c r="D120" s="51" t="str">
        <x:v>Debtor-in-possession lenders</x:v>
      </x:c>
      <x:c r="E120" s="51" t="str">
        <x:v>ACT-DEBTORINPOSSESSION</x:v>
      </x:c>
      <x:c r="F120" s="51" t="str">
        <x:v>Debtor in possession</x:v>
      </x:c>
      <x:c r="G120" s="51" t="str">
        <x:v>Lender → debtor</x:v>
      </x:c>
      <x:c r="H120" s="51" t="str">
        <x:v>Chapter 11</x:v>
      </x:c>
      <x:c r="I120" s="51" t="str">
        <x:v>Court-approved post-petition financing</x:v>
      </x:c>
      <x:c r="J120" s="51" t="str">
        <x:v>INS-122</x:v>
      </x:c>
      <x:c r="K120" s="51" t="str">
        <x:v>Case-specific</x:v>
      </x:c>
      <x:c r="L120" s="51" t="str">
        <x:v>New liquidity, covenants and milestones</x:v>
      </x:c>
      <x:c r="M120" s="51" t="str">
        <x:v>Operating cash and restructuring runway</x:v>
      </x:c>
      <x:c r="N120" s="51" t="str">
        <x:v>Scarce rescue finance is exchanged for priority, liens, budgets and influence over restructuring pace</x:v>
      </x:c>
      <x:c r="O120" s="51" t="str">
        <x:v>Financial; ownership; enforcement</x:v>
      </x:c>
      <x:c r="P120" s="51" t="str">
        <x:v>E1</x:v>
      </x:c>
      <x:c r="Q120" s="51" t="str">
        <x:v>High</x:v>
      </x:c>
      <x:c r="R120" s="51" t="str">
        <x:v>SRC-231; SRC-233; SRC-642; SRC-643; SRC-644; SRC-646; SRC-647; SRC-649; SRC-650; SRC-678</x:v>
      </x:c>
      <x:c r="S120" s="51" t="str">
        <x:v>Bankruptcy courts approve DIP financing and cash-collateral arrangements under statutory procedures.</x:v>
      </x:c>
      <x:c r="T120" s="51" t="str">
        <x:v>Automatic lender control or validity of every requested covenant.</x:v>
      </x:c>
      <x:c r="U120" s="51" t="str">
        <x:v>Courts can modify terms and creditors may object.</x:v>
      </x:c>
      <x:c r="V120" s="51" t="str">
        <x:v>Court-approved / case-specific</x:v>
      </x:c>
      <x:c r="W120" s="51" t="str">
        <x:v>47;57</x:v>
      </x:c>
      <x:c r="X120" s="51" t="str">
        <x:v>2026-07-27</x:v>
      </x:c>
    </x:row>
    <x:row r="121">
      <x:c r="A121" s="51" t="str">
        <x:v>BK-006</x:v>
      </x:c>
      <x:c r="B121" s="51" t="str">
        <x:v>Bankruptcy and failure resolution</x:v>
      </x:c>
      <x:c r="C121" s="51" t="str">
        <x:v>ACT-PREPETITIONSECUREDLENDER</x:v>
      </x:c>
      <x:c r="D121" s="51" t="str">
        <x:v>Prepetition secured lenders</x:v>
      </x:c>
      <x:c r="E121" s="51" t="str">
        <x:v>ACT-DEBTORINPOSSESSION</x:v>
      </x:c>
      <x:c r="F121" s="51" t="str">
        <x:v>Debtor in possession</x:v>
      </x:c>
      <x:c r="G121" s="51" t="str">
        <x:v>Creditor → debtor</x:v>
      </x:c>
      <x:c r="H121" s="51" t="str">
        <x:v>Chapter 11</x:v>
      </x:c>
      <x:c r="I121" s="51" t="str">
        <x:v>Cash-collateral consent and adequate-protection rights</x:v>
      </x:c>
      <x:c r="J121" s="51" t="str">
        <x:v>INS-122</x:v>
      </x:c>
      <x:c r="K121" s="51" t="str">
        <x:v>Case-specific</x:v>
      </x:c>
      <x:c r="L121" s="51" t="str">
        <x:v>Prepetition liens on cash and assets</x:v>
      </x:c>
      <x:c r="M121" s="51" t="str">
        <x:v>Conditions on continued use of collateral</x:v>
      </x:c>
      <x:c r="N121" s="51" t="str">
        <x:v>Existing collateral rights survive into restructuring and can constrain operating freedom</x:v>
      </x:c>
      <x:c r="O121" s="51" t="str">
        <x:v>Financial; ownership; enforcement</x:v>
      </x:c>
      <x:c r="P121" s="51" t="str">
        <x:v>E1</x:v>
      </x:c>
      <x:c r="Q121" s="51" t="str">
        <x:v>High</x:v>
      </x:c>
      <x:c r="R121" s="51" t="str">
        <x:v>SRC-231; SRC-233; SRC-642; SRC-643; SRC-644; SRC-646; SRC-647; SRC-649; SRC-650; SRC-678</x:v>
      </x:c>
      <x:c r="S121" s="51" t="str">
        <x:v>Use of cash collateral may require consent or court authorisation with protection.</x:v>
      </x:c>
      <x:c r="T121" s="51" t="str">
        <x:v>A complete veto or guaranteed repayment.</x:v>
      </x:c>
      <x:c r="U121" s="51" t="str">
        <x:v>The court balances collateral protection with reorganisation value.</x:v>
      </x:c>
      <x:c r="V121" s="51" t="str">
        <x:v>Case-specific</x:v>
      </x:c>
      <x:c r="W121" s="51" t="str">
        <x:v>47;57</x:v>
      </x:c>
      <x:c r="X121" s="51" t="str">
        <x:v>2026-07-27</x:v>
      </x:c>
    </x:row>
    <x:row r="122">
      <x:c r="A122" s="51" t="str">
        <x:v>BOUND-001</x:v>
      </x:c>
      <x:c r="B122" s="51" t="str">
        <x:v>Evidence boundary</x:v>
      </x:c>
      <x:c r="C122" s="51" t="str">
        <x:v>ACT-UNITEDSTATES</x:v>
      </x:c>
      <x:c r="D122" s="51" t="str">
        <x:v>United States</x:v>
      </x:c>
      <x:c r="E122" s="51" t="str">
        <x:v>ACT-CITIZENSANDLABOUR</x:v>
      </x:c>
      <x:c r="F122" s="51" t="str">
        <x:v>Citizens and labour</x:v>
      </x:c>
      <x:c r="G122" s="51" t="str">
        <x:v>Claim boundary</x:v>
      </x:c>
      <x:c r="H122" s="51" t="str">
        <x:v>Current review</x:v>
      </x:c>
      <x:c r="I122" s="51" t="str">
        <x:v>Unsupported generalisation</x:v>
      </x:c>
      <x:c r="J122" s="51" t="str"/>
      <x:c r="K122" s="51" t="str">
        <x:v>N/A</x:v>
      </x:c>
      <x:c r="L122" s="51" t="str">
        <x:v>Documented structural facts</x:v>
      </x:c>
      <x:c r="M122" s="51" t="str">
        <x:v>Every war is caused by dollar defence</x:v>
      </x:c>
      <x:c r="N122" s="51" t="str">
        <x:v>Wars have multiple territorial, ideological, security and domestic causes.</x:v>
      </x:c>
      <x:c r="O122" s="51" t="str">
        <x:v>Narrative; epistemic</x:v>
      </x:c>
      <x:c r="P122" s="51" t="str">
        <x:v>U1</x:v>
      </x:c>
      <x:c r="Q122" s="51" t="str">
        <x:v>Very low</x:v>
      </x:c>
      <x:c r="R122" s="51" t="str">
        <x:v>SRC-003; SRC-004</x:v>
      </x:c>
      <x:c r="S122" s="51" t="str">
        <x:v>The narrower facts and mechanisms elsewhere in the ledger.</x:v>
      </x:c>
      <x:c r="T122" s="51" t="str">
        <x:v>Every war is caused by dollar defence</x:v>
      </x:c>
      <x:c r="U122" s="51" t="str">
        <x:v>Wars have multiple territorial, ideological, security and domestic causes.</x:v>
      </x:c>
      <x:c r="V122" s="51" t="str">
        <x:v>Unsupported</x:v>
      </x:c>
      <x:c r="W122" s="51" t="str">
        <x:v>9;57;79</x:v>
      </x:c>
      <x:c r="X122" s="51" t="str">
        <x:v>2026-07-27</x:v>
      </x:c>
    </x:row>
    <x:row r="123">
      <x:c r="A123" s="51" t="str">
        <x:v>BOUND-002</x:v>
      </x:c>
      <x:c r="B123" s="51" t="str">
        <x:v>Evidence boundary</x:v>
      </x:c>
      <x:c r="C123" s="51" t="str">
        <x:v>ACT-UNITEDSTATES</x:v>
      </x:c>
      <x:c r="D123" s="51" t="str">
        <x:v>United States</x:v>
      </x:c>
      <x:c r="E123" s="51" t="str">
        <x:v>ACT-STRAITOFHORMUZ</x:v>
      </x:c>
      <x:c r="F123" s="51" t="str">
        <x:v>Strait of Hormuz</x:v>
      </x:c>
      <x:c r="G123" s="51" t="str">
        <x:v>Claim boundary</x:v>
      </x:c>
      <x:c r="H123" s="51" t="str">
        <x:v>Current review</x:v>
      </x:c>
      <x:c r="I123" s="51" t="str">
        <x:v>Unsupported generalisation</x:v>
      </x:c>
      <x:c r="J123" s="51" t="str"/>
      <x:c r="K123" s="51" t="str">
        <x:v>N/A</x:v>
      </x:c>
      <x:c r="L123" s="51" t="str">
        <x:v>Documented structural facts</x:v>
      </x:c>
      <x:c r="M123" s="51" t="str">
        <x:v>Petrodollar invoicing alone explains US power</x:v>
      </x:c>
      <x:c r="N123" s="51" t="str">
        <x:v>Dollar power also rests on markets, collateral, banks, law and backstops.</x:v>
      </x:c>
      <x:c r="O123" s="51" t="str">
        <x:v>Narrative; epistemic</x:v>
      </x:c>
      <x:c r="P123" s="51" t="str">
        <x:v>U1</x:v>
      </x:c>
      <x:c r="Q123" s="51" t="str">
        <x:v>Very low</x:v>
      </x:c>
      <x:c r="R123" s="51" t="str">
        <x:v>SRC-001; SRC-003; SRC-004</x:v>
      </x:c>
      <x:c r="S123" s="51" t="str">
        <x:v>The narrower facts and mechanisms elsewhere in the ledger.</x:v>
      </x:c>
      <x:c r="T123" s="51" t="str">
        <x:v>Petrodollar invoicing alone explains US power</x:v>
      </x:c>
      <x:c r="U123" s="51" t="str">
        <x:v>Dollar power also rests on markets, collateral, banks, law and backstops.</x:v>
      </x:c>
      <x:c r="V123" s="51" t="str">
        <x:v>Unsupported</x:v>
      </x:c>
      <x:c r="W123" s="51" t="str">
        <x:v>9;57;79</x:v>
      </x:c>
      <x:c r="X123" s="51" t="str">
        <x:v>2026-07-27</x:v>
      </x:c>
    </x:row>
    <x:row r="124">
      <x:c r="A124" s="51" t="str">
        <x:v>BOUND-003</x:v>
      </x:c>
      <x:c r="B124" s="51" t="str">
        <x:v>Evidence boundary</x:v>
      </x:c>
      <x:c r="C124" s="51" t="str">
        <x:v>ACT-GOVERNINGINSTITUTIONALNE</x:v>
      </x:c>
      <x:c r="D124" s="51" t="str">
        <x:v>Governing institutional networks</x:v>
      </x:c>
      <x:c r="E124" s="51" t="str">
        <x:v>ACT-CITIZENSANDLABOUR</x:v>
      </x:c>
      <x:c r="F124" s="51" t="str">
        <x:v>Citizens and labour</x:v>
      </x:c>
      <x:c r="G124" s="51" t="str">
        <x:v>Claim boundary</x:v>
      </x:c>
      <x:c r="H124" s="51" t="str">
        <x:v>Current review</x:v>
      </x:c>
      <x:c r="I124" s="51" t="str">
        <x:v>Unsupported generalisation</x:v>
      </x:c>
      <x:c r="J124" s="51" t="str"/>
      <x:c r="K124" s="51" t="str">
        <x:v>N/A</x:v>
      </x:c>
      <x:c r="L124" s="51" t="str">
        <x:v>Documented structural facts</x:v>
      </x:c>
      <x:c r="M124" s="51" t="str">
        <x:v>One actor secretly commands the whole system</x:v>
      </x:c>
      <x:c r="N124" s="51" t="str">
        <x:v>Interlocking networks can produce structured outcomes without universal command.</x:v>
      </x:c>
      <x:c r="O124" s="51" t="str">
        <x:v>Narrative; epistemic</x:v>
      </x:c>
      <x:c r="P124" s="51" t="str">
        <x:v>U1</x:v>
      </x:c>
      <x:c r="Q124" s="51" t="str">
        <x:v>Very low</x:v>
      </x:c>
      <x:c r="R124" s="51" t="str">
        <x:v>SRC-043; SRC-045</x:v>
      </x:c>
      <x:c r="S124" s="51" t="str">
        <x:v>The narrower facts and mechanisms elsewhere in the ledger.</x:v>
      </x:c>
      <x:c r="T124" s="51" t="str">
        <x:v>One actor secretly commands the whole system</x:v>
      </x:c>
      <x:c r="U124" s="51" t="str">
        <x:v>Interlocking networks can produce structured outcomes without universal command.</x:v>
      </x:c>
      <x:c r="V124" s="51" t="str">
        <x:v>Unsupported</x:v>
      </x:c>
      <x:c r="W124" s="51" t="str">
        <x:v>9;57;79</x:v>
      </x:c>
      <x:c r="X124" s="51" t="str">
        <x:v>2026-07-27</x:v>
      </x:c>
    </x:row>
    <x:row r="125">
      <x:c r="A125" s="51" t="str">
        <x:v>CHIP-001</x:v>
      </x:c>
      <x:c r="B125" s="51" t="str">
        <x:v>Semiconductor design, IP and EDA</x:v>
      </x:c>
      <x:c r="C125" s="51" t="str">
        <x:v>ACT-NVIDIA</x:v>
      </x:c>
      <x:c r="D125" s="51" t="str">
        <x:v>NVIDIA</x:v>
      </x:c>
      <x:c r="E125" s="51" t="str">
        <x:v>ACT-TSMC</x:v>
      </x:c>
      <x:c r="F125" s="51" t="str">
        <x:v>TSMC</x:v>
      </x:c>
      <x:c r="G125" s="51" t="str">
        <x:v>Chip designer → foundry</x:v>
      </x:c>
      <x:c r="H125" s="51" t="str">
        <x:v>Ongoing</x:v>
      </x:c>
      <x:c r="I125" s="51" t="str">
        <x:v>Leading-edge wafer fabrication and packaging customer relationship</x:v>
      </x:c>
      <x:c r="J125" s="51" t="str">
        <x:v>INS-213; INS-214</x:v>
      </x:c>
      <x:c r="K125" s="51" t="str">
        <x:v>Large strategic supply relationship</x:v>
      </x:c>
      <x:c r="L125" s="51" t="str">
        <x:v>GPU and networking designs</x:v>
      </x:c>
      <x:c r="M125" s="51" t="str">
        <x:v>Fabricated and packaged AI processors</x:v>
      </x:c>
      <x:c r="N125" s="51" t="str">
        <x:v>Fabless design is converted into manufacturable silicon through a specialised foundry and packaging stack</x:v>
      </x:c>
      <x:c r="O125" s="51" t="str">
        <x:v>Technological; material; financial</x:v>
      </x:c>
      <x:c r="P125" s="51" t="str">
        <x:v>S1</x:v>
      </x:c>
      <x:c r="Q125" s="51" t="str">
        <x:v>Very high</x:v>
      </x:c>
      <x:c r="R125" s="51" t="str">
        <x:v>SRC-379; SRC-381; SRC-382</x:v>
      </x:c>
      <x:c r="S125" s="51" t="str">
        <x:v>NVIDIA depends on external manufacturing partners including leading foundries for its products.</x:v>
      </x:c>
      <x:c r="T125" s="51" t="str">
        <x:v>Exclusive dependence on one fab or TSMC control over NVIDIA software and customers.</x:v>
      </x:c>
      <x:c r="U125" s="51" t="str">
        <x:v>Specific allocation, pricing and volumes are confidential and multi-sourced components remain.</x:v>
      </x:c>
      <x:c r="V125" s="51" t="str">
        <x:v>Active</x:v>
      </x:c>
      <x:c r="W125" s="51" t="str">
        <x:v>42;57</x:v>
      </x:c>
      <x:c r="X125" s="51" t="str">
        <x:v>2026-07-27</x:v>
      </x:c>
    </x:row>
    <x:row r="126">
      <x:c r="A126" s="51" t="str">
        <x:v>CHIP-002</x:v>
      </x:c>
      <x:c r="B126" s="51" t="str">
        <x:v>Semiconductor design, IP and EDA</x:v>
      </x:c>
      <x:c r="C126" s="51" t="str">
        <x:v>ACT-TSMC</x:v>
      </x:c>
      <x:c r="D126" s="51" t="str">
        <x:v>TSMC</x:v>
      </x:c>
      <x:c r="E126" s="51" t="str">
        <x:v>ACT-ADVANCEDPACKAGINGPROVIDE</x:v>
      </x:c>
      <x:c r="F126" s="51" t="str">
        <x:v>Advanced packaging providers</x:v>
      </x:c>
      <x:c r="G126" s="51" t="str">
        <x:v>Foundry → packaging ecosystem</x:v>
      </x:c>
      <x:c r="H126" s="51" t="str">
        <x:v>Ongoing</x:v>
      </x:c>
      <x:c r="I126" s="51" t="str">
        <x:v>CoWoS and advanced multi-die integration</x:v>
      </x:c>
      <x:c r="J126" s="51" t="str">
        <x:v>INS-214</x:v>
      </x:c>
      <x:c r="K126" s="51" t="str">
        <x:v>High-growth AI packaging capacity</x:v>
      </x:c>
      <x:c r="L126" s="51" t="str">
        <x:v>Fabricated logic dies and HBM</x:v>
      </x:c>
      <x:c r="M126" s="51" t="str">
        <x:v>Integrated accelerator package</x:v>
      </x:c>
      <x:c r="N126" s="51" t="str">
        <x:v>Advanced packaging becomes a separate capacity bottleneck after wafer fabrication</x:v>
      </x:c>
      <x:c r="O126" s="51" t="str">
        <x:v>Technological; material; financial</x:v>
      </x:c>
      <x:c r="P126" s="51" t="str">
        <x:v>E1</x:v>
      </x:c>
      <x:c r="Q126" s="51" t="str">
        <x:v>High</x:v>
      </x:c>
      <x:c r="R126" s="51" t="str">
        <x:v>SRC-382; SRC-388</x:v>
      </x:c>
      <x:c r="S126" s="51" t="str">
        <x:v>TSMC operates advanced packaging platforms central to AI accelerators.</x:v>
      </x:c>
      <x:c r="T126" s="51" t="str">
        <x:v>That all packaging capacity is owned or controlled by TSMC globally.</x:v>
      </x:c>
      <x:c r="U126" s="51" t="str">
        <x:v>OSATs and other packaging technologies also participate.</x:v>
      </x:c>
      <x:c r="V126" s="51" t="str">
        <x:v>Active</x:v>
      </x:c>
      <x:c r="W126" s="51" t="str">
        <x:v>42;57</x:v>
      </x:c>
      <x:c r="X126" s="51" t="str">
        <x:v>2026-07-27</x:v>
      </x:c>
    </x:row>
    <x:row r="127">
      <x:c r="A127" s="51" t="str">
        <x:v>CHIP-003</x:v>
      </x:c>
      <x:c r="B127" s="51" t="str">
        <x:v>Semiconductor design, IP and EDA</x:v>
      </x:c>
      <x:c r="C127" s="51" t="str">
        <x:v>ACT-HIGHBANDWIDTHMEMORYSUPPL</x:v>
      </x:c>
      <x:c r="D127" s="51" t="str">
        <x:v>High-bandwidth memory suppliers</x:v>
      </x:c>
      <x:c r="E127" s="51" t="str">
        <x:v>ACT-NVIDIA</x:v>
      </x:c>
      <x:c r="F127" s="51" t="str">
        <x:v>NVIDIA</x:v>
      </x:c>
      <x:c r="G127" s="51" t="str">
        <x:v>Memory suppliers → accelerator designer</x:v>
      </x:c>
      <x:c r="H127" s="51" t="str">
        <x:v>Product generation</x:v>
      </x:c>
      <x:c r="I127" s="51" t="str">
        <x:v>HBM supply and qualification</x:v>
      </x:c>
      <x:c r="J127" s="51" t="str">
        <x:v>INS-213</x:v>
      </x:c>
      <x:c r="K127" s="51" t="str">
        <x:v>Platform-specific</x:v>
      </x:c>
      <x:c r="L127" s="51" t="str">
        <x:v>Stacked high-bandwidth memory</x:v>
      </x:c>
      <x:c r="M127" s="51" t="str">
        <x:v>Complete AI accelerator module</x:v>
      </x:c>
      <x:c r="N127" s="51" t="str">
        <x:v>Accelerator output depends on specialised memory capacity, not logic silicon alone</x:v>
      </x:c>
      <x:c r="O127" s="51" t="str">
        <x:v>Technological; material; financial</x:v>
      </x:c>
      <x:c r="P127" s="51" t="str">
        <x:v>S1</x:v>
      </x:c>
      <x:c r="Q127" s="51" t="str">
        <x:v>High</x:v>
      </x:c>
      <x:c r="R127" s="51" t="str">
        <x:v>SRC-381</x:v>
      </x:c>
      <x:c r="S127" s="51" t="str">
        <x:v>NVIDIA platforms incorporate high-bandwidth memory supplied by specialist manufacturers.</x:v>
      </x:c>
      <x:c r="T127" s="51" t="str">
        <x:v>One supplier relationship or guaranteed memory availability.</x:v>
      </x:c>
      <x:c r="U127" s="51" t="str">
        <x:v>Supplier mix and volumes vary by product and period.</x:v>
      </x:c>
      <x:c r="V127" s="51" t="str">
        <x:v>Active mechanism</x:v>
      </x:c>
      <x:c r="W127" s="51" t="str">
        <x:v>42;57</x:v>
      </x:c>
      <x:c r="X127" s="51" t="str">
        <x:v>2026-07-27</x:v>
      </x:c>
    </x:row>
    <x:row r="128">
      <x:c r="A128" s="51" t="str">
        <x:v>CHIP-004</x:v>
      </x:c>
      <x:c r="B128" s="51" t="str">
        <x:v>Semiconductor design, IP and EDA</x:v>
      </x:c>
      <x:c r="C128" s="51" t="str">
        <x:v>ACT-ASML</x:v>
      </x:c>
      <x:c r="D128" s="51" t="str">
        <x:v>ASML</x:v>
      </x:c>
      <x:c r="E128" s="51" t="str">
        <x:v>ACT-TSMC</x:v>
      </x:c>
      <x:c r="F128" s="51" t="str">
        <x:v>TSMC</x:v>
      </x:c>
      <x:c r="G128" s="51" t="str">
        <x:v>Equipment supplier → foundry</x:v>
      </x:c>
      <x:c r="H128" s="51" t="str">
        <x:v>Ongoing</x:v>
      </x:c>
      <x:c r="I128" s="51" t="str">
        <x:v>EUV and High-NA lithography equipment and service</x:v>
      </x:c>
      <x:c r="J128" s="51" t="str">
        <x:v>INS-216</x:v>
      </x:c>
      <x:c r="K128" s="51" t="str">
        <x:v>Capital-equipment relationship</x:v>
      </x:c>
      <x:c r="L128" s="51" t="str">
        <x:v>Lithography systems, service and process support</x:v>
      </x:c>
      <x:c r="M128" s="51" t="str">
        <x:v>Leading-edge wafer patterning capacity</x:v>
      </x:c>
      <x:c r="N128" s="51" t="str">
        <x:v>ASML equipment converts circuit designs and process recipes into manufacturable feature patterns</x:v>
      </x:c>
      <x:c r="O128" s="51" t="str">
        <x:v>Technological; material; geopolitical</x:v>
      </x:c>
      <x:c r="P128" s="51" t="str">
        <x:v>E1</x:v>
      </x:c>
      <x:c r="Q128" s="51" t="str">
        <x:v>Very high</x:v>
      </x:c>
      <x:c r="R128" s="51" t="str">
        <x:v>SRC-385; SRC-386; SRC-382</x:v>
      </x:c>
      <x:c r="S128" s="51" t="str">
        <x:v>Leading-edge foundries use ASML EUV systems.</x:v>
      </x:c>
      <x:c r="T128" s="51" t="str">
        <x:v>ASML ownership of the manufactured chips or customer product roadmaps.</x:v>
      </x:c>
      <x:c r="U128" s="51" t="str">
        <x:v>Foundries integrate many other tools, materials and proprietary processes.</x:v>
      </x:c>
      <x:c r="V128" s="51" t="str">
        <x:v>Active</x:v>
      </x:c>
      <x:c r="W128" s="51" t="str">
        <x:v>42;57</x:v>
      </x:c>
      <x:c r="X128" s="51" t="str">
        <x:v>2026-07-27</x:v>
      </x:c>
    </x:row>
    <x:row r="129">
      <x:c r="A129" s="51" t="str">
        <x:v>CHIP-005</x:v>
      </x:c>
      <x:c r="B129" s="51" t="str">
        <x:v>Semiconductor design, IP and EDA</x:v>
      </x:c>
      <x:c r="C129" s="51" t="str">
        <x:v>ACT-SYNOPSYS</x:v>
      </x:c>
      <x:c r="D129" s="51" t="str">
        <x:v>Synopsys</x:v>
      </x:c>
      <x:c r="E129" s="51" t="str">
        <x:v>ACT-TSMC</x:v>
      </x:c>
      <x:c r="F129" s="51" t="str">
        <x:v>TSMC</x:v>
      </x:c>
      <x:c r="G129" s="51" t="str">
        <x:v>EDA vendor → foundry ecosystem</x:v>
      </x:c>
      <x:c r="H129" s="51" t="str">
        <x:v>Ongoing</x:v>
      </x:c>
      <x:c r="I129" s="51" t="str">
        <x:v>Certified design flows and interface IP</x:v>
      </x:c>
      <x:c r="J129" s="51" t="str">
        <x:v>INS-217</x:v>
      </x:c>
      <x:c r="K129" s="51" t="str">
        <x:v>Advanced-node platform</x:v>
      </x:c>
      <x:c r="L129" s="51" t="str">
        <x:v>Foundry process-design kits and EDA tools</x:v>
      </x:c>
      <x:c r="M129" s="51" t="str">
        <x:v>Designs qualified for TSMC A16/N2P and packaging</x:v>
      </x:c>
      <x:c r="N129" s="51" t="str">
        <x:v>Certified flows reduce the engineering gap between chip architecture and foundry manufacturing</x:v>
      </x:c>
      <x:c r="O129" s="51" t="str">
        <x:v>Technological; informational; relational</x:v>
      </x:c>
      <x:c r="P129" s="51" t="str">
        <x:v>E1</x:v>
      </x:c>
      <x:c r="Q129" s="51" t="str">
        <x:v>Very high</x:v>
      </x:c>
      <x:c r="R129" s="51" t="str">
        <x:v>SRC-388</x:v>
      </x:c>
      <x:c r="S129" s="51" t="str">
        <x:v>Synopsys and TSMC certify advanced-node and multi-die design flows.</x:v>
      </x:c>
      <x:c r="T129" s="51" t="str">
        <x:v>Exclusive design access or guaranteed first-pass silicon.</x:v>
      </x:c>
      <x:c r="U129" s="51" t="str">
        <x:v>Customers still conduct design, verification and signoff.</x:v>
      </x:c>
      <x:c r="V129" s="51" t="str">
        <x:v>Active</x:v>
      </x:c>
      <x:c r="W129" s="51" t="str">
        <x:v>42;57</x:v>
      </x:c>
      <x:c r="X129" s="51" t="str">
        <x:v>2026-07-27</x:v>
      </x:c>
    </x:row>
    <x:row r="130">
      <x:c r="A130" s="51" t="str">
        <x:v>CHIP-006</x:v>
      </x:c>
      <x:c r="B130" s="51" t="str">
        <x:v>Semiconductor design, IP and EDA</x:v>
      </x:c>
      <x:c r="C130" s="51" t="str">
        <x:v>ACT-SYNOPSYS</x:v>
      </x:c>
      <x:c r="D130" s="51" t="str">
        <x:v>Synopsys</x:v>
      </x:c>
      <x:c r="E130" s="51" t="str">
        <x:v>ACT-NVIDIA</x:v>
      </x:c>
      <x:c r="F130" s="51" t="str">
        <x:v>NVIDIA</x:v>
      </x:c>
      <x:c r="G130" s="51" t="str">
        <x:v>EDA vendor ↔ compute platform</x:v>
      </x:c>
      <x:c r="H130" s="51" t="str">
        <x:v>Multi-year</x:v>
      </x:c>
      <x:c r="I130" s="51" t="str">
        <x:v>Accelerated EDA collaboration</x:v>
      </x:c>
      <x:c r="J130" s="51" t="str">
        <x:v>INS-217</x:v>
      </x:c>
      <x:c r="K130" s="51" t="str">
        <x:v>Platform-wide</x:v>
      </x:c>
      <x:c r="L130" s="51" t="str">
        <x:v>NVIDIA Grace Blackwell compute and Synopsys tools</x:v>
      </x:c>
      <x:c r="M130" s="51" t="str">
        <x:v>Faster chip-design and simulation workloads</x:v>
      </x:c>
      <x:c r="N130" s="51" t="str">
        <x:v>AI infrastructure is used recursively to design the next generation of AI infrastructure</x:v>
      </x:c>
      <x:c r="O130" s="51" t="str">
        <x:v>Technological; informational; adaptive</x:v>
      </x:c>
      <x:c r="P130" s="51" t="str">
        <x:v>E1</x:v>
      </x:c>
      <x:c r="Q130" s="51" t="str">
        <x:v>High</x:v>
      </x:c>
      <x:c r="R130" s="51" t="str">
        <x:v>SRC-389</x:v>
      </x:c>
      <x:c r="S130" s="51" t="str">
        <x:v>Synopsys and NVIDIA announced collaboration to accelerate EDA workloads.</x:v>
      </x:c>
      <x:c r="T130" s="51" t="str">
        <x:v>NVIDIA control of Synopsys product strategy or replacement of engineering judgment.</x:v>
      </x:c>
      <x:c r="U130" s="51" t="str">
        <x:v>The relationship is a technical collaboration between independent companies.</x:v>
      </x:c>
      <x:c r="V130" s="51" t="str">
        <x:v>Active</x:v>
      </x:c>
      <x:c r="W130" s="51" t="str">
        <x:v>42;57</x:v>
      </x:c>
      <x:c r="X130" s="51" t="str">
        <x:v>2026-07-27</x:v>
      </x:c>
    </x:row>
    <x:row r="131">
      <x:c r="A131" s="51" t="str">
        <x:v>CHIP-007</x:v>
      </x:c>
      <x:c r="B131" s="51" t="str">
        <x:v>Semiconductor design, IP and EDA</x:v>
      </x:c>
      <x:c r="C131" s="51" t="str">
        <x:v>ACT-CADENCEDESIGNSYSTEMS</x:v>
      </x:c>
      <x:c r="D131" s="51" t="str">
        <x:v>Cadence Design Systems</x:v>
      </x:c>
      <x:c r="E131" s="51" t="str">
        <x:v>ACT-CHIPDESIGNCOMPANIES</x:v>
      </x:c>
      <x:c r="F131" s="51" t="str">
        <x:v>Chip design companies</x:v>
      </x:c>
      <x:c r="G131" s="51" t="str">
        <x:v>EDA vendor → designers</x:v>
      </x:c>
      <x:c r="H131" s="51" t="str">
        <x:v>Ongoing</x:v>
      </x:c>
      <x:c r="I131" s="51" t="str">
        <x:v>Software licences, IP and system analysis</x:v>
      </x:c>
      <x:c r="J131" s="51" t="str">
        <x:v>INS-218</x:v>
      </x:c>
      <x:c r="K131" s="51" t="str">
        <x:v>Global EDA market</x:v>
      </x:c>
      <x:c r="L131" s="51" t="str">
        <x:v>Design specifications and engineering constraints</x:v>
      </x:c>
      <x:c r="M131" s="51" t="str">
        <x:v>Verified chip, package and system designs</x:v>
      </x:c>
      <x:c r="N131" s="51" t="str">
        <x:v>EDA software is an upstream conversion point required before foundry capacity can be used</x:v>
      </x:c>
      <x:c r="O131" s="51" t="str">
        <x:v>Technological; informational; financial</x:v>
      </x:c>
      <x:c r="P131" s="51" t="str">
        <x:v>E1</x:v>
      </x:c>
      <x:c r="Q131" s="51" t="str">
        <x:v>High</x:v>
      </x:c>
      <x:c r="R131" s="51" t="str">
        <x:v>SRC-390; SRC-391</x:v>
      </x:c>
      <x:c r="S131" s="51" t="str">
        <x:v>Cadence provides chip, 3D-IC and system-design platforms used for AI infrastructure.</x:v>
      </x:c>
      <x:c r="T131" s="51" t="str">
        <x:v>Ownership of customer designs or manufactured output.</x:v>
      </x:c>
      <x:c r="U131" s="51" t="str">
        <x:v>Licence terms and confidentiality preserve customer rights.</x:v>
      </x:c>
      <x:c r="V131" s="51" t="str">
        <x:v>Active</x:v>
      </x:c>
      <x:c r="W131" s="51" t="str">
        <x:v>42;57</x:v>
      </x:c>
      <x:c r="X131" s="51" t="str">
        <x:v>2026-07-27</x:v>
      </x:c>
    </x:row>
    <x:row r="132">
      <x:c r="A132" s="51" t="str">
        <x:v>CHIP-008</x:v>
      </x:c>
      <x:c r="B132" s="51" t="str">
        <x:v>Semiconductor design, IP and EDA</x:v>
      </x:c>
      <x:c r="C132" s="51" t="str">
        <x:v>ACT-ARM</x:v>
      </x:c>
      <x:c r="D132" s="51" t="str">
        <x:v>Arm</x:v>
      </x:c>
      <x:c r="E132" s="51" t="str">
        <x:v>ACT-HYPERSCALECLOUDPROVIDERS</x:v>
      </x:c>
      <x:c r="F132" s="51" t="str">
        <x:v>Hyperscale cloud providers</x:v>
      </x:c>
      <x:c r="G132" s="51" t="str">
        <x:v>Architecture licensor → cloud builders</x:v>
      </x:c>
      <x:c r="H132" s="51" t="str">
        <x:v>Ongoing</x:v>
      </x:c>
      <x:c r="I132" s="51" t="str">
        <x:v>CPU architecture, Neoverse and AGI platform adoption</x:v>
      </x:c>
      <x:c r="J132" s="51" t="str">
        <x:v>INS-219</x:v>
      </x:c>
      <x:c r="K132" s="51" t="str">
        <x:v>Platform-specific</x:v>
      </x:c>
      <x:c r="L132" s="51" t="str">
        <x:v>Processor IP and reference silicon</x:v>
      </x:c>
      <x:c r="M132" s="51" t="str">
        <x:v>Power-efficient data-center CPU capacity</x:v>
      </x:c>
      <x:c r="N132" s="51" t="str">
        <x:v>Architecture licensing lets cloud firms design differentiated processors without inventing a full instruction set</x:v>
      </x:c>
      <x:c r="O132" s="51" t="str">
        <x:v>Technological; informational; relational</x:v>
      </x:c>
      <x:c r="P132" s="51" t="str">
        <x:v>E1</x:v>
      </x:c>
      <x:c r="Q132" s="51" t="str">
        <x:v>High</x:v>
      </x:c>
      <x:c r="R132" s="51" t="str">
        <x:v>SRC-392; SRC-393</x:v>
      </x:c>
      <x:c r="S132" s="51" t="str">
        <x:v>Arm supplies architecture and silicon platforms for AI data centers.</x:v>
      </x:c>
      <x:c r="T132" s="51" t="str">
        <x:v>Arm ownership of every customer chip or accelerator.</x:v>
      </x:c>
      <x:c r="U132" s="51" t="str">
        <x:v>Customers combine Arm IP with proprietary design and manufacturing partners.</x:v>
      </x:c>
      <x:c r="V132" s="51" t="str">
        <x:v>Active</x:v>
      </x:c>
      <x:c r="W132" s="51" t="str">
        <x:v>42;57</x:v>
      </x:c>
      <x:c r="X132" s="51" t="str">
        <x:v>2026-07-27</x:v>
      </x:c>
    </x:row>
    <x:row r="133">
      <x:c r="A133" s="51" t="str">
        <x:v>CHIP-009</x:v>
      </x:c>
      <x:c r="B133" s="51" t="str">
        <x:v>Semiconductor design, IP and EDA</x:v>
      </x:c>
      <x:c r="C133" s="51" t="str">
        <x:v>ACT-OPENAI</x:v>
      </x:c>
      <x:c r="D133" s="51" t="str">
        <x:v>OpenAI</x:v>
      </x:c>
      <x:c r="E133" s="51" t="str">
        <x:v>ACT-BROADCOM</x:v>
      </x:c>
      <x:c r="F133" s="51" t="str">
        <x:v>Broadcom</x:v>
      </x:c>
      <x:c r="G133" s="51" t="str">
        <x:v>Model company → custom-silicon partner</x:v>
      </x:c>
      <x:c r="H133" s="51" t="str">
        <x:v>2026 onward</x:v>
      </x:c>
      <x:c r="I133" s="51" t="str">
        <x:v>Joint custom inference-chip programme</x:v>
      </x:c>
      <x:c r="J133" s="51" t="str">
        <x:v>INS-235</x:v>
      </x:c>
      <x:c r="K133" s="51" t="str">
        <x:v>Chip-specific</x:v>
      </x:c>
      <x:c r="L133" s="51" t="str">
        <x:v>OpenAI workload requirements and Broadcom silicon expertise</x:v>
      </x:c>
      <x:c r="M133" s="51" t="str">
        <x:v>Jalapeño inference accelerator</x:v>
      </x:c>
      <x:c r="N133" s="51" t="str">
        <x:v>A frontier-model company can convert workload scale into a custom hardware specification</x:v>
      </x:c>
      <x:c r="O133" s="51" t="str">
        <x:v>Technological; informational; financial</x:v>
      </x:c>
      <x:c r="P133" s="51" t="str">
        <x:v>E1</x:v>
      </x:c>
      <x:c r="Q133" s="51" t="str">
        <x:v>Very high</x:v>
      </x:c>
      <x:c r="R133" s="51" t="str">
        <x:v>SRC-399</x:v>
      </x:c>
      <x:c r="S133" s="51" t="str">
        <x:v>OpenAI and Broadcom announced and delivered initial Jalapeño silicon.</x:v>
      </x:c>
      <x:c r="T133" s="51" t="str">
        <x:v>Mass production volume, cost advantage or independence from NVIDIA.</x:v>
      </x:c>
      <x:c r="U133" s="51" t="str">
        <x:v>Manufacturing, software maturity and deployment scale remain open.</x:v>
      </x:c>
      <x:c r="V133" s="51" t="str">
        <x:v>Initial silicon delivered</x:v>
      </x:c>
      <x:c r="W133" s="51" t="str">
        <x:v>42;57</x:v>
      </x:c>
      <x:c r="X133" s="51" t="str">
        <x:v>2026-07-27</x:v>
      </x:c>
    </x:row>
    <x:row r="134">
      <x:c r="A134" s="51" t="str">
        <x:v>CHIP-010</x:v>
      </x:c>
      <x:c r="B134" s="51" t="str">
        <x:v>Semiconductor design, IP and EDA</x:v>
      </x:c>
      <x:c r="C134" s="51" t="str">
        <x:v>ACT-BROADCOM</x:v>
      </x:c>
      <x:c r="D134" s="51" t="str">
        <x:v>Broadcom</x:v>
      </x:c>
      <x:c r="E134" s="51" t="str">
        <x:v>ACT-TSMC</x:v>
      </x:c>
      <x:c r="F134" s="51" t="str">
        <x:v>TSMC</x:v>
      </x:c>
      <x:c r="G134" s="51" t="str">
        <x:v>Custom-chip designer → foundry</x:v>
      </x:c>
      <x:c r="H134" s="51" t="str">
        <x:v>Programme-specific</x:v>
      </x:c>
      <x:c r="I134" s="51" t="str">
        <x:v>Manufacturing relationship for advanced custom silicon</x:v>
      </x:c>
      <x:c r="J134" s="51" t="str">
        <x:v>INS-235</x:v>
      </x:c>
      <x:c r="K134" s="51" t="str">
        <x:v>Not publicly quantified</x:v>
      </x:c>
      <x:c r="L134" s="51" t="str">
        <x:v>Custom accelerator design</x:v>
      </x:c>
      <x:c r="M134" s="51" t="str">
        <x:v>Fabricated inference chips</x:v>
      </x:c>
      <x:c r="N134" s="51" t="str">
        <x:v>Custom AI silicon still depends on leading foundry and packaging capacity</x:v>
      </x:c>
      <x:c r="O134" s="51" t="str">
        <x:v>Technological; material; geopolitical</x:v>
      </x:c>
      <x:c r="P134" s="51" t="str">
        <x:v>S1</x:v>
      </x:c>
      <x:c r="Q134" s="51" t="str">
        <x:v>Moderate</x:v>
      </x:c>
      <x:c r="R134" s="51" t="str">
        <x:v>SRC-399; SRC-382</x:v>
      </x:c>
      <x:c r="S134" s="51" t="str">
        <x:v>Broadcom and OpenAI delivered custom silicon within the advanced semiconductor ecosystem.</x:v>
      </x:c>
      <x:c r="T134" s="51" t="str">
        <x:v>Public proof of the exact foundry, node or packaging arrangement for Jalapeño.</x:v>
      </x:c>
      <x:c r="U134" s="51" t="str">
        <x:v>The manufacturing supplier is not specified in the cited OpenAI release.</x:v>
      </x:c>
      <x:c r="V134" s="51" t="str">
        <x:v>Structural inference</x:v>
      </x:c>
      <x:c r="W134" s="51" t="str">
        <x:v>42;57</x:v>
      </x:c>
      <x:c r="X134" s="51" t="str">
        <x:v>2026-07-27</x:v>
      </x:c>
    </x:row>
    <x:row r="135">
      <x:c r="A135" s="51" t="str">
        <x:v>CHN-001</x:v>
      </x:c>
      <x:c r="B135" s="51" t="str">
        <x:v>China cybernetic governance</x:v>
      </x:c>
      <x:c r="C135" s="51" t="str">
        <x:v>ACT-STATECOUNCILOFCHINA</x:v>
      </x:c>
      <x:c r="D135" s="51" t="str">
        <x:v>State Council of China</x:v>
      </x:c>
      <x:c r="E135" s="51" t="str">
        <x:v>ACT-CHINASOCIALCREDITSYSTEM</x:v>
      </x:c>
      <x:c r="F135" s="51" t="str">
        <x:v>China social credit system</x:v>
      </x:c>
      <x:c r="G135" s="51" t="str">
        <x:v>A → system</x:v>
      </x:c>
      <x:c r="H135" s="51" t="str">
        <x:v>2025</x:v>
      </x:c>
      <x:c r="I135" s="51" t="str">
        <x:v>National policy guideline</x:v>
      </x:c>
      <x:c r="J135" s="51" t="str">
        <x:v>INS-023</x:v>
      </x:c>
      <x:c r="K135" s="51" t="str">
        <x:v>All entity types</x:v>
      </x:c>
      <x:c r="L135" s="51" t="str">
        <x:v>Administrative records</x:v>
      </x:c>
      <x:c r="M135" s="51" t="str">
        <x:v>More unified system</x:v>
      </x:c>
      <x:c r="N135" s="51" t="str">
        <x:v>Central policy seeks common rules and deeper integration</x:v>
      </x:c>
      <x:c r="O135" s="51" t="str">
        <x:v>Institutional; informational; enforcement</x:v>
      </x:c>
      <x:c r="P135" s="51" t="str">
        <x:v>E1</x:v>
      </x:c>
      <x:c r="Q135" s="51" t="str">
        <x:v>Very high</x:v>
      </x:c>
      <x:c r="R135" s="51" t="str">
        <x:v>SRC-025</x:v>
      </x:c>
      <x:c r="S135" s="51" t="str">
        <x:v>The guideline calls for a unified system covering all entity types.</x:v>
      </x:c>
      <x:c r="T135" s="51" t="str">
        <x:v>One universal numerical citizen score or seamless real-time control.</x:v>
      </x:c>
      <x:c r="U135" s="51" t="str">
        <x:v>Implementation remains sectoral and fragmented.</x:v>
      </x:c>
      <x:c r="V135" s="51" t="str">
        <x:v>Implementation</x:v>
      </x:c>
      <x:c r="W135" s="51" t="str">
        <x:v>73;74</x:v>
      </x:c>
      <x:c r="X135" s="51" t="str">
        <x:v>2026-07-27</x:v>
      </x:c>
    </x:row>
    <x:row r="136">
      <x:c r="A136" s="51" t="str">
        <x:v>CHN-002</x:v>
      </x:c>
      <x:c r="B136" s="51" t="str">
        <x:v>China cybernetic governance</x:v>
      </x:c>
      <x:c r="C136" s="51" t="str">
        <x:v>ACT-CHINASOCIALCREDITSYSTEM</x:v>
      </x:c>
      <x:c r="D136" s="51" t="str">
        <x:v>China social credit system</x:v>
      </x:c>
      <x:c r="E136" s="51" t="str">
        <x:v>ACT-GOVERNINGINSTITUTIONALNE</x:v>
      </x:c>
      <x:c r="F136" s="51" t="str">
        <x:v>Governing institutional networks</x:v>
      </x:c>
      <x:c r="G136" s="51" t="str">
        <x:v>System → institutions</x:v>
      </x:c>
      <x:c r="H136" s="51" t="str">
        <x:v>Ongoing</x:v>
      </x:c>
      <x:c r="I136" s="51" t="str">
        <x:v>Sector-specific records/lists</x:v>
      </x:c>
      <x:c r="J136" s="51" t="str"/>
      <x:c r="K136" s="51" t="str">
        <x:v>System-wide</x:v>
      </x:c>
      <x:c r="L136" s="51" t="str">
        <x:v>Compliance and court records</x:v>
      </x:c>
      <x:c r="M136" s="51" t="str">
        <x:v>Eligibility, inspection or enforcement consequences</x:v>
      </x:c>
      <x:c r="N136" s="51" t="str">
        <x:v>Records become actionable when connected to levers</x:v>
      </x:c>
      <x:c r="O136" s="51" t="str">
        <x:v>Informational; enforcement; institutional</x:v>
      </x:c>
      <x:c r="P136" s="51" t="str">
        <x:v>S1</x:v>
      </x:c>
      <x:c r="Q136" s="51" t="str">
        <x:v>High</x:v>
      </x:c>
      <x:c r="R136" s="51" t="str">
        <x:v>SRC-025</x:v>
      </x:c>
      <x:c r="S136" s="51" t="str">
        <x:v>Social-credit mechanisms can attach administrative consequences.</x:v>
      </x:c>
      <x:c r="T136" s="51" t="str">
        <x:v>Uniform use for every person and life domain.</x:v>
      </x:c>
      <x:c r="U136" s="51" t="str">
        <x:v>Many components focus on firms and court judgments.</x:v>
      </x:c>
      <x:c r="V136" s="51" t="str">
        <x:v>Ongoing</x:v>
      </x:c>
      <x:c r="W136" s="51" t="str">
        <x:v>73;74</x:v>
      </x:c>
      <x:c r="X136" s="51" t="str">
        <x:v>2026-07-27</x:v>
      </x:c>
    </x:row>
    <x:row r="137">
      <x:c r="A137" s="51" t="str">
        <x:v>CHN-003</x:v>
      </x:c>
      <x:c r="B137" s="51" t="str">
        <x:v>China cybernetic governance</x:v>
      </x:c>
      <x:c r="C137" s="51" t="str">
        <x:v>ACT-STATECOUNCILOFCHINA</x:v>
      </x:c>
      <x:c r="D137" s="51" t="str">
        <x:v>State Council of China</x:v>
      </x:c>
      <x:c r="E137" s="51" t="str">
        <x:v>ACT-CHINAAIPLUSACTION</x:v>
      </x:c>
      <x:c r="F137" s="51" t="str">
        <x:v>China AI Plus action</x:v>
      </x:c>
      <x:c r="G137" s="51" t="str">
        <x:v>A → programme</x:v>
      </x:c>
      <x:c r="H137" s="51" t="str">
        <x:v>2025</x:v>
      </x:c>
      <x:c r="I137" s="51" t="str">
        <x:v>National AI policy</x:v>
      </x:c>
      <x:c r="J137" s="51" t="str">
        <x:v>INS-024</x:v>
      </x:c>
      <x:c r="K137" s="51" t="str">
        <x:v>&gt;70% target for terminals/agents by 2027</x:v>
      </x:c>
      <x:c r="L137" s="51" t="str">
        <x:v>AI research and infrastructure</x:v>
      </x:c>
      <x:c r="M137" s="51" t="str">
        <x:v>Deep integration and public-governance use</x:v>
      </x:c>
      <x:c r="N137" s="51" t="str">
        <x:v>Policy coordinates adoption targets and domains</x:v>
      </x:c>
      <x:c r="O137" s="51" t="str">
        <x:v>Technological; institutional; adaptive</x:v>
      </x:c>
      <x:c r="P137" s="51" t="str">
        <x:v>E1</x:v>
      </x:c>
      <x:c r="Q137" s="51" t="str">
        <x:v>Very high</x:v>
      </x:c>
      <x:c r="R137" s="51" t="str">
        <x:v>SRC-026</x:v>
      </x:c>
      <x:c r="S137" s="51" t="str">
        <x:v>Explicit AI-integration targets and governance ambitions exist.</x:v>
      </x:c>
      <x:c r="T137" s="51" t="str">
        <x:v>Achievement of targets or a single central AI controller.</x:v>
      </x:c>
      <x:c r="U137" s="51" t="str">
        <x:v>Implementation capacity and local variation matter.</x:v>
      </x:c>
      <x:c r="V137" s="51" t="str">
        <x:v>Implementation</x:v>
      </x:c>
      <x:c r="W137" s="51" t="str">
        <x:v>69;74</x:v>
      </x:c>
      <x:c r="X137" s="51" t="str">
        <x:v>2026-07-27</x:v>
      </x:c>
    </x:row>
    <x:row r="138">
      <x:c r="A138" s="51" t="str">
        <x:v>CHN-004</x:v>
      </x:c>
      <x:c r="B138" s="51" t="str">
        <x:v>China cybernetic governance</x:v>
      </x:c>
      <x:c r="C138" s="51" t="str">
        <x:v>ACT-CHINAAIPLUSACTION</x:v>
      </x:c>
      <x:c r="D138" s="51" t="str">
        <x:v>China AI Plus action</x:v>
      </x:c>
      <x:c r="E138" s="51" t="str">
        <x:v>ACT-GOVERNINGINSTITUTIONALNE</x:v>
      </x:c>
      <x:c r="F138" s="51" t="str">
        <x:v>Governing institutional networks</x:v>
      </x:c>
      <x:c r="G138" s="51" t="str">
        <x:v>Policy → institutions</x:v>
      </x:c>
      <x:c r="H138" s="51" t="str">
        <x:v>2025–2027</x:v>
      </x:c>
      <x:c r="I138" s="51" t="str">
        <x:v>AI adoption and governance integration</x:v>
      </x:c>
      <x:c r="J138" s="51" t="str">
        <x:v>INS-024</x:v>
      </x:c>
      <x:c r="K138" s="51" t="str">
        <x:v>National scope</x:v>
      </x:c>
      <x:c r="L138" s="51" t="str">
        <x:v>AI agents and models</x:v>
      </x:c>
      <x:c r="M138" s="51" t="str">
        <x:v>Enhanced governance capability</x:v>
      </x:c>
      <x:c r="N138" s="51" t="str">
        <x:v>AI lowers the cost of analysing heterogeneous records and coordinating action</x:v>
      </x:c>
      <x:c r="O138" s="51" t="str">
        <x:v>Informational; adaptive; institutional</x:v>
      </x:c>
      <x:c r="P138" s="51" t="str">
        <x:v>S1</x:v>
      </x:c>
      <x:c r="Q138" s="51" t="str">
        <x:v>High</x:v>
      </x:c>
      <x:c r="R138" s="51" t="str">
        <x:v>SRC-026</x:v>
      </x:c>
      <x:c r="S138" s="51" t="str">
        <x:v>Policy seeks a significantly enhanced AI role in governance.</x:v>
      </x:c>
      <x:c r="T138" s="51" t="str">
        <x:v>Effective or rights-respecting implementation in every domain.</x:v>
      </x:c>
      <x:c r="U138" s="51" t="str">
        <x:v>AI can create error and bureaucratic overconfidence.</x:v>
      </x:c>
      <x:c r="V138" s="51" t="str">
        <x:v>Emerging</x:v>
      </x:c>
      <x:c r="W138" s="51" t="str">
        <x:v>74</x:v>
      </x:c>
      <x:c r="X138" s="51" t="str">
        <x:v>2026-07-27</x:v>
      </x:c>
    </x:row>
    <x:row r="139">
      <x:c r="A139" s="51" t="str">
        <x:v>CHN-005</x:v>
      </x:c>
      <x:c r="B139" s="51" t="str">
        <x:v>China cybernetic governance</x:v>
      </x:c>
      <x:c r="C139" s="51" t="str">
        <x:v>ACT-MINISTRYOFPUBLICSECURITY</x:v>
      </x:c>
      <x:c r="D139" s="51" t="str">
        <x:v>Ministry of Public Security of China</x:v>
      </x:c>
      <x:c r="E139" s="51" t="str">
        <x:v>ACT-NATIONALONLINEIDENTITYAU</x:v>
      </x:c>
      <x:c r="F139" s="51" t="str">
        <x:v>National Online Identity Authentication Public Service</x:v>
      </x:c>
      <x:c r="G139" s="51" t="str">
        <x:v>Authority → system</x:v>
      </x:c>
      <x:c r="H139" s="51" t="str">
        <x:v>2025</x:v>
      </x:c>
      <x:c r="I139" s="51" t="str">
        <x:v>Identity/data-system authority</x:v>
      </x:c>
      <x:c r="J139" s="51" t="str">
        <x:v>INS-022</x:v>
      </x:c>
      <x:c r="K139" s="51" t="str">
        <x:v>National service</x:v>
      </x:c>
      <x:c r="L139" s="51" t="str">
        <x:v>Legal identity and regulation</x:v>
      </x:c>
      <x:c r="M139" s="51" t="str">
        <x:v>Online authentication layer</x:v>
      </x:c>
      <x:c r="N139" s="51" t="str">
        <x:v>State identity standards increase interoperability across services</x:v>
      </x:c>
      <x:c r="O139" s="51" t="str">
        <x:v>Informational; institutional; enforcement</x:v>
      </x:c>
      <x:c r="P139" s="51" t="str">
        <x:v>E1</x:v>
      </x:c>
      <x:c r="Q139" s="51" t="str">
        <x:v>High</x:v>
      </x:c>
      <x:c r="R139" s="51" t="str">
        <x:v>SRC-027</x:v>
      </x:c>
      <x:c r="S139" s="51" t="str">
        <x:v>Ministry of Public Security of China is among authorities responsible for the measures.</x:v>
      </x:c>
      <x:c r="T139" s="51" t="str">
        <x:v>A complete central database of every online action.</x:v>
      </x:c>
      <x:c r="U139" s="51" t="str">
        <x:v>Platforms and agencies retain distinct systems; privacy provisions also exist.</x:v>
      </x:c>
      <x:c r="V139" s="51" t="str">
        <x:v>Effective</x:v>
      </x:c>
      <x:c r="W139" s="51" t="str">
        <x:v>73;74</x:v>
      </x:c>
      <x:c r="X139" s="51" t="str">
        <x:v>2026-07-27</x:v>
      </x:c>
    </x:row>
    <x:row r="140">
      <x:c r="A140" s="51" t="str">
        <x:v>CHN-006</x:v>
      </x:c>
      <x:c r="B140" s="51" t="str">
        <x:v>China cybernetic governance</x:v>
      </x:c>
      <x:c r="C140" s="51" t="str">
        <x:v>ACT-CYBERSPACEADMINISTRATION</x:v>
      </x:c>
      <x:c r="D140" s="51" t="str">
        <x:v>Cyberspace Administration of China</x:v>
      </x:c>
      <x:c r="E140" s="51" t="str">
        <x:v>ACT-NATIONALONLINEIDENTITYAU</x:v>
      </x:c>
      <x:c r="F140" s="51" t="str">
        <x:v>National Online Identity Authentication Public Service</x:v>
      </x:c>
      <x:c r="G140" s="51" t="str">
        <x:v>Authority → system</x:v>
      </x:c>
      <x:c r="H140" s="51" t="str">
        <x:v>2025</x:v>
      </x:c>
      <x:c r="I140" s="51" t="str">
        <x:v>Identity/data-system authority</x:v>
      </x:c>
      <x:c r="J140" s="51" t="str">
        <x:v>INS-022</x:v>
      </x:c>
      <x:c r="K140" s="51" t="str">
        <x:v>National service</x:v>
      </x:c>
      <x:c r="L140" s="51" t="str">
        <x:v>Legal identity and regulation</x:v>
      </x:c>
      <x:c r="M140" s="51" t="str">
        <x:v>Online authentication layer</x:v>
      </x:c>
      <x:c r="N140" s="51" t="str">
        <x:v>State identity standards increase interoperability across services</x:v>
      </x:c>
      <x:c r="O140" s="51" t="str">
        <x:v>Informational; institutional; enforcement</x:v>
      </x:c>
      <x:c r="P140" s="51" t="str">
        <x:v>E1</x:v>
      </x:c>
      <x:c r="Q140" s="51" t="str">
        <x:v>High</x:v>
      </x:c>
      <x:c r="R140" s="51" t="str">
        <x:v>SRC-027</x:v>
      </x:c>
      <x:c r="S140" s="51" t="str">
        <x:v>Cyberspace Administration of China is among authorities responsible for the measures.</x:v>
      </x:c>
      <x:c r="T140" s="51" t="str">
        <x:v>A complete central database of every online action.</x:v>
      </x:c>
      <x:c r="U140" s="51" t="str">
        <x:v>Platforms and agencies retain distinct systems; privacy provisions also exist.</x:v>
      </x:c>
      <x:c r="V140" s="51" t="str">
        <x:v>Effective</x:v>
      </x:c>
      <x:c r="W140" s="51" t="str">
        <x:v>73;74</x:v>
      </x:c>
      <x:c r="X140" s="51" t="str">
        <x:v>2026-07-27</x:v>
      </x:c>
    </x:row>
    <x:row r="141">
      <x:c r="A141" s="51" t="str">
        <x:v>CHN-007</x:v>
      </x:c>
      <x:c r="B141" s="51" t="str">
        <x:v>China cybernetic governance</x:v>
      </x:c>
      <x:c r="C141" s="51" t="str">
        <x:v>ACT-NATIONALONLINEIDENTITYAU</x:v>
      </x:c>
      <x:c r="D141" s="51" t="str">
        <x:v>National Online Identity Authentication Public Service</x:v>
      </x:c>
      <x:c r="E141" s="51" t="str">
        <x:v>ACT-CITIZENSANDLABOUR</x:v>
      </x:c>
      <x:c r="F141" s="51" t="str">
        <x:v>Citizens and labour</x:v>
      </x:c>
      <x:c r="G141" s="51" t="str">
        <x:v>System → users</x:v>
      </x:c>
      <x:c r="H141" s="51" t="str">
        <x:v>Effective 2025-07-15</x:v>
      </x:c>
      <x:c r="I141" s="51" t="str">
        <x:v>Identity authentication</x:v>
      </x:c>
      <x:c r="J141" s="51" t="str">
        <x:v>INS-022</x:v>
      </x:c>
      <x:c r="K141" s="51" t="str">
        <x:v>National scope</x:v>
      </x:c>
      <x:c r="L141" s="51" t="str">
        <x:v>State-verified legal identity</x:v>
      </x:c>
      <x:c r="M141" s="51" t="str">
        <x:v>Virtual identity credential</x:v>
      </x:c>
      <x:c r="N141" s="51" t="str">
        <x:v>Persistent identity can improve convenience while increasing cross-service legibility</x:v>
      </x:c>
      <x:c r="O141" s="51" t="str">
        <x:v>Informational; institutional; enforcement</x:v>
      </x:c>
      <x:c r="P141" s="51" t="str">
        <x:v>E1</x:v>
      </x:c>
      <x:c r="Q141" s="51" t="str">
        <x:v>High</x:v>
      </x:c>
      <x:c r="R141" s="51" t="str">
        <x:v>SRC-027</x:v>
      </x:c>
      <x:c r="S141" s="51" t="str">
        <x:v>A national online identity-authentication service exists.</x:v>
      </x:c>
      <x:c r="T141" s="51" t="str">
        <x:v>Mandatory universal use or integration by every service.</x:v>
      </x:c>
      <x:c r="U141" s="51" t="str">
        <x:v>Privacy protection and control risks coexist.</x:v>
      </x:c>
      <x:c r="V141" s="51" t="str">
        <x:v>Active</x:v>
      </x:c>
      <x:c r="W141" s="51" t="str">
        <x:v>73;74</x:v>
      </x:c>
      <x:c r="X141" s="51" t="str">
        <x:v>2026-07-27</x:v>
      </x:c>
    </x:row>
    <x:row r="142">
      <x:c r="A142" s="51" t="str">
        <x:v>CHN-008</x:v>
      </x:c>
      <x:c r="B142" s="51" t="str">
        <x:v>China cybernetic governance</x:v>
      </x:c>
      <x:c r="C142" s="51" t="str">
        <x:v>ACT-XINJIANGPUBLICSECURITYIN</x:v>
      </x:c>
      <x:c r="D142" s="51" t="str">
        <x:v>Xinjiang public-security institutions</x:v>
      </x:c>
      <x:c r="E142" s="51" t="str">
        <x:v>ACT-INTEGRATEDJOINTOPERATION</x:v>
      </x:c>
      <x:c r="F142" s="51" t="str">
        <x:v>Integrated Joint Operations Platform</x:v>
      </x:c>
      <x:c r="G142" s="51" t="str">
        <x:v>Authority → platform</x:v>
      </x:c>
      <x:c r="H142" s="51" t="str">
        <x:v>2016–2019 documented</x:v>
      </x:c>
      <x:c r="I142" s="51" t="str">
        <x:v>Police platform operation</x:v>
      </x:c>
      <x:c r="J142" s="51" t="str"/>
      <x:c r="K142" s="51" t="str">
        <x:v>Regional</x:v>
      </x:c>
      <x:c r="L142" s="51" t="str">
        <x:v>Police, movement and identity records</x:v>
      </x:c>
      <x:c r="M142" s="51" t="str">
        <x:v>Flags and investigation dispatch</x:v>
      </x:c>
      <x:c r="N142" s="51" t="str">
        <x:v>Human-machine systems aggregate data and prioritise cases</x:v>
      </x:c>
      <x:c r="O142" s="51" t="str">
        <x:v>Informational; enforcement; adaptive</x:v>
      </x:c>
      <x:c r="P142" s="51" t="str">
        <x:v>E1</x:v>
      </x:c>
      <x:c r="Q142" s="51" t="str">
        <x:v>Very high</x:v>
      </x:c>
      <x:c r="R142" s="51" t="str">
        <x:v>SRC-028</x:v>
      </x:c>
      <x:c r="S142" s="51" t="str">
        <x:v>Xinjiang authorities used IJOP for aggregation and intervention.</x:v>
      </x:c>
      <x:c r="T142" s="51" t="str">
        <x:v>Uniform nationwide operation or accurate classification.</x:v>
      </x:c>
      <x:c r="U142" s="51" t="str">
        <x:v>The documented domain is Xinjiang and human judgment remained involved.</x:v>
      </x:c>
      <x:c r="V142" s="51" t="str">
        <x:v>Documented</x:v>
      </x:c>
      <x:c r="W142" s="51" t="str">
        <x:v>74</x:v>
      </x:c>
      <x:c r="X142" s="51" t="str">
        <x:v>2026-07-27</x:v>
      </x:c>
    </x:row>
    <x:row r="143">
      <x:c r="A143" s="51" t="str">
        <x:v>CHN-009</x:v>
      </x:c>
      <x:c r="B143" s="51" t="str">
        <x:v>China cybernetic governance</x:v>
      </x:c>
      <x:c r="C143" s="51" t="str">
        <x:v>ACT-INTEGRATEDJOINTOPERATION</x:v>
      </x:c>
      <x:c r="D143" s="51" t="str">
        <x:v>Integrated Joint Operations Platform</x:v>
      </x:c>
      <x:c r="E143" s="51" t="str">
        <x:v>ACT-UYGHURSANDOTHERTURKICMUS</x:v>
      </x:c>
      <x:c r="F143" s="51" t="str">
        <x:v>Uyghurs and other Turkic Muslim communities in Xinjiang</x:v>
      </x:c>
      <x:c r="G143" s="51" t="str">
        <x:v>Platform → affected population</x:v>
      </x:c>
      <x:c r="H143" s="51" t="str">
        <x:v>2016–2019 documented</x:v>
      </x:c>
      <x:c r="I143" s="51" t="str">
        <x:v>Classification and intervention</x:v>
      </x:c>
      <x:c r="J143" s="51" t="str"/>
      <x:c r="K143" s="51" t="str">
        <x:v>Regional</x:v>
      </x:c>
      <x:c r="L143" s="51" t="str">
        <x:v>Behavioural and identity data</x:v>
      </x:c>
      <x:c r="M143" s="51" t="str">
        <x:v>Investigation, restrictions or detention referrals</x:v>
      </x:c>
      <x:c r="N143" s="51" t="str">
        <x:v>Algorithmic flags become coercive when connected to police authority</x:v>
      </x:c>
      <x:c r="O143" s="51" t="str">
        <x:v>Informational; enforcement</x:v>
      </x:c>
      <x:c r="P143" s="51" t="str">
        <x:v>E1</x:v>
      </x:c>
      <x:c r="Q143" s="51" t="str">
        <x:v>Very high</x:v>
      </x:c>
      <x:c r="R143" s="51" t="str">
        <x:v>SRC-028</x:v>
      </x:c>
      <x:c r="S143" s="51" t="str">
        <x:v>Flags and interventions affecting targeted communities are documented.</x:v>
      </x:c>
      <x:c r="T143" s="51" t="str">
        <x:v>Every individual was flagged or the platform alone determined outcomes.</x:v>
      </x:c>
      <x:c r="U143" s="51" t="str">
        <x:v>Political policy and human officials were also causal.</x:v>
      </x:c>
      <x:c r="V143" s="51" t="str">
        <x:v>Documented</x:v>
      </x:c>
      <x:c r="W143" s="51" t="str">
        <x:v>74</x:v>
      </x:c>
      <x:c r="X143" s="51" t="str">
        <x:v>2026-07-27</x:v>
      </x:c>
    </x:row>
    <x:row r="144">
      <x:c r="A144" s="51" t="str">
        <x:v>CHN-010</x:v>
      </x:c>
      <x:c r="B144" s="51" t="str">
        <x:v>China cybernetic governance</x:v>
      </x:c>
      <x:c r="C144" s="51" t="str">
        <x:v>ACT-IBM</x:v>
      </x:c>
      <x:c r="D144" s="51" t="str">
        <x:v>IBM</x:v>
      </x:c>
      <x:c r="E144" s="51" t="str">
        <x:v>ACT-GOVERNINGINSTITUTIONALNE</x:v>
      </x:c>
      <x:c r="F144" s="51" t="str">
        <x:v>Governing institutional networks</x:v>
      </x:c>
      <x:c r="G144" s="51" t="str">
        <x:v>Company → surveillance ecosystem</x:v>
      </x:c>
      <x:c r="H144" s="51" t="str">
        <x:v>Historical</x:v>
      </x:c>
      <x:c r="I144" s="51" t="str">
        <x:v>Technology supply / relationship</x:v>
      </x:c>
      <x:c r="J144" s="51" t="str"/>
      <x:c r="K144" s="51" t="str">
        <x:v>Company-specific</x:v>
      </x:c>
      <x:c r="L144" s="51" t="str">
        <x:v>Hardware, software or instruments</x:v>
      </x:c>
      <x:c r="M144" s="51" t="str">
        <x:v>Surveillance/data capability</x:v>
      </x:c>
      <x:c r="N144" s="51" t="str">
        <x:v>Commercial technology can become public enforcement capacity when integrated by state agencies</x:v>
      </x:c>
      <x:c r="O144" s="51" t="str">
        <x:v>Technological; informational; enforcement</x:v>
      </x:c>
      <x:c r="P144" s="51" t="str">
        <x:v>E2</x:v>
      </x:c>
      <x:c r="Q144" s="51" t="str">
        <x:v>High</x:v>
      </x:c>
      <x:c r="R144" s="51" t="str">
        <x:v>SRC-029</x:v>
      </x:c>
      <x:c r="S144" s="51" t="str">
        <x:v>AP documented technology relationships relevant to Chinese surveillance.</x:v>
      </x:c>
      <x:c r="T144" s="51" t="str">
        <x:v>Intent to support repression or direct control of Chinese policy.</x:v>
      </x:c>
      <x:c r="U144" s="51" t="str">
        <x:v>Company knowledge, directness and chronology differ; each edge needs contract-level expansion.</x:v>
      </x:c>
      <x:c r="V144" s="51" t="str">
        <x:v>Historical / disaggregate further</x:v>
      </x:c>
      <x:c r="W144" s="51" t="str">
        <x:v>74</x:v>
      </x:c>
      <x:c r="X144" s="51" t="str">
        <x:v>2026-07-27</x:v>
      </x:c>
    </x:row>
    <x:row r="145">
      <x:c r="A145" s="51" t="str">
        <x:v>CHN-011</x:v>
      </x:c>
      <x:c r="B145" s="51" t="str">
        <x:v>China cybernetic governance</x:v>
      </x:c>
      <x:c r="C145" s="51" t="str">
        <x:v>ACT-DELLTECHNOLOGIES</x:v>
      </x:c>
      <x:c r="D145" s="51" t="str">
        <x:v>Dell Technologies</x:v>
      </x:c>
      <x:c r="E145" s="51" t="str">
        <x:v>ACT-GOVERNINGINSTITUTIONALNE</x:v>
      </x:c>
      <x:c r="F145" s="51" t="str">
        <x:v>Governing institutional networks</x:v>
      </x:c>
      <x:c r="G145" s="51" t="str">
        <x:v>Company → surveillance ecosystem</x:v>
      </x:c>
      <x:c r="H145" s="51" t="str">
        <x:v>Historical</x:v>
      </x:c>
      <x:c r="I145" s="51" t="str">
        <x:v>Technology supply / relationship</x:v>
      </x:c>
      <x:c r="J145" s="51" t="str"/>
      <x:c r="K145" s="51" t="str">
        <x:v>Company-specific</x:v>
      </x:c>
      <x:c r="L145" s="51" t="str">
        <x:v>Hardware, software or instruments</x:v>
      </x:c>
      <x:c r="M145" s="51" t="str">
        <x:v>Surveillance/data capability</x:v>
      </x:c>
      <x:c r="N145" s="51" t="str">
        <x:v>Commercial technology can become public enforcement capacity when integrated by state agencies</x:v>
      </x:c>
      <x:c r="O145" s="51" t="str">
        <x:v>Technological; informational; enforcement</x:v>
      </x:c>
      <x:c r="P145" s="51" t="str">
        <x:v>E2</x:v>
      </x:c>
      <x:c r="Q145" s="51" t="str">
        <x:v>High</x:v>
      </x:c>
      <x:c r="R145" s="51" t="str">
        <x:v>SRC-029</x:v>
      </x:c>
      <x:c r="S145" s="51" t="str">
        <x:v>AP documented technology relationships relevant to Chinese surveillance.</x:v>
      </x:c>
      <x:c r="T145" s="51" t="str">
        <x:v>Intent to support repression or direct control of Chinese policy.</x:v>
      </x:c>
      <x:c r="U145" s="51" t="str">
        <x:v>Company knowledge, directness and chronology differ; each edge needs contract-level expansion.</x:v>
      </x:c>
      <x:c r="V145" s="51" t="str">
        <x:v>Historical / disaggregate further</x:v>
      </x:c>
      <x:c r="W145" s="51" t="str">
        <x:v>74</x:v>
      </x:c>
      <x:c r="X145" s="51" t="str">
        <x:v>2026-07-27</x:v>
      </x:c>
    </x:row>
    <x:row r="146">
      <x:c r="A146" s="51" t="str">
        <x:v>CHN-012</x:v>
      </x:c>
      <x:c r="B146" s="51" t="str">
        <x:v>China cybernetic governance</x:v>
      </x:c>
      <x:c r="C146" s="51" t="str">
        <x:v>ACT-MICROSOFT</x:v>
      </x:c>
      <x:c r="D146" s="51" t="str">
        <x:v>Microsoft</x:v>
      </x:c>
      <x:c r="E146" s="51" t="str">
        <x:v>ACT-GOVERNINGINSTITUTIONALNE</x:v>
      </x:c>
      <x:c r="F146" s="51" t="str">
        <x:v>Governing institutional networks</x:v>
      </x:c>
      <x:c r="G146" s="51" t="str">
        <x:v>Company → surveillance ecosystem</x:v>
      </x:c>
      <x:c r="H146" s="51" t="str">
        <x:v>Historical</x:v>
      </x:c>
      <x:c r="I146" s="51" t="str">
        <x:v>Technology supply / relationship</x:v>
      </x:c>
      <x:c r="J146" s="51" t="str"/>
      <x:c r="K146" s="51" t="str">
        <x:v>Company-specific</x:v>
      </x:c>
      <x:c r="L146" s="51" t="str">
        <x:v>Hardware, software or instruments</x:v>
      </x:c>
      <x:c r="M146" s="51" t="str">
        <x:v>Surveillance/data capability</x:v>
      </x:c>
      <x:c r="N146" s="51" t="str">
        <x:v>Commercial technology can become public enforcement capacity when integrated by state agencies</x:v>
      </x:c>
      <x:c r="O146" s="51" t="str">
        <x:v>Technological; informational; enforcement</x:v>
      </x:c>
      <x:c r="P146" s="51" t="str">
        <x:v>E2</x:v>
      </x:c>
      <x:c r="Q146" s="51" t="str">
        <x:v>High</x:v>
      </x:c>
      <x:c r="R146" s="51" t="str">
        <x:v>SRC-029</x:v>
      </x:c>
      <x:c r="S146" s="51" t="str">
        <x:v>AP documented technology relationships relevant to Chinese surveillance.</x:v>
      </x:c>
      <x:c r="T146" s="51" t="str">
        <x:v>Intent to support repression or direct control of Chinese policy.</x:v>
      </x:c>
      <x:c r="U146" s="51" t="str">
        <x:v>Company knowledge, directness and chronology differ; each edge needs contract-level expansion.</x:v>
      </x:c>
      <x:c r="V146" s="51" t="str">
        <x:v>Historical / disaggregate further</x:v>
      </x:c>
      <x:c r="W146" s="51" t="str">
        <x:v>74</x:v>
      </x:c>
      <x:c r="X146" s="51" t="str">
        <x:v>2026-07-27</x:v>
      </x:c>
    </x:row>
    <x:row r="147">
      <x:c r="A147" s="51" t="str">
        <x:v>CHN-013</x:v>
      </x:c>
      <x:c r="B147" s="51" t="str">
        <x:v>China cybernetic governance</x:v>
      </x:c>
      <x:c r="C147" s="51" t="str">
        <x:v>ACT-CISCOSYSTEMS</x:v>
      </x:c>
      <x:c r="D147" s="51" t="str">
        <x:v>Cisco Systems</x:v>
      </x:c>
      <x:c r="E147" s="51" t="str">
        <x:v>ACT-GOVERNINGINSTITUTIONALNE</x:v>
      </x:c>
      <x:c r="F147" s="51" t="str">
        <x:v>Governing institutional networks</x:v>
      </x:c>
      <x:c r="G147" s="51" t="str">
        <x:v>Company → surveillance ecosystem</x:v>
      </x:c>
      <x:c r="H147" s="51" t="str">
        <x:v>Historical</x:v>
      </x:c>
      <x:c r="I147" s="51" t="str">
        <x:v>Technology supply / relationship</x:v>
      </x:c>
      <x:c r="J147" s="51" t="str"/>
      <x:c r="K147" s="51" t="str">
        <x:v>Company-specific</x:v>
      </x:c>
      <x:c r="L147" s="51" t="str">
        <x:v>Hardware, software or instruments</x:v>
      </x:c>
      <x:c r="M147" s="51" t="str">
        <x:v>Surveillance/data capability</x:v>
      </x:c>
      <x:c r="N147" s="51" t="str">
        <x:v>Commercial technology can become public enforcement capacity when integrated by state agencies</x:v>
      </x:c>
      <x:c r="O147" s="51" t="str">
        <x:v>Technological; informational; enforcement</x:v>
      </x:c>
      <x:c r="P147" s="51" t="str">
        <x:v>E2</x:v>
      </x:c>
      <x:c r="Q147" s="51" t="str">
        <x:v>High</x:v>
      </x:c>
      <x:c r="R147" s="51" t="str">
        <x:v>SRC-029</x:v>
      </x:c>
      <x:c r="S147" s="51" t="str">
        <x:v>AP documented technology relationships relevant to Chinese surveillance.</x:v>
      </x:c>
      <x:c r="T147" s="51" t="str">
        <x:v>Intent to support repression or direct control of Chinese policy.</x:v>
      </x:c>
      <x:c r="U147" s="51" t="str">
        <x:v>Company knowledge, directness and chronology differ; each edge needs contract-level expansion.</x:v>
      </x:c>
      <x:c r="V147" s="51" t="str">
        <x:v>Historical / disaggregate further</x:v>
      </x:c>
      <x:c r="W147" s="51" t="str">
        <x:v>74</x:v>
      </x:c>
      <x:c r="X147" s="51" t="str">
        <x:v>2026-07-27</x:v>
      </x:c>
    </x:row>
    <x:row r="148">
      <x:c r="A148" s="51" t="str">
        <x:v>CHN-014</x:v>
      </x:c>
      <x:c r="B148" s="51" t="str">
        <x:v>China cybernetic governance</x:v>
      </x:c>
      <x:c r="C148" s="51" t="str">
        <x:v>ACT-INTEL</x:v>
      </x:c>
      <x:c r="D148" s="51" t="str">
        <x:v>Intel</x:v>
      </x:c>
      <x:c r="E148" s="51" t="str">
        <x:v>ACT-GOVERNINGINSTITUTIONALNE</x:v>
      </x:c>
      <x:c r="F148" s="51" t="str">
        <x:v>Governing institutional networks</x:v>
      </x:c>
      <x:c r="G148" s="51" t="str">
        <x:v>Company → surveillance ecosystem</x:v>
      </x:c>
      <x:c r="H148" s="51" t="str">
        <x:v>Historical</x:v>
      </x:c>
      <x:c r="I148" s="51" t="str">
        <x:v>Technology supply / relationship</x:v>
      </x:c>
      <x:c r="J148" s="51" t="str"/>
      <x:c r="K148" s="51" t="str">
        <x:v>Company-specific</x:v>
      </x:c>
      <x:c r="L148" s="51" t="str">
        <x:v>Hardware, software or instruments</x:v>
      </x:c>
      <x:c r="M148" s="51" t="str">
        <x:v>Surveillance/data capability</x:v>
      </x:c>
      <x:c r="N148" s="51" t="str">
        <x:v>Commercial technology can become public enforcement capacity when integrated by state agencies</x:v>
      </x:c>
      <x:c r="O148" s="51" t="str">
        <x:v>Technological; informational; enforcement</x:v>
      </x:c>
      <x:c r="P148" s="51" t="str">
        <x:v>E2</x:v>
      </x:c>
      <x:c r="Q148" s="51" t="str">
        <x:v>High</x:v>
      </x:c>
      <x:c r="R148" s="51" t="str">
        <x:v>SRC-029</x:v>
      </x:c>
      <x:c r="S148" s="51" t="str">
        <x:v>AP documented technology relationships relevant to Chinese surveillance.</x:v>
      </x:c>
      <x:c r="T148" s="51" t="str">
        <x:v>Intent to support repression or direct control of Chinese policy.</x:v>
      </x:c>
      <x:c r="U148" s="51" t="str">
        <x:v>Company knowledge, directness and chronology differ; each edge needs contract-level expansion.</x:v>
      </x:c>
      <x:c r="V148" s="51" t="str">
        <x:v>Historical / disaggregate further</x:v>
      </x:c>
      <x:c r="W148" s="51" t="str">
        <x:v>74</x:v>
      </x:c>
      <x:c r="X148" s="51" t="str">
        <x:v>2026-07-27</x:v>
      </x:c>
    </x:row>
    <x:row r="149">
      <x:c r="A149" s="51" t="str">
        <x:v>CHN-015</x:v>
      </x:c>
      <x:c r="B149" s="51" t="str">
        <x:v>China cybernetic governance</x:v>
      </x:c>
      <x:c r="C149" s="51" t="str">
        <x:v>ACT-NVIDIA</x:v>
      </x:c>
      <x:c r="D149" s="51" t="str">
        <x:v>NVIDIA</x:v>
      </x:c>
      <x:c r="E149" s="51" t="str">
        <x:v>ACT-GOVERNINGINSTITUTIONALNE</x:v>
      </x:c>
      <x:c r="F149" s="51" t="str">
        <x:v>Governing institutional networks</x:v>
      </x:c>
      <x:c r="G149" s="51" t="str">
        <x:v>Company → surveillance ecosystem</x:v>
      </x:c>
      <x:c r="H149" s="51" t="str">
        <x:v>Historical</x:v>
      </x:c>
      <x:c r="I149" s="51" t="str">
        <x:v>Technology supply / relationship</x:v>
      </x:c>
      <x:c r="J149" s="51" t="str"/>
      <x:c r="K149" s="51" t="str">
        <x:v>Company-specific</x:v>
      </x:c>
      <x:c r="L149" s="51" t="str">
        <x:v>Hardware, software or instruments</x:v>
      </x:c>
      <x:c r="M149" s="51" t="str">
        <x:v>Surveillance/data capability</x:v>
      </x:c>
      <x:c r="N149" s="51" t="str">
        <x:v>Commercial technology can become public enforcement capacity when integrated by state agencies</x:v>
      </x:c>
      <x:c r="O149" s="51" t="str">
        <x:v>Technological; informational; enforcement</x:v>
      </x:c>
      <x:c r="P149" s="51" t="str">
        <x:v>E2</x:v>
      </x:c>
      <x:c r="Q149" s="51" t="str">
        <x:v>High</x:v>
      </x:c>
      <x:c r="R149" s="51" t="str">
        <x:v>SRC-029</x:v>
      </x:c>
      <x:c r="S149" s="51" t="str">
        <x:v>AP documented technology relationships relevant to Chinese surveillance.</x:v>
      </x:c>
      <x:c r="T149" s="51" t="str">
        <x:v>Intent to support repression or direct control of Chinese policy.</x:v>
      </x:c>
      <x:c r="U149" s="51" t="str">
        <x:v>Company knowledge, directness and chronology differ; each edge needs contract-level expansion.</x:v>
      </x:c>
      <x:c r="V149" s="51" t="str">
        <x:v>Historical / disaggregate further</x:v>
      </x:c>
      <x:c r="W149" s="51" t="str">
        <x:v>74</x:v>
      </x:c>
      <x:c r="X149" s="51" t="str">
        <x:v>2026-07-27</x:v>
      </x:c>
    </x:row>
    <x:row r="150">
      <x:c r="A150" s="51" t="str">
        <x:v>CHN-016</x:v>
      </x:c>
      <x:c r="B150" s="51" t="str">
        <x:v>China cybernetic governance</x:v>
      </x:c>
      <x:c r="C150" s="51" t="str">
        <x:v>ACT-ORACLE</x:v>
      </x:c>
      <x:c r="D150" s="51" t="str">
        <x:v>Oracle</x:v>
      </x:c>
      <x:c r="E150" s="51" t="str">
        <x:v>ACT-GOVERNINGINSTITUTIONALNE</x:v>
      </x:c>
      <x:c r="F150" s="51" t="str">
        <x:v>Governing institutional networks</x:v>
      </x:c>
      <x:c r="G150" s="51" t="str">
        <x:v>Company → surveillance ecosystem</x:v>
      </x:c>
      <x:c r="H150" s="51" t="str">
        <x:v>Historical</x:v>
      </x:c>
      <x:c r="I150" s="51" t="str">
        <x:v>Technology supply / relationship</x:v>
      </x:c>
      <x:c r="J150" s="51" t="str"/>
      <x:c r="K150" s="51" t="str">
        <x:v>Company-specific</x:v>
      </x:c>
      <x:c r="L150" s="51" t="str">
        <x:v>Hardware, software or instruments</x:v>
      </x:c>
      <x:c r="M150" s="51" t="str">
        <x:v>Surveillance/data capability</x:v>
      </x:c>
      <x:c r="N150" s="51" t="str">
        <x:v>Commercial technology can become public enforcement capacity when integrated by state agencies</x:v>
      </x:c>
      <x:c r="O150" s="51" t="str">
        <x:v>Technological; informational; enforcement</x:v>
      </x:c>
      <x:c r="P150" s="51" t="str">
        <x:v>E2</x:v>
      </x:c>
      <x:c r="Q150" s="51" t="str">
        <x:v>High</x:v>
      </x:c>
      <x:c r="R150" s="51" t="str">
        <x:v>SRC-029</x:v>
      </x:c>
      <x:c r="S150" s="51" t="str">
        <x:v>AP documented technology relationships relevant to Chinese surveillance.</x:v>
      </x:c>
      <x:c r="T150" s="51" t="str">
        <x:v>Intent to support repression or direct control of Chinese policy.</x:v>
      </x:c>
      <x:c r="U150" s="51" t="str">
        <x:v>Company knowledge, directness and chronology differ; each edge needs contract-level expansion.</x:v>
      </x:c>
      <x:c r="V150" s="51" t="str">
        <x:v>Historical / disaggregate further</x:v>
      </x:c>
      <x:c r="W150" s="51" t="str">
        <x:v>74</x:v>
      </x:c>
      <x:c r="X150" s="51" t="str">
        <x:v>2026-07-27</x:v>
      </x:c>
    </x:row>
    <x:row r="151">
      <x:c r="A151" s="51" t="str">
        <x:v>CHN-017</x:v>
      </x:c>
      <x:c r="B151" s="51" t="str">
        <x:v>China cybernetic governance</x:v>
      </x:c>
      <x:c r="C151" s="51" t="str">
        <x:v>ACT-THERMOFISHERSCIENTIFIC</x:v>
      </x:c>
      <x:c r="D151" s="51" t="str">
        <x:v>Thermo Fisher Scientific</x:v>
      </x:c>
      <x:c r="E151" s="51" t="str">
        <x:v>ACT-GOVERNINGINSTITUTIONALNE</x:v>
      </x:c>
      <x:c r="F151" s="51" t="str">
        <x:v>Governing institutional networks</x:v>
      </x:c>
      <x:c r="G151" s="51" t="str">
        <x:v>Company → surveillance ecosystem</x:v>
      </x:c>
      <x:c r="H151" s="51" t="str">
        <x:v>Historical</x:v>
      </x:c>
      <x:c r="I151" s="51" t="str">
        <x:v>Technology supply / relationship</x:v>
      </x:c>
      <x:c r="J151" s="51" t="str"/>
      <x:c r="K151" s="51" t="str">
        <x:v>Company-specific</x:v>
      </x:c>
      <x:c r="L151" s="51" t="str">
        <x:v>Hardware, software or instruments</x:v>
      </x:c>
      <x:c r="M151" s="51" t="str">
        <x:v>Surveillance/data capability</x:v>
      </x:c>
      <x:c r="N151" s="51" t="str">
        <x:v>Commercial technology can become public enforcement capacity when integrated by state agencies</x:v>
      </x:c>
      <x:c r="O151" s="51" t="str">
        <x:v>Technological; informational; enforcement</x:v>
      </x:c>
      <x:c r="P151" s="51" t="str">
        <x:v>E2</x:v>
      </x:c>
      <x:c r="Q151" s="51" t="str">
        <x:v>High</x:v>
      </x:c>
      <x:c r="R151" s="51" t="str">
        <x:v>SRC-029</x:v>
      </x:c>
      <x:c r="S151" s="51" t="str">
        <x:v>AP documented technology relationships relevant to Chinese surveillance.</x:v>
      </x:c>
      <x:c r="T151" s="51" t="str">
        <x:v>Intent to support repression or direct control of Chinese policy.</x:v>
      </x:c>
      <x:c r="U151" s="51" t="str">
        <x:v>Company knowledge, directness and chronology differ; each edge needs contract-level expansion.</x:v>
      </x:c>
      <x:c r="V151" s="51" t="str">
        <x:v>Historical / disaggregate further</x:v>
      </x:c>
      <x:c r="W151" s="51" t="str">
        <x:v>74</x:v>
      </x:c>
      <x:c r="X151" s="51" t="str">
        <x:v>2026-07-27</x:v>
      </x:c>
    </x:row>
    <x:row r="152">
      <x:c r="A152" s="51" t="str">
        <x:v>CHN-018</x:v>
      </x:c>
      <x:c r="B152" s="51" t="str">
        <x:v>China cybernetic governance</x:v>
      </x:c>
      <x:c r="C152" s="51" t="str">
        <x:v>ACT-GOVERNINGINSTITUTIONALNE</x:v>
      </x:c>
      <x:c r="D152" s="51" t="str">
        <x:v>Governing institutional networks</x:v>
      </x:c>
      <x:c r="E152" s="51" t="str">
        <x:v>ACT-CHINASOCIALCREDITSYSTEM</x:v>
      </x:c>
      <x:c r="F152" s="51" t="str">
        <x:v>China social credit system</x:v>
      </x:c>
      <x:c r="G152" s="51" t="str">
        <x:v>Institutions → system</x:v>
      </x:c>
      <x:c r="H152" s="51" t="str">
        <x:v>Ongoing</x:v>
      </x:c>
      <x:c r="I152" s="51" t="str">
        <x:v>Federated integration</x:v>
      </x:c>
      <x:c r="J152" s="51" t="str"/>
      <x:c r="K152" s="51" t="str">
        <x:v>System-level</x:v>
      </x:c>
      <x:c r="L152" s="51" t="str">
        <x:v>Local/sectoral databases</x:v>
      </x:c>
      <x:c r="M152" s="51" t="str">
        <x:v>Functionally interoperable governance</x:v>
      </x:c>
      <x:c r="N152" s="51" t="str">
        <x:v>Shared identity, standards and AI can integrate fragmented records without one super-database</x:v>
      </x:c>
      <x:c r="O152" s="51" t="str">
        <x:v>Informational; adaptive; institutional</x:v>
      </x:c>
      <x:c r="P152" s="51" t="str">
        <x:v>S1</x:v>
      </x:c>
      <x:c r="Q152" s="51" t="str">
        <x:v>High</x:v>
      </x:c>
      <x:c r="R152" s="51" t="str">
        <x:v>SRC-025; SRC-026; SRC-027</x:v>
      </x:c>
      <x:c r="S152" s="51" t="str">
        <x:v>Policy is moving toward integration and AI-enabled governance.</x:v>
      </x:c>
      <x:c r="T152" s="51" t="str">
        <x:v>A completed omniscient national machine.</x:v>
      </x:c>
      <x:c r="U152" s="51" t="str">
        <x:v>Bureaucratic rivalry and data quality constrain integration.</x:v>
      </x:c>
      <x:c r="V152" s="51" t="str">
        <x:v>Emerging</x:v>
      </x:c>
      <x:c r="W152" s="51" t="str">
        <x:v>74</x:v>
      </x:c>
      <x:c r="X152" s="51" t="str">
        <x:v>2026-07-27</x:v>
      </x:c>
    </x:row>
    <x:row r="153">
      <x:c r="A153" s="51" t="str">
        <x:v>CHN-019</x:v>
      </x:c>
      <x:c r="B153" s="51" t="str">
        <x:v>China cybernetic governance</x:v>
      </x:c>
      <x:c r="C153" s="51" t="str">
        <x:v>ACT-STATECOUNCILOFCHINA</x:v>
      </x:c>
      <x:c r="D153" s="51" t="str">
        <x:v>State Council of China</x:v>
      </x:c>
      <x:c r="E153" s="51" t="str">
        <x:v>ACT-GOVERNINGINSTITUTIONALNE</x:v>
      </x:c>
      <x:c r="F153" s="51" t="str">
        <x:v>Governing institutional networks</x:v>
      </x:c>
      <x:c r="G153" s="51" t="str">
        <x:v>Authority → network</x:v>
      </x:c>
      <x:c r="H153" s="51" t="str">
        <x:v>Ongoing</x:v>
      </x:c>
      <x:c r="I153" s="51" t="str">
        <x:v>Objective-setting authority</x:v>
      </x:c>
      <x:c r="J153" s="51" t="str"/>
      <x:c r="K153" s="51" t="str">
        <x:v>National</x:v>
      </x:c>
      <x:c r="L153" s="51" t="str">
        <x:v>Policy priorities</x:v>
      </x:c>
      <x:c r="M153" s="51" t="str">
        <x:v>Metrics, targets and intervention priorities</x:v>
      </x:c>
      <x:c r="N153" s="51" t="str">
        <x:v>Political authority selects what governance systems optimise</x:v>
      </x:c>
      <x:c r="O153" s="51" t="str">
        <x:v>Institutional; adaptive; enforcement</x:v>
      </x:c>
      <x:c r="P153" s="51" t="str">
        <x:v>S1</x:v>
      </x:c>
      <x:c r="Q153" s="51" t="str">
        <x:v>High</x:v>
      </x:c>
      <x:c r="R153" s="51" t="str">
        <x:v>SRC-025; SRC-026</x:v>
      </x:c>
      <x:c r="S153" s="51" t="str">
        <x:v>Central policies define governance priorities and targets.</x:v>
      </x:c>
      <x:c r="T153" s="51" t="str">
        <x:v>A single mathematical function determines all decisions.</x:v>
      </x:c>
      <x:c r="U153" s="51" t="str">
        <x:v>Local incentives, errors and competing goals mediate implementation.</x:v>
      </x:c>
      <x:c r="V153" s="51" t="str">
        <x:v>Ongoing</x:v>
      </x:c>
      <x:c r="W153" s="51" t="str">
        <x:v>74;84</x:v>
      </x:c>
      <x:c r="X153" s="51" t="str">
        <x:v>2026-07-27</x:v>
      </x:c>
    </x:row>
    <x:row r="154">
      <x:c r="A154" s="51" t="str">
        <x:v>CHN-020</x:v>
      </x:c>
      <x:c r="B154" s="51" t="str">
        <x:v>China cybernetic governance</x:v>
      </x:c>
      <x:c r="C154" s="51" t="str">
        <x:v>ACT-GOVERNINGINSTITUTIONALNE</x:v>
      </x:c>
      <x:c r="D154" s="51" t="str">
        <x:v>Governing institutional networks</x:v>
      </x:c>
      <x:c r="E154" s="51" t="str">
        <x:v>ACT-CITIZENSANDLABOUR</x:v>
      </x:c>
      <x:c r="F154" s="51" t="str">
        <x:v>Citizens and labour</x:v>
      </x:c>
      <x:c r="G154" s="51" t="str">
        <x:v>Network → population</x:v>
      </x:c>
      <x:c r="H154" s="51" t="str">
        <x:v>Emerging</x:v>
      </x:c>
      <x:c r="I154" s="51" t="str">
        <x:v>Pre-emption capacity</x:v>
      </x:c>
      <x:c r="J154" s="51" t="str"/>
      <x:c r="K154" s="51" t="str">
        <x:v>Unknown</x:v>
      </x:c>
      <x:c r="L154" s="51" t="str">
        <x:v>Searches, payments, communications and movement traces</x:v>
      </x:c>
      <x:c r="M154" s="51" t="str">
        <x:v>Earlier selective intervention</x:v>
      </x:c>
      <x:c r="N154" s="51" t="str">
        <x:v>Digitally legible organisation may be disrupted before mass coordination</x:v>
      </x:c>
      <x:c r="O154" s="51" t="str">
        <x:v>Informational; enforcement; adaptive</x:v>
      </x:c>
      <x:c r="P154" s="51" t="str">
        <x:v>S1</x:v>
      </x:c>
      <x:c r="Q154" s="51" t="str">
        <x:v>Moderate</x:v>
      </x:c>
      <x:c r="R154" s="51" t="str">
        <x:v>SRC-028; SRC-029</x:v>
      </x:c>
      <x:c r="S154" s="51" t="str">
        <x:v>Documented systems show data can identify and intervene against people/networks.</x:v>
      </x:c>
      <x:c r="T154" s="51" t="str">
        <x:v>Perfect prediction, elimination of dissent or guaranteed durability.</x:v>
      </x:c>
      <x:c r="U154" s="51" t="str">
        <x:v>False positives and informal channels reduce effectiveness.</x:v>
      </x:c>
      <x:c r="V154" s="51" t="str">
        <x:v>Hypothesis / mechanism</x:v>
      </x:c>
      <x:c r="W154" s="51" t="str">
        <x:v>74</x:v>
      </x:c>
      <x:c r="X154" s="51" t="str">
        <x:v>2026-07-27</x:v>
      </x:c>
    </x:row>
    <x:row r="155">
      <x:c r="A155" s="51" t="str">
        <x:v>CHN-021</x:v>
      </x:c>
      <x:c r="B155" s="51" t="str">
        <x:v>Evidence boundary</x:v>
      </x:c>
      <x:c r="C155" s="51" t="str">
        <x:v>ACT-CHINASOCIALCREDITSYSTEM</x:v>
      </x:c>
      <x:c r="D155" s="51" t="str">
        <x:v>China social credit system</x:v>
      </x:c>
      <x:c r="E155" s="51" t="str">
        <x:v>ACT-CITIZENSANDLABOUR</x:v>
      </x:c>
      <x:c r="F155" s="51" t="str">
        <x:v>Citizens and labour</x:v>
      </x:c>
      <x:c r="G155" s="51" t="str">
        <x:v>Claim boundary</x:v>
      </x:c>
      <x:c r="H155" s="51" t="str">
        <x:v>Current review</x:v>
      </x:c>
      <x:c r="I155" s="51" t="str">
        <x:v>Unsupported universal-score claim</x:v>
      </x:c>
      <x:c r="J155" s="51" t="str"/>
      <x:c r="K155" s="51" t="str">
        <x:v>N/A</x:v>
      </x:c>
      <x:c r="L155" s="51" t="str">
        <x:v>Fragmented administrative architecture</x:v>
      </x:c>
      <x:c r="M155" s="51" t="str">
        <x:v>Claimed one universal citizen score</x:v>
      </x:c>
      <x:c r="N155" s="51" t="str">
        <x:v>A popular simplification exceeds the documented system</x:v>
      </x:c>
      <x:c r="O155" s="51" t="str">
        <x:v>Narrative; epistemic</x:v>
      </x:c>
      <x:c r="P155" s="51" t="str">
        <x:v>U1</x:v>
      </x:c>
      <x:c r="Q155" s="51" t="str">
        <x:v>Very low</x:v>
      </x:c>
      <x:c r="R155" s="51" t="str">
        <x:v>SRC-025</x:v>
      </x:c>
      <x:c r="S155" s="51" t="str">
        <x:v>Integration policy and multiple sectoral systems exist.</x:v>
      </x:c>
      <x:c r="T155" s="51" t="str">
        <x:v>China already operates one universal national citizen score.</x:v>
      </x:c>
      <x:c r="U155" s="51" t="str">
        <x:v>Future integration could change the architecture, so review periodically.</x:v>
      </x:c>
      <x:c r="V155" s="51" t="str">
        <x:v>Unsupported</x:v>
      </x:c>
      <x:c r="W155" s="51" t="str">
        <x:v>73;74</x:v>
      </x:c>
      <x:c r="X155" s="51" t="str">
        <x:v>2026-07-27</x:v>
      </x:c>
    </x:row>
    <x:row r="156">
      <x:c r="A156" s="51" t="str">
        <x:v>CLD-001</x:v>
      </x:c>
      <x:c r="B156" s="51" t="str">
        <x:v>Classified and sovereign cloud</x:v>
      </x:c>
      <x:c r="C156" s="51" t="str">
        <x:v>ACT-USDEPARTMENTOFDEFENSE</x:v>
      </x:c>
      <x:c r="D156" s="51" t="str">
        <x:v>US Department of Defense</x:v>
      </x:c>
      <x:c r="E156" s="51" t="str">
        <x:v>ACT-AMAZONWEBSERVICES</x:v>
      </x:c>
      <x:c r="F156" s="51" t="str">
        <x:v>Amazon Web Services</x:v>
      </x:c>
      <x:c r="G156" s="51" t="str">
        <x:v>State customer → cloud provider</x:v>
      </x:c>
      <x:c r="H156" s="51" t="str">
        <x:v>2022–2028</x:v>
      </x:c>
      <x:c r="I156" s="51" t="str">
        <x:v>JWCC contract award</x:v>
      </x:c>
      <x:c r="J156" s="51" t="str">
        <x:v>INS-079</x:v>
      </x:c>
      <x:c r="K156" s="51" t="str">
        <x:v>$9bn vehicle ceiling shared across awardees</x:v>
      </x:c>
      <x:c r="L156" s="51" t="str">
        <x:v>Classified mission demand and procurement authority</x:v>
      </x:c>
      <x:c r="M156" s="51" t="str">
        <x:v>Cloud capacity at unclassified, secret and top-secret levels</x:v>
      </x:c>
      <x:c r="N156" s="51" t="str">
        <x:v>Military institutions outsource part of their compute and data substrate to competing commercial hyperscalers</x:v>
      </x:c>
      <x:c r="O156" s="51" t="str">
        <x:v>Financial; informational; institutional; enforcement</x:v>
      </x:c>
      <x:c r="P156" s="51" t="str">
        <x:v>E1</x:v>
      </x:c>
      <x:c r="Q156" s="51" t="str">
        <x:v>Very high</x:v>
      </x:c>
      <x:c r="R156" s="51" t="str">
        <x:v>SRC-161</x:v>
      </x:c>
      <x:c r="S156" s="51" t="str">
        <x:v>Amazon Web Services is a JWCC awardee.</x:v>
      </x:c>
      <x:c r="T156" s="51" t="str">
        <x:v>Guaranteed task-order revenue, exclusive control or transfer of military command.</x:v>
      </x:c>
      <x:c r="U156" s="51" t="str">
        <x:v>The ceiling is shared and funds are obligated through individual orders.</x:v>
      </x:c>
      <x:c r="V156" s="51" t="str">
        <x:v>Active</x:v>
      </x:c>
      <x:c r="W156" s="51" t="str">
        <x:v>57;71;76</x:v>
      </x:c>
      <x:c r="X156" s="51" t="str">
        <x:v>2026-07-27</x:v>
      </x:c>
    </x:row>
    <x:row r="157">
      <x:c r="A157" s="51" t="str">
        <x:v>CLD-002</x:v>
      </x:c>
      <x:c r="B157" s="51" t="str">
        <x:v>Classified and sovereign cloud</x:v>
      </x:c>
      <x:c r="C157" s="51" t="str">
        <x:v>ACT-USDEPARTMENTOFDEFENSE</x:v>
      </x:c>
      <x:c r="D157" s="51" t="str">
        <x:v>US Department of Defense</x:v>
      </x:c>
      <x:c r="E157" s="51" t="str">
        <x:v>ACT-GOOGLEGOOGLECLOUD</x:v>
      </x:c>
      <x:c r="F157" s="51" t="str">
        <x:v>Google / Google Cloud</x:v>
      </x:c>
      <x:c r="G157" s="51" t="str">
        <x:v>State customer → cloud provider</x:v>
      </x:c>
      <x:c r="H157" s="51" t="str">
        <x:v>2022–2028</x:v>
      </x:c>
      <x:c r="I157" s="51" t="str">
        <x:v>JWCC contract award</x:v>
      </x:c>
      <x:c r="J157" s="51" t="str">
        <x:v>INS-079</x:v>
      </x:c>
      <x:c r="K157" s="51" t="str">
        <x:v>$9bn vehicle ceiling shared across awardees</x:v>
      </x:c>
      <x:c r="L157" s="51" t="str">
        <x:v>Classified mission demand and procurement authority</x:v>
      </x:c>
      <x:c r="M157" s="51" t="str">
        <x:v>Cloud capacity at unclassified, secret and top-secret levels</x:v>
      </x:c>
      <x:c r="N157" s="51" t="str">
        <x:v>Military institutions outsource part of their compute and data substrate to competing commercial hyperscalers</x:v>
      </x:c>
      <x:c r="O157" s="51" t="str">
        <x:v>Financial; informational; institutional; enforcement</x:v>
      </x:c>
      <x:c r="P157" s="51" t="str">
        <x:v>E1</x:v>
      </x:c>
      <x:c r="Q157" s="51" t="str">
        <x:v>Very high</x:v>
      </x:c>
      <x:c r="R157" s="51" t="str">
        <x:v>SRC-161</x:v>
      </x:c>
      <x:c r="S157" s="51" t="str">
        <x:v>Google / Google Cloud is a JWCC awardee.</x:v>
      </x:c>
      <x:c r="T157" s="51" t="str">
        <x:v>Guaranteed task-order revenue, exclusive control or transfer of military command.</x:v>
      </x:c>
      <x:c r="U157" s="51" t="str">
        <x:v>The ceiling is shared and funds are obligated through individual orders.</x:v>
      </x:c>
      <x:c r="V157" s="51" t="str">
        <x:v>Active</x:v>
      </x:c>
      <x:c r="W157" s="51" t="str">
        <x:v>57;71;76</x:v>
      </x:c>
      <x:c r="X157" s="51" t="str">
        <x:v>2026-07-27</x:v>
      </x:c>
    </x:row>
    <x:row r="158">
      <x:c r="A158" s="51" t="str">
        <x:v>CLD-003</x:v>
      </x:c>
      <x:c r="B158" s="51" t="str">
        <x:v>Classified and sovereign cloud</x:v>
      </x:c>
      <x:c r="C158" s="51" t="str">
        <x:v>ACT-USDEPARTMENTOFDEFENSE</x:v>
      </x:c>
      <x:c r="D158" s="51" t="str">
        <x:v>US Department of Defense</x:v>
      </x:c>
      <x:c r="E158" s="51" t="str">
        <x:v>ACT-MICROSOFT</x:v>
      </x:c>
      <x:c r="F158" s="51" t="str">
        <x:v>Microsoft</x:v>
      </x:c>
      <x:c r="G158" s="51" t="str">
        <x:v>State customer → cloud provider</x:v>
      </x:c>
      <x:c r="H158" s="51" t="str">
        <x:v>2022–2028</x:v>
      </x:c>
      <x:c r="I158" s="51" t="str">
        <x:v>JWCC contract award</x:v>
      </x:c>
      <x:c r="J158" s="51" t="str">
        <x:v>INS-079</x:v>
      </x:c>
      <x:c r="K158" s="51" t="str">
        <x:v>$9bn vehicle ceiling shared across awardees</x:v>
      </x:c>
      <x:c r="L158" s="51" t="str">
        <x:v>Classified mission demand and procurement authority</x:v>
      </x:c>
      <x:c r="M158" s="51" t="str">
        <x:v>Cloud capacity at unclassified, secret and top-secret levels</x:v>
      </x:c>
      <x:c r="N158" s="51" t="str">
        <x:v>Military institutions outsource part of their compute and data substrate to competing commercial hyperscalers</x:v>
      </x:c>
      <x:c r="O158" s="51" t="str">
        <x:v>Financial; informational; institutional; enforcement</x:v>
      </x:c>
      <x:c r="P158" s="51" t="str">
        <x:v>E1</x:v>
      </x:c>
      <x:c r="Q158" s="51" t="str">
        <x:v>Very high</x:v>
      </x:c>
      <x:c r="R158" s="51" t="str">
        <x:v>SRC-161</x:v>
      </x:c>
      <x:c r="S158" s="51" t="str">
        <x:v>Microsoft is a JWCC awardee.</x:v>
      </x:c>
      <x:c r="T158" s="51" t="str">
        <x:v>Guaranteed task-order revenue, exclusive control or transfer of military command.</x:v>
      </x:c>
      <x:c r="U158" s="51" t="str">
        <x:v>The ceiling is shared and funds are obligated through individual orders.</x:v>
      </x:c>
      <x:c r="V158" s="51" t="str">
        <x:v>Active</x:v>
      </x:c>
      <x:c r="W158" s="51" t="str">
        <x:v>57;71;76</x:v>
      </x:c>
      <x:c r="X158" s="51" t="str">
        <x:v>2026-07-27</x:v>
      </x:c>
    </x:row>
    <x:row r="159">
      <x:c r="A159" s="51" t="str">
        <x:v>CLD-004</x:v>
      </x:c>
      <x:c r="B159" s="51" t="str">
        <x:v>Classified and sovereign cloud</x:v>
      </x:c>
      <x:c r="C159" s="51" t="str">
        <x:v>ACT-USDEPARTMENTOFDEFENSE</x:v>
      </x:c>
      <x:c r="D159" s="51" t="str">
        <x:v>US Department of Defense</x:v>
      </x:c>
      <x:c r="E159" s="51" t="str">
        <x:v>ACT-ORACLE</x:v>
      </x:c>
      <x:c r="F159" s="51" t="str">
        <x:v>Oracle</x:v>
      </x:c>
      <x:c r="G159" s="51" t="str">
        <x:v>State customer → cloud provider</x:v>
      </x:c>
      <x:c r="H159" s="51" t="str">
        <x:v>2022–2028</x:v>
      </x:c>
      <x:c r="I159" s="51" t="str">
        <x:v>JWCC contract award</x:v>
      </x:c>
      <x:c r="J159" s="51" t="str">
        <x:v>INS-079</x:v>
      </x:c>
      <x:c r="K159" s="51" t="str">
        <x:v>$9bn vehicle ceiling shared across awardees</x:v>
      </x:c>
      <x:c r="L159" s="51" t="str">
        <x:v>Classified mission demand and procurement authority</x:v>
      </x:c>
      <x:c r="M159" s="51" t="str">
        <x:v>Cloud capacity at unclassified, secret and top-secret levels</x:v>
      </x:c>
      <x:c r="N159" s="51" t="str">
        <x:v>Military institutions outsource part of their compute and data substrate to competing commercial hyperscalers</x:v>
      </x:c>
      <x:c r="O159" s="51" t="str">
        <x:v>Financial; informational; institutional; enforcement</x:v>
      </x:c>
      <x:c r="P159" s="51" t="str">
        <x:v>E1</x:v>
      </x:c>
      <x:c r="Q159" s="51" t="str">
        <x:v>Very high</x:v>
      </x:c>
      <x:c r="R159" s="51" t="str">
        <x:v>SRC-161</x:v>
      </x:c>
      <x:c r="S159" s="51" t="str">
        <x:v>Oracle is a JWCC awardee.</x:v>
      </x:c>
      <x:c r="T159" s="51" t="str">
        <x:v>Guaranteed task-order revenue, exclusive control or transfer of military command.</x:v>
      </x:c>
      <x:c r="U159" s="51" t="str">
        <x:v>The ceiling is shared and funds are obligated through individual orders.</x:v>
      </x:c>
      <x:c r="V159" s="51" t="str">
        <x:v>Active</x:v>
      </x:c>
      <x:c r="W159" s="51" t="str">
        <x:v>57;71;76</x:v>
      </x:c>
      <x:c r="X159" s="51" t="str">
        <x:v>2026-07-27</x:v>
      </x:c>
    </x:row>
    <x:row r="160">
      <x:c r="A160" s="51" t="str">
        <x:v>CLD-005</x:v>
      </x:c>
      <x:c r="B160" s="51" t="str">
        <x:v>Classified and sovereign cloud</x:v>
      </x:c>
      <x:c r="C160" s="51" t="str">
        <x:v>ACT-AMAZONWEBSERVICES</x:v>
      </x:c>
      <x:c r="D160" s="51" t="str">
        <x:v>Amazon Web Services</x:v>
      </x:c>
      <x:c r="E160" s="51" t="str">
        <x:v>ACT-AWSGOVCLOUD</x:v>
      </x:c>
      <x:c r="F160" s="51" t="str">
        <x:v>AWS GovCloud</x:v>
      </x:c>
      <x:c r="G160" s="51" t="str">
        <x:v>Company → environment</x:v>
      </x:c>
      <x:c r="H160" s="51" t="str">
        <x:v>Ongoing</x:v>
      </x:c>
      <x:c r="I160" s="51" t="str">
        <x:v>Ownership and operation</x:v>
      </x:c>
      <x:c r="J160" s="51" t="str"/>
      <x:c r="K160" s="51" t="str">
        <x:v>Government cloud scale</x:v>
      </x:c>
      <x:c r="L160" s="51" t="str">
        <x:v>Commercial cloud engineering</x:v>
      </x:c>
      <x:c r="M160" s="51" t="str">
        <x:v>Regulated and classified-compatible environment</x:v>
      </x:c>
      <x:c r="N160" s="51" t="str">
        <x:v>A commercial provider creates a legally and technically segmented enclave for government dependency</x:v>
      </x:c>
      <x:c r="O160" s="51" t="str">
        <x:v>Informational; institutional; technological</x:v>
      </x:c>
      <x:c r="P160" s="51" t="str">
        <x:v>E1</x:v>
      </x:c>
      <x:c r="Q160" s="51" t="str">
        <x:v>High</x:v>
      </x:c>
      <x:c r="R160" s="51" t="str">
        <x:v>SRC-162</x:v>
      </x:c>
      <x:c r="S160" s="51" t="str">
        <x:v>AWS operates GovCloud and secret-region capabilities.</x:v>
      </x:c>
      <x:c r="T160" s="51" t="str">
        <x:v>Government ownership of infrastructure or immunity from vendor lock-in.</x:v>
      </x:c>
      <x:c r="U160" s="51" t="str">
        <x:v>Accreditations cover defined configurations and services.</x:v>
      </x:c>
      <x:c r="V160" s="51" t="str">
        <x:v>Active</x:v>
      </x:c>
      <x:c r="W160" s="51" t="str">
        <x:v>57;71</x:v>
      </x:c>
      <x:c r="X160" s="51" t="str">
        <x:v>2026-07-27</x:v>
      </x:c>
    </x:row>
    <x:row r="161">
      <x:c r="A161" s="51" t="str">
        <x:v>CLD-006</x:v>
      </x:c>
      <x:c r="B161" s="51" t="str">
        <x:v>Classified and sovereign cloud</x:v>
      </x:c>
      <x:c r="C161" s="51" t="str">
        <x:v>ACT-GOOGLEGOOGLECLOUD</x:v>
      </x:c>
      <x:c r="D161" s="51" t="str">
        <x:v>Google / Google Cloud</x:v>
      </x:c>
      <x:c r="E161" s="51" t="str">
        <x:v>ACT-GOOGLEDISTRIBUTEDCLOUDAI</x:v>
      </x:c>
      <x:c r="F161" s="51" t="str">
        <x:v>Google Distributed Cloud Air-Gapped</x:v>
      </x:c>
      <x:c r="G161" s="51" t="str">
        <x:v>Company → environment</x:v>
      </x:c>
      <x:c r="H161" s="51" t="str">
        <x:v>Ongoing</x:v>
      </x:c>
      <x:c r="I161" s="51" t="str">
        <x:v>Ownership and managed technology</x:v>
      </x:c>
      <x:c r="J161" s="51" t="str"/>
      <x:c r="K161" s="51" t="str">
        <x:v>Classified and sovereign deployments</x:v>
      </x:c>
      <x:c r="L161" s="51" t="str">
        <x:v>Google cloud software and hardware</x:v>
      </x:c>
      <x:c r="M161" s="51" t="str">
        <x:v>Disconnected local AI and cloud services</x:v>
      </x:c>
      <x:c r="N161" s="51" t="str">
        <x:v>A hyperscaler can place proprietary cloud capabilities inside sovereign or classified facilities without public-internet dependence</x:v>
      </x:c>
      <x:c r="O161" s="51" t="str">
        <x:v>Informational; technological; institutional</x:v>
      </x:c>
      <x:c r="P161" s="51" t="str">
        <x:v>E1</x:v>
      </x:c>
      <x:c r="Q161" s="51" t="str">
        <x:v>High</x:v>
      </x:c>
      <x:c r="R161" s="51" t="str">
        <x:v>SRC-163</x:v>
      </x:c>
      <x:c r="S161" s="51" t="str">
        <x:v>Google markets an air-gapped system for classified and sovereignty-sensitive workloads.</x:v>
      </x:c>
      <x:c r="T161" s="51" t="str">
        <x:v>Google remote access to every deployment or complete customer independence from software supply.</x:v>
      </x:c>
      <x:c r="U161" s="51" t="str">
        <x:v>Operation can be configured between Google and trusted partners.</x:v>
      </x:c>
      <x:c r="V161" s="51" t="str">
        <x:v>Active</x:v>
      </x:c>
      <x:c r="W161" s="51" t="str">
        <x:v>57;71;76</x:v>
      </x:c>
      <x:c r="X161" s="51" t="str">
        <x:v>2026-07-27</x:v>
      </x:c>
    </x:row>
    <x:row r="162">
      <x:c r="A162" s="51" t="str">
        <x:v>CLD-007</x:v>
      </x:c>
      <x:c r="B162" s="51" t="str">
        <x:v>Classified and sovereign cloud</x:v>
      </x:c>
      <x:c r="C162" s="51" t="str">
        <x:v>ACT-AMAZONWEBSERVICES</x:v>
      </x:c>
      <x:c r="D162" s="51" t="str">
        <x:v>Amazon Web Services</x:v>
      </x:c>
      <x:c r="E162" s="51" t="str">
        <x:v>ACT-AWSEUROPEANSOVEREIGNCLOU</x:v>
      </x:c>
      <x:c r="F162" s="51" t="str">
        <x:v>AWS European Sovereign Cloud</x:v>
      </x:c>
      <x:c r="G162" s="51" t="str">
        <x:v>Company → environment</x:v>
      </x:c>
      <x:c r="H162" s="51" t="str">
        <x:v>Current</x:v>
      </x:c>
      <x:c r="I162" s="51" t="str">
        <x:v>Sovereign-cloud product and governance design</x:v>
      </x:c>
      <x:c r="J162" s="51" t="str"/>
      <x:c r="K162" s="51" t="str">
        <x:v>European deployments</x:v>
      </x:c>
      <x:c r="L162" s="51" t="str">
        <x:v>AWS software, capital and regions</x:v>
      </x:c>
      <x:c r="M162" s="51" t="str">
        <x:v>European data residency and operational-autonomy assurances</x:v>
      </x:c>
      <x:c r="N162" s="51" t="str">
        <x:v>Commercial firms adapt governance and operating structures to retain regulated state and enterprise workloads</x:v>
      </x:c>
      <x:c r="O162" s="51" t="str">
        <x:v>Institutional; informational; technological</x:v>
      </x:c>
      <x:c r="P162" s="51" t="str">
        <x:v>E1</x:v>
      </x:c>
      <x:c r="Q162" s="51" t="str">
        <x:v>High</x:v>
      </x:c>
      <x:c r="R162" s="51" t="str">
        <x:v>SRC-164</x:v>
      </x:c>
      <x:c r="S162" s="51" t="str">
        <x:v>AWS offers a European sovereign-cloud model with specified controls.</x:v>
      </x:c>
      <x:c r="T162" s="51" t="str">
        <x:v>Freedom from all US legal exposure or complete European ownership.</x:v>
      </x:c>
      <x:c r="U162" s="51" t="str">
        <x:v>Legal sovereignty claims must be assessed against corporate ownership and applicable law.</x:v>
      </x:c>
      <x:c r="V162" s="51" t="str">
        <x:v>Development / active rollout</x:v>
      </x:c>
      <x:c r="W162" s="51" t="str">
        <x:v>57;76</x:v>
      </x:c>
      <x:c r="X162" s="51" t="str">
        <x:v>2026-07-27</x:v>
      </x:c>
    </x:row>
    <x:row r="163">
      <x:c r="A163" s="51" t="str">
        <x:v>CLD-008</x:v>
      </x:c>
      <x:c r="B163" s="51" t="str">
        <x:v>Classified and sovereign cloud</x:v>
      </x:c>
      <x:c r="C163" s="51" t="str">
        <x:v>ACT-JOINTWARFIGHTINGCLOUDCAP</x:v>
      </x:c>
      <x:c r="D163" s="51" t="str">
        <x:v>Joint Warfighting Cloud Capability</x:v>
      </x:c>
      <x:c r="E163" s="51" t="str">
        <x:v>ACT-PROJECTMAVENMAVENSMARTSY</x:v>
      </x:c>
      <x:c r="F163" s="51" t="str">
        <x:v>Project Maven / Maven Smart System</x:v>
      </x:c>
      <x:c r="G163" s="51" t="str">
        <x:v>Cloud vehicle → AI programme</x:v>
      </x:c>
      <x:c r="H163" s="51" t="str">
        <x:v>Ongoing</x:v>
      </x:c>
      <x:c r="I163" s="51" t="str">
        <x:v>Infrastructure dependency</x:v>
      </x:c>
      <x:c r="J163" s="51" t="str">
        <x:v>INS-079; INS-010</x:v>
      </x:c>
      <x:c r="K163" s="51" t="str">
        <x:v>Programme scale</x:v>
      </x:c>
      <x:c r="L163" s="51" t="str">
        <x:v>Classified cloud, data and edge services</x:v>
      </x:c>
      <x:c r="M163" s="51" t="str">
        <x:v>Deployable military AI workflows</x:v>
      </x:c>
      <x:c r="N163" s="51" t="str">
        <x:v>Military AI programmes depend on accredited cloud environments as much as on model or ontology vendors</x:v>
      </x:c>
      <x:c r="O163" s="51" t="str">
        <x:v>Informational; technological; enforcement</x:v>
      </x:c>
      <x:c r="P163" s="51" t="str">
        <x:v>S1</x:v>
      </x:c>
      <x:c r="Q163" s="51" t="str">
        <x:v>High</x:v>
      </x:c>
      <x:c r="R163" s="51" t="str">
        <x:v>SRC-161; SRC-031</x:v>
      </x:c>
      <x:c r="S163" s="51" t="str">
        <x:v>JWCC is intended to support mission systems across classification levels and tactical edge.</x:v>
      </x:c>
      <x:c r="T163" s="51" t="str">
        <x:v>A publicly documented exclusive Maven hosting arrangement with one provider.</x:v>
      </x:c>
      <x:c r="U163" s="51" t="str">
        <x:v>Specific workload placement and task orders remain partly classified.</x:v>
      </x:c>
      <x:c r="V163" s="51" t="str">
        <x:v>Active / verify workloads</x:v>
      </x:c>
      <x:c r="W163" s="51" t="str">
        <x:v>71;76</x:v>
      </x:c>
      <x:c r="X163" s="51" t="str">
        <x:v>2026-07-27</x:v>
      </x:c>
    </x:row>
    <x:row r="164">
      <x:c r="A164" s="51" t="str">
        <x:v>CLOUD-001</x:v>
      </x:c>
      <x:c r="B164" s="51" t="str">
        <x:v>Cloud, model and compute contracting</x:v>
      </x:c>
      <x:c r="C164" s="51" t="str">
        <x:v>ACT-MICROSOFT</x:v>
      </x:c>
      <x:c r="D164" s="51" t="str">
        <x:v>Microsoft</x:v>
      </x:c>
      <x:c r="E164" s="51" t="str">
        <x:v>ACT-OPENAI</x:v>
      </x:c>
      <x:c r="F164" s="51" t="str">
        <x:v>OpenAI</x:v>
      </x:c>
      <x:c r="G164" s="51" t="str">
        <x:v>Cloud and strategic partner → model company</x:v>
      </x:c>
      <x:c r="H164" s="51" t="str">
        <x:v>2025–2032</x:v>
      </x:c>
      <x:c r="I164" s="51" t="str">
        <x:v>Primary cloud, IP licence and distribution framework</x:v>
      </x:c>
      <x:c r="J164" s="51" t="str">
        <x:v>INS-222</x:v>
      </x:c>
      <x:c r="K164" s="51" t="str">
        <x:v>$250 billion incremental Azure services commitment</x:v>
      </x:c>
      <x:c r="L164" s="51" t="str">
        <x:v>Azure infrastructure, capital and commercial channels</x:v>
      </x:c>
      <x:c r="M164" s="51" t="str">
        <x:v>Model training, deployment and product distribution capacity</x:v>
      </x:c>
      <x:c r="N164" s="51" t="str">
        <x:v>A cloud partnership converts future model demand into contracted infrastructure revenue and platform dependence</x:v>
      </x:c>
      <x:c r="O164" s="51" t="str">
        <x:v>Financial; technological; relational</x:v>
      </x:c>
      <x:c r="P164" s="51" t="str">
        <x:v>E1</x:v>
      </x:c>
      <x:c r="Q164" s="51" t="str">
        <x:v>Very high</x:v>
      </x:c>
      <x:c r="R164" s="51" t="str">
        <x:v>SRC-400; SRC-401</x:v>
      </x:c>
      <x:c r="S164" s="51" t="str">
        <x:v>Microsoft remains OpenAI's primary cloud partner with continuing IP rights through 2032 under revised terms.</x:v>
      </x:c>
      <x:c r="T164" s="51" t="str">
        <x:v>Exclusive control of all OpenAI compute or perpetual exclusive model rights.</x:v>
      </x:c>
      <x:c r="U164" s="51" t="str">
        <x:v>OpenAI can use other clouds and Microsoft's licence became non-exclusive.</x:v>
      </x:c>
      <x:c r="V164" s="51" t="str">
        <x:v>Active and amended</x:v>
      </x:c>
      <x:c r="W164" s="51" t="str">
        <x:v>44;57</x:v>
      </x:c>
      <x:c r="X164" s="51" t="str">
        <x:v>2026-07-27</x:v>
      </x:c>
    </x:row>
    <x:row r="165">
      <x:c r="A165" s="51" t="str">
        <x:v>CLOUD-002</x:v>
      </x:c>
      <x:c r="B165" s="51" t="str">
        <x:v>Cloud, model and compute contracting</x:v>
      </x:c>
      <x:c r="C165" s="51" t="str">
        <x:v>ACT-OPENAI</x:v>
      </x:c>
      <x:c r="D165" s="51" t="str">
        <x:v>OpenAI</x:v>
      </x:c>
      <x:c r="E165" s="51" t="str">
        <x:v>ACT-MICROSOFT</x:v>
      </x:c>
      <x:c r="F165" s="51" t="str">
        <x:v>Microsoft</x:v>
      </x:c>
      <x:c r="G165" s="51" t="str">
        <x:v>Model company → cloud provider</x:v>
      </x:c>
      <x:c r="H165" s="51" t="str">
        <x:v>2025 onward</x:v>
      </x:c>
      <x:c r="I165" s="51" t="str">
        <x:v>Long-term cloud purchase commitment</x:v>
      </x:c>
      <x:c r="J165" s="51" t="str">
        <x:v>INS-222</x:v>
      </x:c>
      <x:c r="K165" s="51" t="str">
        <x:v>$250 billion incremental Azure services</x:v>
      </x:c>
      <x:c r="L165" s="51" t="str">
        <x:v>Model demand and contracted spend</x:v>
      </x:c>
      <x:c r="M165" s="51" t="str">
        <x:v>Large future Azure revenue and capacity requirement</x:v>
      </x:c>
      <x:c r="N165" s="51" t="str">
        <x:v>A model developer's demand becomes financeable cloud backlog before compute is delivered</x:v>
      </x:c>
      <x:c r="O165" s="51" t="str">
        <x:v>Financial; technological; informational</x:v>
      </x:c>
      <x:c r="P165" s="51" t="str">
        <x:v>E1</x:v>
      </x:c>
      <x:c r="Q165" s="51" t="str">
        <x:v>Very high</x:v>
      </x:c>
      <x:c r="R165" s="51" t="str">
        <x:v>SRC-400</x:v>
      </x:c>
      <x:c r="S165" s="51" t="str">
        <x:v>OpenAI contracted to purchase incremental Azure services.</x:v>
      </x:c>
      <x:c r="T165" s="51" t="str">
        <x:v>Immediate cash payment or exclusive future usage.</x:v>
      </x:c>
      <x:c r="U165" s="51" t="str">
        <x:v>Timing, utilisation and service delivery occur over years.</x:v>
      </x:c>
      <x:c r="V165" s="51" t="str">
        <x:v>Active commitment</x:v>
      </x:c>
      <x:c r="W165" s="51" t="str">
        <x:v>44;57</x:v>
      </x:c>
      <x:c r="X165" s="51" t="str">
        <x:v>2026-07-27</x:v>
      </x:c>
    </x:row>
    <x:row r="166">
      <x:c r="A166" s="51" t="str">
        <x:v>CLOUD-003</x:v>
      </x:c>
      <x:c r="B166" s="51" t="str">
        <x:v>Cloud, model and compute contracting</x:v>
      </x:c>
      <x:c r="C166" s="51" t="str">
        <x:v>ACT-OPENAI</x:v>
      </x:c>
      <x:c r="D166" s="51" t="str">
        <x:v>OpenAI</x:v>
      </x:c>
      <x:c r="E166" s="51" t="str">
        <x:v>ACT-ORACLE</x:v>
      </x:c>
      <x:c r="F166" s="51" t="str">
        <x:v>Oracle</x:v>
      </x:c>
      <x:c r="G166" s="51" t="str">
        <x:v>Model company → cloud/data-center provider</x:v>
      </x:c>
      <x:c r="H166" s="51" t="str">
        <x:v>2025 onward</x:v>
      </x:c>
      <x:c r="I166" s="51" t="str">
        <x:v>4.5GW Stargate capacity partnership</x:v>
      </x:c>
      <x:c r="J166" s="51" t="str">
        <x:v>INS-221</x:v>
      </x:c>
      <x:c r="K166" s="51" t="str">
        <x:v>4.5GW</x:v>
      </x:c>
      <x:c r="L166" s="51" t="str">
        <x:v>OpenAI model demand and Oracle infrastructure</x:v>
      </x:c>
      <x:c r="M166" s="51" t="str">
        <x:v>Additional US training and inference capacity</x:v>
      </x:c>
      <x:c r="N166" s="51" t="str">
        <x:v>OpenAI diversifies compute supply while Oracle converts long-term tenancy into infrastructure expansion</x:v>
      </x:c>
      <x:c r="O166" s="51" t="str">
        <x:v>Technological; financial; material</x:v>
      </x:c>
      <x:c r="P166" s="51" t="str">
        <x:v>E1</x:v>
      </x:c>
      <x:c r="Q166" s="51" t="str">
        <x:v>Very high</x:v>
      </x:c>
      <x:c r="R166" s="51" t="str">
        <x:v>SRC-396; SRC-407</x:v>
      </x:c>
      <x:c r="S166" s="51" t="str">
        <x:v>OpenAI and Oracle agreed to develop 4.5GW of additional Stargate capacity.</x:v>
      </x:c>
      <x:c r="T166" s="51" t="str">
        <x:v>All capacity being operational today or Oracle owning OpenAI models.</x:v>
      </x:c>
      <x:c r="U166" s="51" t="str">
        <x:v>Delivery is staged across sites and years.</x:v>
      </x:c>
      <x:c r="V166" s="51" t="str">
        <x:v>Active / staged</x:v>
      </x:c>
      <x:c r="W166" s="51" t="str">
        <x:v>44;57</x:v>
      </x:c>
      <x:c r="X166" s="51" t="str">
        <x:v>2026-07-27</x:v>
      </x:c>
    </x:row>
    <x:row r="167">
      <x:c r="A167" s="51" t="str">
        <x:v>CLOUD-004</x:v>
      </x:c>
      <x:c r="B167" s="51" t="str">
        <x:v>Cloud, model and compute contracting</x:v>
      </x:c>
      <x:c r="C167" s="51" t="str">
        <x:v>ACT-OPENAISTARGATE</x:v>
      </x:c>
      <x:c r="D167" s="51" t="str">
        <x:v>OpenAI Stargate</x:v>
      </x:c>
      <x:c r="E167" s="51" t="str">
        <x:v>ACT-STARGATEDATACENTEROPERAT</x:v>
      </x:c>
      <x:c r="F167" s="51" t="str">
        <x:v>Stargate data center operators</x:v>
      </x:c>
      <x:c r="G167" s="51" t="str">
        <x:v>Platform → operators</x:v>
      </x:c>
      <x:c r="H167" s="51" t="str">
        <x:v>2025 onward</x:v>
      </x:c>
      <x:c r="I167" s="51" t="str">
        <x:v>Site development and operations agreements</x:v>
      </x:c>
      <x:c r="J167" s="51" t="str">
        <x:v>INS-220; INS-221</x:v>
      </x:c>
      <x:c r="K167" s="51" t="str">
        <x:v>Multi-site, multi-gigawatt</x:v>
      </x:c>
      <x:c r="L167" s="51" t="str">
        <x:v>Capital, land, equipment and power plans</x:v>
      </x:c>
      <x:c r="M167" s="51" t="str">
        <x:v>Operational AI data-center capacity</x:v>
      </x:c>
      <x:c r="N167" s="51" t="str">
        <x:v>The model company coordinates capacity without necessarily owning each property, utility or operating entity</x:v>
      </x:c>
      <x:c r="O167" s="51" t="str">
        <x:v>Technological; material; financial</x:v>
      </x:c>
      <x:c r="P167" s="51" t="str">
        <x:v>E1</x:v>
      </x:c>
      <x:c r="Q167" s="51" t="str">
        <x:v>High</x:v>
      </x:c>
      <x:c r="R167" s="51" t="str">
        <x:v>SRC-394; SRC-397; SRC-398; SRC-407</x:v>
      </x:c>
      <x:c r="S167" s="51" t="str">
        <x:v>Stargate uses multiple developers and operators across US sites.</x:v>
      </x:c>
      <x:c r="T167" s="51" t="str">
        <x:v>Unified ownership of every campus by OpenAI.</x:v>
      </x:c>
      <x:c r="U167" s="51" t="str">
        <x:v>Site ownership and operator structures differ.</x:v>
      </x:c>
      <x:c r="V167" s="51" t="str">
        <x:v>Active</x:v>
      </x:c>
      <x:c r="W167" s="51" t="str">
        <x:v>44;57</x:v>
      </x:c>
      <x:c r="X167" s="51" t="str">
        <x:v>2026-07-27</x:v>
      </x:c>
    </x:row>
    <x:row r="168">
      <x:c r="A168" s="51" t="str">
        <x:v>CLOUD-005</x:v>
      </x:c>
      <x:c r="B168" s="51" t="str">
        <x:v>Cloud, model and compute contracting</x:v>
      </x:c>
      <x:c r="C168" s="51" t="str">
        <x:v>ACT-ANTHROPIC</x:v>
      </x:c>
      <x:c r="D168" s="51" t="str">
        <x:v>Anthropic</x:v>
      </x:c>
      <x:c r="E168" s="51" t="str">
        <x:v>ACT-AMAZONWEBSERVICES</x:v>
      </x:c>
      <x:c r="F168" s="51" t="str">
        <x:v>Amazon Web Services</x:v>
      </x:c>
      <x:c r="G168" s="51" t="str">
        <x:v>Model company → primary cloud partner</x:v>
      </x:c>
      <x:c r="H168" s="51" t="str">
        <x:v>2024–2026</x:v>
      </x:c>
      <x:c r="I168" s="51" t="str">
        <x:v>Investment, training and capacity agreement</x:v>
      </x:c>
      <x:c r="J168" s="51" t="str">
        <x:v>INS-228</x:v>
      </x:c>
      <x:c r="K168" s="51" t="str">
        <x:v>Amazon total investment $8 billion; up to 5GW additional capacity</x:v>
      </x:c>
      <x:c r="L168" s="51" t="str">
        <x:v>Claude demand, model development and AWS silicon</x:v>
      </x:c>
      <x:c r="M168" s="51" t="str">
        <x:v>Training and inference capacity on AWS</x:v>
      </x:c>
      <x:c r="N168" s="51" t="str">
        <x:v>Minority investment and cloud contracting align model growth with AWS infrastructure economics</x:v>
      </x:c>
      <x:c r="O168" s="51" t="str">
        <x:v>Financial; technological; relational</x:v>
      </x:c>
      <x:c r="P168" s="51" t="str">
        <x:v>E1</x:v>
      </x:c>
      <x:c r="Q168" s="51" t="str">
        <x:v>Very high</x:v>
      </x:c>
      <x:c r="R168" s="51" t="str">
        <x:v>SRC-412; SRC-414</x:v>
      </x:c>
      <x:c r="S168" s="51" t="str">
        <x:v>Amazon is a minority investor and Anthropic's primary cloud and training partner under the cited agreements.</x:v>
      </x:c>
      <x:c r="T168" s="51" t="str">
        <x:v>Amazon control of Anthropic or exclusivity across all clouds.</x:v>
      </x:c>
      <x:c r="U168" s="51" t="str">
        <x:v>Anthropic also uses Google Cloud and Microsoft platforms.</x:v>
      </x:c>
      <x:c r="V168" s="51" t="str">
        <x:v>Active and expanding</x:v>
      </x:c>
      <x:c r="W168" s="51" t="str">
        <x:v>44;57</x:v>
      </x:c>
      <x:c r="X168" s="51" t="str">
        <x:v>2026-07-27</x:v>
      </x:c>
    </x:row>
    <x:row r="169">
      <x:c r="A169" s="51" t="str">
        <x:v>CLOUD-006</x:v>
      </x:c>
      <x:c r="B169" s="51" t="str">
        <x:v>Cloud, model and compute contracting</x:v>
      </x:c>
      <x:c r="C169" s="51" t="str">
        <x:v>ACT-AWSTRAINIUM</x:v>
      </x:c>
      <x:c r="D169" s="51" t="str">
        <x:v>AWS Trainium</x:v>
      </x:c>
      <x:c r="E169" s="51" t="str">
        <x:v>ACT-ANTHROPIC</x:v>
      </x:c>
      <x:c r="F169" s="51" t="str">
        <x:v>Anthropic</x:v>
      </x:c>
      <x:c r="G169" s="51" t="str">
        <x:v>Custom accelerator → model developer</x:v>
      </x:c>
      <x:c r="H169" s="51" t="str">
        <x:v>2025–2026</x:v>
      </x:c>
      <x:c r="I169" s="51" t="str">
        <x:v>Trainium2/3 capacity supply</x:v>
      </x:c>
      <x:c r="J169" s="51" t="str">
        <x:v>INS-237; INS-228</x:v>
      </x:c>
      <x:c r="K169" s="51" t="str">
        <x:v>Nearly 1GW planned by end-2026 within broader agreement</x:v>
      </x:c>
      <x:c r="L169" s="51" t="str">
        <x:v>Amazon custom silicon and data-center capacity</x:v>
      </x:c>
      <x:c r="M169" s="51" t="str">
        <x:v>Claude training and deployment compute</x:v>
      </x:c>
      <x:c r="N169" s="51" t="str">
        <x:v>A cloud provider can internalise accelerator design and use a major model customer to validate utilisation</x:v>
      </x:c>
      <x:c r="O169" s="51" t="str">
        <x:v>Technological; financial; informational</x:v>
      </x:c>
      <x:c r="P169" s="51" t="str">
        <x:v>E1</x:v>
      </x:c>
      <x:c r="Q169" s="51" t="str">
        <x:v>High</x:v>
      </x:c>
      <x:c r="R169" s="51" t="str">
        <x:v>SRC-412; SRC-414</x:v>
      </x:c>
      <x:c r="S169" s="51" t="str">
        <x:v>Anthropic plans substantial use of Trainium capacity.</x:v>
      </x:c>
      <x:c r="T169" s="51" t="str">
        <x:v>Replacement of GPUs or exclusive use for all Claude workloads.</x:v>
      </x:c>
      <x:c r="U169" s="51" t="str">
        <x:v>Anthropic uses heterogeneous compute.</x:v>
      </x:c>
      <x:c r="V169" s="51" t="str">
        <x:v>Active and expanding</x:v>
      </x:c>
      <x:c r="W169" s="51" t="str">
        <x:v>44;57</x:v>
      </x:c>
      <x:c r="X169" s="51" t="str">
        <x:v>2026-07-27</x:v>
      </x:c>
    </x:row>
    <x:row r="170">
      <x:c r="A170" s="51" t="str">
        <x:v>CLOUD-007</x:v>
      </x:c>
      <x:c r="B170" s="51" t="str">
        <x:v>Cloud, model and compute contracting</x:v>
      </x:c>
      <x:c r="C170" s="51" t="str">
        <x:v>ACT-GOOGLEGOOGLECLOUD</x:v>
      </x:c>
      <x:c r="D170" s="51" t="str">
        <x:v>Google / Google Cloud</x:v>
      </x:c>
      <x:c r="E170" s="51" t="str">
        <x:v>ACT-ANTHROPIC</x:v>
      </x:c>
      <x:c r="F170" s="51" t="str">
        <x:v>Anthropic</x:v>
      </x:c>
      <x:c r="G170" s="51" t="str">
        <x:v>Cloud provider → model developer</x:v>
      </x:c>
      <x:c r="H170" s="51" t="str">
        <x:v>2025–2027</x:v>
      </x:c>
      <x:c r="I170" s="51" t="str">
        <x:v>TPU and cloud-services agreement</x:v>
      </x:c>
      <x:c r="J170" s="51" t="str">
        <x:v>INS-229; INS-236</x:v>
      </x:c>
      <x:c r="K170" s="51" t="str">
        <x:v>Multiple gigawatts; five gigawatts referenced in 2026 update</x:v>
      </x:c>
      <x:c r="L170" s="51" t="str">
        <x:v>Google TPUs and cloud services</x:v>
      </x:c>
      <x:c r="M170" s="51" t="str">
        <x:v>Claude training and deployment capacity</x:v>
      </x:c>
      <x:c r="N170" s="51" t="str">
        <x:v>Google monetises proprietary accelerator capacity through an external frontier-model customer</x:v>
      </x:c>
      <x:c r="O170" s="51" t="str">
        <x:v>Technological; financial; relational</x:v>
      </x:c>
      <x:c r="P170" s="51" t="str">
        <x:v>E1</x:v>
      </x:c>
      <x:c r="Q170" s="51" t="str">
        <x:v>Very high</x:v>
      </x:c>
      <x:c r="R170" s="51" t="str">
        <x:v>SRC-413; SRC-415</x:v>
      </x:c>
      <x:c r="S170" s="51" t="str">
        <x:v>Anthropic expanded Google TPU use and signed a multi-gigawatt agreement.</x:v>
      </x:c>
      <x:c r="T170" s="51" t="str">
        <x:v>Google ownership of Anthropic or status as Anthropic's only cloud.</x:v>
      </x:c>
      <x:c r="U170" s="51" t="str">
        <x:v>Anthropic identifies AWS as primary training partner while using multiple providers.</x:v>
      </x:c>
      <x:c r="V170" s="51" t="str">
        <x:v>Contracted / expanding</x:v>
      </x:c>
      <x:c r="W170" s="51" t="str">
        <x:v>44;57</x:v>
      </x:c>
      <x:c r="X170" s="51" t="str">
        <x:v>2026-07-27</x:v>
      </x:c>
    </x:row>
    <x:row r="171">
      <x:c r="A171" s="51" t="str">
        <x:v>CLOUD-008</x:v>
      </x:c>
      <x:c r="B171" s="51" t="str">
        <x:v>Cloud, model and compute contracting</x:v>
      </x:c>
      <x:c r="C171" s="51" t="str">
        <x:v>ACT-BROADCOM</x:v>
      </x:c>
      <x:c r="D171" s="51" t="str">
        <x:v>Broadcom</x:v>
      </x:c>
      <x:c r="E171" s="51" t="str">
        <x:v>ACT-GOOGLETPUS</x:v>
      </x:c>
      <x:c r="F171" s="51" t="str">
        <x:v>Google TPUs</x:v>
      </x:c>
      <x:c r="G171" s="51" t="str">
        <x:v>Custom-silicon partner → accelerator platform</x:v>
      </x:c>
      <x:c r="H171" s="51" t="str">
        <x:v>Ongoing</x:v>
      </x:c>
      <x:c r="I171" s="51" t="str">
        <x:v>Design and supply-chain collaboration</x:v>
      </x:c>
      <x:c r="J171" s="51" t="str">
        <x:v>INS-229; INS-236</x:v>
      </x:c>
      <x:c r="K171" s="51" t="str">
        <x:v>Multi-generation</x:v>
      </x:c>
      <x:c r="L171" s="51" t="str">
        <x:v>Broadcom custom silicon and networking expertise</x:v>
      </x:c>
      <x:c r="M171" s="51" t="str">
        <x:v>Next-generation TPU capacity</x:v>
      </x:c>
      <x:c r="N171" s="51" t="str">
        <x:v>Cloud-owned accelerators depend on external semiconductor design and manufacturing ecosystems</x:v>
      </x:c>
      <x:c r="O171" s="51" t="str">
        <x:v>Technological; material; relational</x:v>
      </x:c>
      <x:c r="P171" s="51" t="str">
        <x:v>E1</x:v>
      </x:c>
      <x:c r="Q171" s="51" t="str">
        <x:v>High</x:v>
      </x:c>
      <x:c r="R171" s="51" t="str">
        <x:v>SRC-413</x:v>
      </x:c>
      <x:c r="S171" s="51" t="str">
        <x:v>Anthropic's 2026 release identifies Google and Broadcom in the next-generation TPU capacity agreement.</x:v>
      </x:c>
      <x:c r="T171" s="51" t="str">
        <x:v>Full disclosure of Broadcom's specific design scope or manufacturing economics.</x:v>
      </x:c>
      <x:c r="U171" s="51" t="str">
        <x:v>Technical details remain proprietary.</x:v>
      </x:c>
      <x:c r="V171" s="51" t="str">
        <x:v>Active</x:v>
      </x:c>
      <x:c r="W171" s="51" t="str">
        <x:v>42;44;57</x:v>
      </x:c>
      <x:c r="X171" s="51" t="str">
        <x:v>2026-07-27</x:v>
      </x:c>
    </x:row>
    <x:row r="172">
      <x:c r="A172" s="51" t="str">
        <x:v>CLOUD-009</x:v>
      </x:c>
      <x:c r="B172" s="51" t="str">
        <x:v>Cloud, model and compute contracting</x:v>
      </x:c>
      <x:c r="C172" s="51" t="str">
        <x:v>ACT-COREWEAVE</x:v>
      </x:c>
      <x:c r="D172" s="51" t="str">
        <x:v>CoreWeave</x:v>
      </x:c>
      <x:c r="E172" s="51" t="str">
        <x:v>ACT-MICROSOFT</x:v>
      </x:c>
      <x:c r="F172" s="51" t="str">
        <x:v>Microsoft</x:v>
      </x:c>
      <x:c r="G172" s="51" t="str">
        <x:v>AI cloud provider → customer</x:v>
      </x:c>
      <x:c r="H172" s="51" t="str">
        <x:v>2025</x:v>
      </x:c>
      <x:c r="I172" s="51" t="str">
        <x:v>Large customer contract and service delivery</x:v>
      </x:c>
      <x:c r="J172" s="51" t="str">
        <x:v>INS-226</x:v>
      </x:c>
      <x:c r="K172" s="51" t="str">
        <x:v>Approximately 67% of CoreWeave 2025 revenue from Microsoft</x:v>
      </x:c>
      <x:c r="L172" s="51" t="str">
        <x:v>GPU cloud capacity</x:v>
      </x:c>
      <x:c r="M172" s="51" t="str">
        <x:v>Cloud service revenue and customer concentration</x:v>
      </x:c>
      <x:c r="N172" s="51" t="str">
        <x:v>A specialised cloud can scale rapidly through one hyperscaler contract while assuming concentration risk</x:v>
      </x:c>
      <x:c r="O172" s="51" t="str">
        <x:v>Financial; technological; relational</x:v>
      </x:c>
      <x:c r="P172" s="51" t="str">
        <x:v>E1</x:v>
      </x:c>
      <x:c r="Q172" s="51" t="str">
        <x:v>Very high</x:v>
      </x:c>
      <x:c r="R172" s="51" t="str">
        <x:v>SRC-408</x:v>
      </x:c>
      <x:c r="S172" s="51" t="str">
        <x:v>CoreWeave reported 67% of 2025 revenue from Microsoft.</x:v>
      </x:c>
      <x:c r="T172" s="51" t="str">
        <x:v>Microsoft ownership or permanent dependence.</x:v>
      </x:c>
      <x:c r="U172" s="51" t="str">
        <x:v>Customer mix can change and contracts have finite terms.</x:v>
      </x:c>
      <x:c r="V172" s="51" t="str">
        <x:v>Active / concentrated</x:v>
      </x:c>
      <x:c r="W172" s="51" t="str">
        <x:v>44;57</x:v>
      </x:c>
      <x:c r="X172" s="51" t="str">
        <x:v>2026-07-27</x:v>
      </x:c>
    </x:row>
    <x:row r="173">
      <x:c r="A173" s="51" t="str">
        <x:v>CLOUD-010</x:v>
      </x:c>
      <x:c r="B173" s="51" t="str">
        <x:v>Cloud, model and compute contracting</x:v>
      </x:c>
      <x:c r="C173" s="51" t="str">
        <x:v>ACT-NVIDIA</x:v>
      </x:c>
      <x:c r="D173" s="51" t="str">
        <x:v>NVIDIA</x:v>
      </x:c>
      <x:c r="E173" s="51" t="str">
        <x:v>ACT-COREWEAVE</x:v>
      </x:c>
      <x:c r="F173" s="51" t="str">
        <x:v>CoreWeave</x:v>
      </x:c>
      <x:c r="G173" s="51" t="str">
        <x:v>Chip platform → specialised cloud</x:v>
      </x:c>
      <x:c r="H173" s="51" t="str">
        <x:v>Ongoing</x:v>
      </x:c>
      <x:c r="I173" s="51" t="str">
        <x:v>GPU and networking supply ecosystem</x:v>
      </x:c>
      <x:c r="J173" s="51" t="str">
        <x:v>INS-213; INS-226</x:v>
      </x:c>
      <x:c r="K173" s="51" t="str">
        <x:v>Large fleet across 49 data centers</x:v>
      </x:c>
      <x:c r="L173" s="51" t="str">
        <x:v>Accelerators, InfiniBand and software</x:v>
      </x:c>
      <x:c r="M173" s="51" t="str">
        <x:v>AI cloud compute service</x:v>
      </x:c>
      <x:c r="N173" s="51" t="str">
        <x:v>A neocloud turns scarce accelerators into rentable capacity for model developers</x:v>
      </x:c>
      <x:c r="O173" s="51" t="str">
        <x:v>Technological; financial; material</x:v>
      </x:c>
      <x:c r="P173" s="51" t="str">
        <x:v>E1</x:v>
      </x:c>
      <x:c r="Q173" s="51" t="str">
        <x:v>High</x:v>
      </x:c>
      <x:c r="R173" s="51" t="str">
        <x:v>SRC-408; SRC-410; SRC-411</x:v>
      </x:c>
      <x:c r="S173" s="51" t="str">
        <x:v>CoreWeave operates NVIDIA-based GPU cloud infrastructure.</x:v>
      </x:c>
      <x:c r="T173" s="51" t="str">
        <x:v>NVIDIA ownership or control of CoreWeave customer allocation.</x:v>
      </x:c>
      <x:c r="U173" s="51" t="str">
        <x:v>CoreWeave finances and operates its own platform subject to supplier dependence.</x:v>
      </x:c>
      <x:c r="V173" s="51" t="str">
        <x:v>Active</x:v>
      </x:c>
      <x:c r="W173" s="51" t="str">
        <x:v>44;57</x:v>
      </x:c>
      <x:c r="X173" s="51" t="str">
        <x:v>2026-07-27</x:v>
      </x:c>
    </x:row>
    <x:row r="174">
      <x:c r="A174" s="51" t="str">
        <x:v>COLL-001</x:v>
      </x:c>
      <x:c r="B174" s="51" t="str">
        <x:v>Secured credit and priority</x:v>
      </x:c>
      <x:c r="C174" s="51" t="str">
        <x:v>ACT-UNIFORMLAWCOMMISSION</x:v>
      </x:c>
      <x:c r="D174" s="51" t="str">
        <x:v>Uniform Law Commission</x:v>
      </x:c>
      <x:c r="E174" s="51" t="str">
        <x:v>ACT-UCCARTICLE9</x:v>
      </x:c>
      <x:c r="F174" s="51" t="str">
        <x:v>UCC Article 9</x:v>
      </x:c>
      <x:c r="G174" s="51" t="str">
        <x:v>Drafting body → legal framework</x:v>
      </x:c>
      <x:c r="H174" s="51" t="str">
        <x:v>Ongoing</x:v>
      </x:c>
      <x:c r="I174" s="51" t="str">
        <x:v>Uniform-law drafting and revision</x:v>
      </x:c>
      <x:c r="J174" s="51" t="str">
        <x:v>INS-119</x:v>
      </x:c>
      <x:c r="K174" s="51" t="str">
        <x:v>Adopted across US states with local enactments</x:v>
      </x:c>
      <x:c r="L174" s="51" t="str">
        <x:v>Commercial-law expertise and stakeholder input</x:v>
      </x:c>
      <x:c r="M174" s="51" t="str">
        <x:v>Model secured-transactions rules</x:v>
      </x:c>
      <x:c r="N174" s="51" t="str">
        <x:v>A private-public drafting institution standardises collateral law across state jurisdictions</x:v>
      </x:c>
      <x:c r="O174" s="51" t="str">
        <x:v>Institutional; financial; ownership</x:v>
      </x:c>
      <x:c r="P174" s="51" t="str">
        <x:v>E1</x:v>
      </x:c>
      <x:c r="Q174" s="51" t="str">
        <x:v>Very high</x:v>
      </x:c>
      <x:c r="R174" s="51" t="str">
        <x:v>SRC-230</x:v>
      </x:c>
      <x:c r="S174" s="51" t="str">
        <x:v>ULC identifies Article 9 as the framework for secured transactions in personal property.</x:v>
      </x:c>
      <x:c r="T174" s="51" t="str">
        <x:v>Direct federal law or identical state text in every detail.</x:v>
      </x:c>
      <x:c r="U174" s="51" t="str">
        <x:v>States enact and may modify uniform provisions.</x:v>
      </x:c>
      <x:c r="V174" s="51" t="str">
        <x:v>Active</x:v>
      </x:c>
      <x:c r="W174" s="51" t="str">
        <x:v>47;55;57</x:v>
      </x:c>
      <x:c r="X174" s="51" t="str">
        <x:v>2026-07-27</x:v>
      </x:c>
    </x:row>
    <x:row r="175">
      <x:c r="A175" s="51" t="str">
        <x:v>COLL-002</x:v>
      </x:c>
      <x:c r="B175" s="51" t="str">
        <x:v>Secured credit and priority</x:v>
      </x:c>
      <x:c r="C175" s="51" t="str">
        <x:v>ACT-UCCARTICLE9</x:v>
      </x:c>
      <x:c r="D175" s="51" t="str">
        <x:v>UCC Article 9</x:v>
      </x:c>
      <x:c r="E175" s="51" t="str">
        <x:v>ACT-SECUREDCREDITORS</x:v>
      </x:c>
      <x:c r="F175" s="51" t="str">
        <x:v>Secured creditors</x:v>
      </x:c>
      <x:c r="G175" s="51" t="str">
        <x:v>Legal framework → creditors</x:v>
      </x:c>
      <x:c r="H175" s="51" t="str">
        <x:v>Ongoing</x:v>
      </x:c>
      <x:c r="I175" s="51" t="str">
        <x:v>Attachment, perfection and priority rules</x:v>
      </x:c>
      <x:c r="J175" s="51" t="str">
        <x:v>INS-119</x:v>
      </x:c>
      <x:c r="K175" s="51" t="str">
        <x:v>Personal-property collateral</x:v>
      </x:c>
      <x:c r="L175" s="51" t="str">
        <x:v>Security agreement, value and debtor rights</x:v>
      </x:c>
      <x:c r="M175" s="51" t="str">
        <x:v>Enforceable priority interest</x:v>
      </x:c>
      <x:c r="N175" s="51" t="str">
        <x:v>Commercial law converts a private credit contract into a property-like claim against collateral</x:v>
      </x:c>
      <x:c r="O175" s="51" t="str">
        <x:v>Financial; ownership; enforcement</x:v>
      </x:c>
      <x:c r="P175" s="51" t="str">
        <x:v>E1</x:v>
      </x:c>
      <x:c r="Q175" s="51" t="str">
        <x:v>Very high</x:v>
      </x:c>
      <x:c r="R175" s="51" t="str">
        <x:v>SRC-230</x:v>
      </x:c>
      <x:c r="S175" s="51" t="str">
        <x:v>Article 9 governs security interests and priority in personal property.</x:v>
      </x:c>
      <x:c r="T175" s="51" t="str">
        <x:v>Guaranteed recovery, priority over every claim or exemption from bankruptcy rules.</x:v>
      </x:c>
      <x:c r="U175" s="51" t="str">
        <x:v>Perfection, competing liens and collateral value determine outcomes.</x:v>
      </x:c>
      <x:c r="V175" s="51" t="str">
        <x:v>Active</x:v>
      </x:c>
      <x:c r="W175" s="51" t="str">
        <x:v>47;55;57</x:v>
      </x:c>
      <x:c r="X175" s="51" t="str">
        <x:v>2026-07-27</x:v>
      </x:c>
    </x:row>
    <x:row r="176">
      <x:c r="A176" s="51" t="str">
        <x:v>COLL-003</x:v>
      </x:c>
      <x:c r="B176" s="51" t="str">
        <x:v>Secured credit and priority</x:v>
      </x:c>
      <x:c r="C176" s="51" t="str">
        <x:v>ACT-STATEUCCFILINGOFFICES</x:v>
      </x:c>
      <x:c r="D176" s="51" t="str">
        <x:v>State UCC filing offices</x:v>
      </x:c>
      <x:c r="E176" s="51" t="str">
        <x:v>ACT-GOVERNINGINSTITUTIONALNE</x:v>
      </x:c>
      <x:c r="F176" s="51" t="str">
        <x:v>Governing institutional networks</x:v>
      </x:c>
      <x:c r="G176" s="51" t="str">
        <x:v>Registry → market participants</x:v>
      </x:c>
      <x:c r="H176" s="51" t="str">
        <x:v>Ongoing</x:v>
      </x:c>
      <x:c r="I176" s="51" t="str">
        <x:v>Financing-statement filing and search</x:v>
      </x:c>
      <x:c r="J176" s="51" t="str">
        <x:v>INS-119</x:v>
      </x:c>
      <x:c r="K176" s="51" t="str">
        <x:v>765,136 Delaware UCC transactions in 2025</x:v>
      </x:c>
      <x:c r="L176" s="51" t="str">
        <x:v>Debtor name, secured party and collateral indication</x:v>
      </x:c>
      <x:c r="M176" s="51" t="str">
        <x:v>Public notice of possible security interest</x:v>
      </x:c>
      <x:c r="N176" s="51" t="str">
        <x:v>A filing system converts private collateral claims into searchable priority signals</x:v>
      </x:c>
      <x:c r="O176" s="51" t="str">
        <x:v>Informational; financial; institutional</x:v>
      </x:c>
      <x:c r="P176" s="51" t="str">
        <x:v>E1</x:v>
      </x:c>
      <x:c r="Q176" s="51" t="str">
        <x:v>Very high</x:v>
      </x:c>
      <x:c r="R176" s="51" t="str">
        <x:v>SRC-221; SRC-230</x:v>
      </x:c>
      <x:c r="S176" s="51" t="str">
        <x:v>State offices accept financing statements and searches; Delaware reported large UCC volumes.</x:v>
      </x:c>
      <x:c r="T176" s="51" t="str">
        <x:v>Proof of debt validity, exact collateral ownership or absence of hidden defects.</x:v>
      </x:c>
      <x:c r="U176" s="51" t="str">
        <x:v>Filings are notices and may be broad, stale or contested.</x:v>
      </x:c>
      <x:c r="V176" s="51" t="str">
        <x:v>Active</x:v>
      </x:c>
      <x:c r="W176" s="51" t="str">
        <x:v>47;55;57</x:v>
      </x:c>
      <x:c r="X176" s="51" t="str">
        <x:v>2026-07-27</x:v>
      </x:c>
    </x:row>
    <x:row r="177">
      <x:c r="A177" s="51" t="str">
        <x:v>COLL-004</x:v>
      </x:c>
      <x:c r="B177" s="51" t="str">
        <x:v>Secured credit and priority</x:v>
      </x:c>
      <x:c r="C177" s="51" t="str">
        <x:v>ACT-SECUREDCREDITORS</x:v>
      </x:c>
      <x:c r="D177" s="51" t="str">
        <x:v>Secured creditors</x:v>
      </x:c>
      <x:c r="E177" s="51" t="str">
        <x:v>ACT-UNSECUREDCREDITORS</x:v>
      </x:c>
      <x:c r="F177" s="51" t="str">
        <x:v>Unsecured creditors</x:v>
      </x:c>
      <x:c r="G177" s="51" t="str">
        <x:v>Creditor class → creditor class</x:v>
      </x:c>
      <x:c r="H177" s="51" t="str">
        <x:v>Default / insolvency</x:v>
      </x:c>
      <x:c r="I177" s="51" t="str">
        <x:v>Priority relationship</x:v>
      </x:c>
      <x:c r="J177" s="51" t="str">
        <x:v>INS-119; INS-120</x:v>
      </x:c>
      <x:c r="K177" s="51" t="str">
        <x:v>Case-specific</x:v>
      </x:c>
      <x:c r="L177" s="51" t="str">
        <x:v>Collateral value and perfected lien</x:v>
      </x:c>
      <x:c r="M177" s="51" t="str">
        <x:v>Earlier recovery claim relative to unsecured pool</x:v>
      </x:c>
      <x:c r="N177" s="51" t="str">
        <x:v>Collateral law shifts loss allocation by removing encumbered assets from the general creditor pool</x:v>
      </x:c>
      <x:c r="O177" s="51" t="str">
        <x:v>Financial; ownership; distributional</x:v>
      </x:c>
      <x:c r="P177" s="51" t="str">
        <x:v>S1</x:v>
      </x:c>
      <x:c r="Q177" s="51" t="str">
        <x:v>Very high</x:v>
      </x:c>
      <x:c r="R177" s="51" t="str">
        <x:v>SRC-230; SRC-231</x:v>
      </x:c>
      <x:c r="S177" s="51" t="str">
        <x:v>Secured claims generally attach to specified collateral while unsecured claims share residual value.</x:v>
      </x:c>
      <x:c r="T177" s="51" t="str">
        <x:v>Full payment to secured creditors or zero recovery for unsecured creditors.</x:v>
      </x:c>
      <x:c r="U177" s="51" t="str">
        <x:v>Adequate protection, valuation, avoidance and plan treatment can alter outcomes.</x:v>
      </x:c>
      <x:c r="V177" s="51" t="str">
        <x:v>Active mechanism</x:v>
      </x:c>
      <x:c r="W177" s="51" t="str">
        <x:v>47;55;57</x:v>
      </x:c>
      <x:c r="X177" s="51" t="str">
        <x:v>2026-07-27</x:v>
      </x:c>
    </x:row>
    <x:row r="178">
      <x:c r="A178" s="51" t="str">
        <x:v>COM-001</x:v>
      </x:c>
      <x:c r="B178" s="51" t="str">
        <x:v>Commodity and logistics infrastructure</x:v>
      </x:c>
      <x:c r="C178" s="51" t="str">
        <x:v>ACT-VITOL</x:v>
      </x:c>
      <x:c r="D178" s="51" t="str">
        <x:v>Vitol</x:v>
      </x:c>
      <x:c r="E178" s="51" t="str">
        <x:v>ACT-GOVERNINGINSTITUTIONALNE</x:v>
      </x:c>
      <x:c r="F178" s="51" t="str">
        <x:v>Governing institutional networks</x:v>
      </x:c>
      <x:c r="G178" s="51" t="str">
        <x:v>Trader → global market</x:v>
      </x:c>
      <x:c r="H178" s="51" t="str">
        <x:v>2025</x:v>
      </x:c>
      <x:c r="I178" s="51" t="str">
        <x:v>Physical commodity trading and asset portfolio</x:v>
      </x:c>
      <x:c r="J178" s="51" t="str">
        <x:v>INS-070</x:v>
      </x:c>
      <x:c r="K178" s="51" t="str">
        <x:v>8m barrels/day; $343bn turnover</x:v>
      </x:c>
      <x:c r="L178" s="51" t="str">
        <x:v>Producer supply, storage, shipping, finance and market information</x:v>
      </x:c>
      <x:c r="M178" s="51" t="str">
        <x:v>Delivered oil, products and LNG across jurisdictions</x:v>
      </x:c>
      <x:c r="N178" s="51" t="str">
        <x:v>A trader balance sheet and logistics network convert fragmented physical supply into reliable market access</x:v>
      </x:c>
      <x:c r="O178" s="51" t="str">
        <x:v>Material; financial; informational; relational</x:v>
      </x:c>
      <x:c r="P178" s="51" t="str">
        <x:v>E1</x:v>
      </x:c>
      <x:c r="Q178" s="51" t="str">
        <x:v>High</x:v>
      </x:c>
      <x:c r="R178" s="51" t="str">
        <x:v>SRC-131</x:v>
      </x:c>
      <x:c r="S178" s="51" t="str">
        <x:v>Vitol reported enormous physical delivery and turnover scale.</x:v>
      </x:c>
      <x:c r="T178" s="51" t="str">
        <x:v>Control of global oil prices or ownership of all traded commodities.</x:v>
      </x:c>
      <x:c r="U178" s="51" t="str">
        <x:v>Commodity markets include producers, states, refiners, exchanges and competitors.</x:v>
      </x:c>
      <x:c r="V178" s="51" t="str">
        <x:v>Active</x:v>
      </x:c>
      <x:c r="W178" s="51" t="str">
        <x:v>40;57</x:v>
      </x:c>
      <x:c r="X178" s="51" t="str">
        <x:v>2026-07-27</x:v>
      </x:c>
    </x:row>
    <x:row r="179">
      <x:c r="A179" s="51" t="str">
        <x:v>COM-002</x:v>
      </x:c>
      <x:c r="B179" s="51" t="str">
        <x:v>Commodity and logistics infrastructure</x:v>
      </x:c>
      <x:c r="C179" s="51" t="str">
        <x:v>ACT-TRAFIGURA</x:v>
      </x:c>
      <x:c r="D179" s="51" t="str">
        <x:v>Trafigura</x:v>
      </x:c>
      <x:c r="E179" s="51" t="str">
        <x:v>ACT-GOVERNINGINSTITUTIONALNE</x:v>
      </x:c>
      <x:c r="F179" s="51" t="str">
        <x:v>Governing institutional networks</x:v>
      </x:c>
      <x:c r="G179" s="51" t="str">
        <x:v>Trader → bank syndicates</x:v>
      </x:c>
      <x:c r="H179" s="51" t="str">
        <x:v>2024–2025</x:v>
      </x:c>
      <x:c r="I179" s="51" t="str">
        <x:v>Revolving credit and trade-finance relationship</x:v>
      </x:c>
      <x:c r="J179" s="51" t="str">
        <x:v>INS-069</x:v>
      </x:c>
      <x:c r="K179" s="51" t="str">
        <x:v>Multi-billion-dollar facility</x:v>
      </x:c>
      <x:c r="L179" s="51" t="str">
        <x:v>Bank credit, inventories and receivables</x:v>
      </x:c>
      <x:c r="M179" s="51" t="str">
        <x:v>Working capital for physical commodity flows</x:v>
      </x:c>
      <x:c r="N179" s="51" t="str">
        <x:v>Bank syndicates convert future commodity sales and collateral into present trading capacity</x:v>
      </x:c>
      <x:c r="O179" s="51" t="str">
        <x:v>Financial; material; relational</x:v>
      </x:c>
      <x:c r="P179" s="51" t="str">
        <x:v>E2</x:v>
      </x:c>
      <x:c r="Q179" s="51" t="str">
        <x:v>Moderate</x:v>
      </x:c>
      <x:c r="R179" s="51" t="str">
        <x:v>SRC-145</x:v>
      </x:c>
      <x:c r="S179" s="51" t="str">
        <x:v>Trafigura was identified with a major revolving-credit facility.</x:v>
      </x:c>
      <x:c r="T179" s="51" t="str">
        <x:v>Control by participating banks or proof that every trade is debt-financed.</x:v>
      </x:c>
      <x:c r="U179" s="51" t="str">
        <x:v>Facility documents and bank rosters require primary verification.</x:v>
      </x:c>
      <x:c r="V179" s="51" t="str">
        <x:v>Active / obtain documents</x:v>
      </x:c>
      <x:c r="W179" s="51" t="str">
        <x:v>40;47;57</x:v>
      </x:c>
      <x:c r="X179" s="51" t="str">
        <x:v>2026-07-27</x:v>
      </x:c>
    </x:row>
    <x:row r="180">
      <x:c r="A180" s="51" t="str">
        <x:v>COM-003</x:v>
      </x:c>
      <x:c r="B180" s="51" t="str">
        <x:v>Commodity and logistics infrastructure</x:v>
      </x:c>
      <x:c r="C180" s="51" t="str">
        <x:v>ACT-MERCURIA</x:v>
      </x:c>
      <x:c r="D180" s="51" t="str">
        <x:v>Mercuria</x:v>
      </x:c>
      <x:c r="E180" s="51" t="str">
        <x:v>ACT-GOVERNINGINSTITUTIONALNE</x:v>
      </x:c>
      <x:c r="F180" s="51" t="str">
        <x:v>Governing institutional networks</x:v>
      </x:c>
      <x:c r="G180" s="51" t="str">
        <x:v>Trader → bank syndicates</x:v>
      </x:c>
      <x:c r="H180" s="51" t="str">
        <x:v>2024–2025</x:v>
      </x:c>
      <x:c r="I180" s="51" t="str">
        <x:v>Revolving credit and trade-finance relationship</x:v>
      </x:c>
      <x:c r="J180" s="51" t="str">
        <x:v>INS-069</x:v>
      </x:c>
      <x:c r="K180" s="51" t="str">
        <x:v>Multi-billion-dollar facility</x:v>
      </x:c>
      <x:c r="L180" s="51" t="str">
        <x:v>Bank credit, inventories and receivables</x:v>
      </x:c>
      <x:c r="M180" s="51" t="str">
        <x:v>Working capital for physical commodity flows</x:v>
      </x:c>
      <x:c r="N180" s="51" t="str">
        <x:v>Bank syndicates convert future commodity sales and collateral into present trading capacity</x:v>
      </x:c>
      <x:c r="O180" s="51" t="str">
        <x:v>Financial; material; relational</x:v>
      </x:c>
      <x:c r="P180" s="51" t="str">
        <x:v>E2</x:v>
      </x:c>
      <x:c r="Q180" s="51" t="str">
        <x:v>Moderate</x:v>
      </x:c>
      <x:c r="R180" s="51" t="str">
        <x:v>SRC-145</x:v>
      </x:c>
      <x:c r="S180" s="51" t="str">
        <x:v>Mercuria was identified with a major revolving-credit facility.</x:v>
      </x:c>
      <x:c r="T180" s="51" t="str">
        <x:v>Control by participating banks or proof that every trade is debt-financed.</x:v>
      </x:c>
      <x:c r="U180" s="51" t="str">
        <x:v>Facility documents and bank rosters require primary verification.</x:v>
      </x:c>
      <x:c r="V180" s="51" t="str">
        <x:v>Active / obtain documents</x:v>
      </x:c>
      <x:c r="W180" s="51" t="str">
        <x:v>40;47;57</x:v>
      </x:c>
      <x:c r="X180" s="51" t="str">
        <x:v>2026-07-27</x:v>
      </x:c>
    </x:row>
    <x:row r="181">
      <x:c r="A181" s="51" t="str">
        <x:v>COM-004</x:v>
      </x:c>
      <x:c r="B181" s="51" t="str">
        <x:v>Commodity and logistics infrastructure</x:v>
      </x:c>
      <x:c r="C181" s="51" t="str">
        <x:v>ACT-GUNVOR</x:v>
      </x:c>
      <x:c r="D181" s="51" t="str">
        <x:v>Gunvor</x:v>
      </x:c>
      <x:c r="E181" s="51" t="str">
        <x:v>ACT-GOVERNINGINSTITUTIONALNE</x:v>
      </x:c>
      <x:c r="F181" s="51" t="str">
        <x:v>Governing institutional networks</x:v>
      </x:c>
      <x:c r="G181" s="51" t="str">
        <x:v>Trader → bank syndicates</x:v>
      </x:c>
      <x:c r="H181" s="51" t="str">
        <x:v>2024–2025</x:v>
      </x:c>
      <x:c r="I181" s="51" t="str">
        <x:v>Revolving credit and trade-finance relationship</x:v>
      </x:c>
      <x:c r="J181" s="51" t="str">
        <x:v>INS-069</x:v>
      </x:c>
      <x:c r="K181" s="51" t="str">
        <x:v>Multi-billion-dollar facility</x:v>
      </x:c>
      <x:c r="L181" s="51" t="str">
        <x:v>Bank credit, inventories and receivables</x:v>
      </x:c>
      <x:c r="M181" s="51" t="str">
        <x:v>Working capital for physical commodity flows</x:v>
      </x:c>
      <x:c r="N181" s="51" t="str">
        <x:v>Bank syndicates convert future commodity sales and collateral into present trading capacity</x:v>
      </x:c>
      <x:c r="O181" s="51" t="str">
        <x:v>Financial; material; relational</x:v>
      </x:c>
      <x:c r="P181" s="51" t="str">
        <x:v>E2</x:v>
      </x:c>
      <x:c r="Q181" s="51" t="str">
        <x:v>Moderate</x:v>
      </x:c>
      <x:c r="R181" s="51" t="str">
        <x:v>SRC-145</x:v>
      </x:c>
      <x:c r="S181" s="51" t="str">
        <x:v>Gunvor was identified with a major revolving-credit facility.</x:v>
      </x:c>
      <x:c r="T181" s="51" t="str">
        <x:v>Control by participating banks or proof that every trade is debt-financed.</x:v>
      </x:c>
      <x:c r="U181" s="51" t="str">
        <x:v>Facility documents and bank rosters require primary verification.</x:v>
      </x:c>
      <x:c r="V181" s="51" t="str">
        <x:v>Active / obtain documents</x:v>
      </x:c>
      <x:c r="W181" s="51" t="str">
        <x:v>40;47;57</x:v>
      </x:c>
      <x:c r="X181" s="51" t="str">
        <x:v>2026-07-27</x:v>
      </x:c>
    </x:row>
    <x:row r="182">
      <x:c r="A182" s="51" t="str">
        <x:v>COM-005</x:v>
      </x:c>
      <x:c r="B182" s="51" t="str">
        <x:v>Commodity and logistics infrastructure</x:v>
      </x:c>
      <x:c r="C182" s="51" t="str">
        <x:v>ACT-VITOL</x:v>
      </x:c>
      <x:c r="D182" s="51" t="str">
        <x:v>Vitol</x:v>
      </x:c>
      <x:c r="E182" s="51" t="str">
        <x:v>ACT-GOVERNINGINSTITUTIONALNE</x:v>
      </x:c>
      <x:c r="F182" s="51" t="str">
        <x:v>Governing institutional networks</x:v>
      </x:c>
      <x:c r="G182" s="51" t="str">
        <x:v>Trader → bank syndicates</x:v>
      </x:c>
      <x:c r="H182" s="51" t="str">
        <x:v>2024–2025</x:v>
      </x:c>
      <x:c r="I182" s="51" t="str">
        <x:v>Revolving credit and trade-finance relationship</x:v>
      </x:c>
      <x:c r="J182" s="51" t="str">
        <x:v>INS-069</x:v>
      </x:c>
      <x:c r="K182" s="51" t="str">
        <x:v>Approximately $12bn cited</x:v>
      </x:c>
      <x:c r="L182" s="51" t="str">
        <x:v>Bank credit, inventories and receivables</x:v>
      </x:c>
      <x:c r="M182" s="51" t="str">
        <x:v>Working capital for physical commodity flows</x:v>
      </x:c>
      <x:c r="N182" s="51" t="str">
        <x:v>Bank syndicates convert future commodity sales and collateral into present trading capacity</x:v>
      </x:c>
      <x:c r="O182" s="51" t="str">
        <x:v>Financial; material; relational</x:v>
      </x:c>
      <x:c r="P182" s="51" t="str">
        <x:v>E2</x:v>
      </x:c>
      <x:c r="Q182" s="51" t="str">
        <x:v>Moderate</x:v>
      </x:c>
      <x:c r="R182" s="51" t="str">
        <x:v>SRC-145</x:v>
      </x:c>
      <x:c r="S182" s="51" t="str">
        <x:v>Vitol was identified with large revolving-credit facilities.</x:v>
      </x:c>
      <x:c r="T182" s="51" t="str">
        <x:v>Control by participating banks or proof that every trade is debt-financed.</x:v>
      </x:c>
      <x:c r="U182" s="51" t="str">
        <x:v>Facility documents and bank rosters require primary verification.</x:v>
      </x:c>
      <x:c r="V182" s="51" t="str">
        <x:v>Active / obtain documents</x:v>
      </x:c>
      <x:c r="W182" s="51" t="str">
        <x:v>40;47;57</x:v>
      </x:c>
      <x:c r="X182" s="51" t="str">
        <x:v>2026-07-27</x:v>
      </x:c>
    </x:row>
    <x:row r="183">
      <x:c r="A183" s="51" t="str">
        <x:v>COM-006</x:v>
      </x:c>
      <x:c r="B183" s="51" t="str">
        <x:v>Commodity and logistics infrastructure</x:v>
      </x:c>
      <x:c r="C183" s="51" t="str">
        <x:v>ACT-PDVSA</x:v>
      </x:c>
      <x:c r="D183" s="51" t="str">
        <x:v>PDVSA</x:v>
      </x:c>
      <x:c r="E183" s="51" t="str">
        <x:v>ACT-VITOL</x:v>
      </x:c>
      <x:c r="F183" s="51" t="str">
        <x:v>Vitol</x:v>
      </x:c>
      <x:c r="G183" s="51" t="str">
        <x:v>Producer → trader</x:v>
      </x:c>
      <x:c r="H183" s="51" t="str">
        <x:v>2025–2026</x:v>
      </x:c>
      <x:c r="I183" s="51" t="str">
        <x:v>Oil export and marketing relationship</x:v>
      </x:c>
      <x:c r="J183" s="51" t="str"/>
      <x:c r="K183" s="51" t="str">
        <x:v>Substantial but changing share</x:v>
      </x:c>
      <x:c r="L183" s="51" t="str">
        <x:v>Venezuelan crude production</x:v>
      </x:c>
      <x:c r="M183" s="51" t="str">
        <x:v>International buyers, finance and logistics</x:v>
      </x:c>
      <x:c r="N183" s="51" t="str">
        <x:v>A sanctioned or constrained producer uses global traders to regain market access</x:v>
      </x:c>
      <x:c r="O183" s="51" t="str">
        <x:v>Material; financial; relational</x:v>
      </x:c>
      <x:c r="P183" s="51" t="str">
        <x:v>E2</x:v>
      </x:c>
      <x:c r="Q183" s="51" t="str">
        <x:v>High</x:v>
      </x:c>
      <x:c r="R183" s="51" t="str">
        <x:v>SRC-146</x:v>
      </x:c>
      <x:c r="S183" s="51" t="str">
        <x:v>Vitol had obtained a major role in Venezuelan exports under authorised arrangements.</x:v>
      </x:c>
      <x:c r="T183" s="51" t="str">
        <x:v>Permanent control of PDVSA exports or ownership of Venezuelan reserves.</x:v>
      </x:c>
      <x:c r="U183" s="51" t="str">
        <x:v>PDVSA later shifted more supply directly to refiners and joint-venture partners.</x:v>
      </x:c>
      <x:c r="V183" s="51" t="str">
        <x:v>Relationship shrinking</x:v>
      </x:c>
      <x:c r="W183" s="51" t="str">
        <x:v>40;44;57</x:v>
      </x:c>
      <x:c r="X183" s="51" t="str">
        <x:v>2026-07-27</x:v>
      </x:c>
    </x:row>
    <x:row r="184">
      <x:c r="A184" s="51" t="str">
        <x:v>COM-007</x:v>
      </x:c>
      <x:c r="B184" s="51" t="str">
        <x:v>Commodity and logistics infrastructure</x:v>
      </x:c>
      <x:c r="C184" s="51" t="str">
        <x:v>ACT-PDVSA</x:v>
      </x:c>
      <x:c r="D184" s="51" t="str">
        <x:v>PDVSA</x:v>
      </x:c>
      <x:c r="E184" s="51" t="str">
        <x:v>ACT-TRAFIGURA</x:v>
      </x:c>
      <x:c r="F184" s="51" t="str">
        <x:v>Trafigura</x:v>
      </x:c>
      <x:c r="G184" s="51" t="str">
        <x:v>Producer → trader</x:v>
      </x:c>
      <x:c r="H184" s="51" t="str">
        <x:v>2025–2026</x:v>
      </x:c>
      <x:c r="I184" s="51" t="str">
        <x:v>Oil export and marketing relationship</x:v>
      </x:c>
      <x:c r="J184" s="51" t="str"/>
      <x:c r="K184" s="51" t="str">
        <x:v>Substantial but changing share</x:v>
      </x:c>
      <x:c r="L184" s="51" t="str">
        <x:v>Venezuelan crude production</x:v>
      </x:c>
      <x:c r="M184" s="51" t="str">
        <x:v>International buyers and logistics</x:v>
      </x:c>
      <x:c r="N184" s="51" t="str">
        <x:v>Trading houses bridge sanctions, credit and physical market access</x:v>
      </x:c>
      <x:c r="O184" s="51" t="str">
        <x:v>Material; financial; relational</x:v>
      </x:c>
      <x:c r="P184" s="51" t="str">
        <x:v>E2</x:v>
      </x:c>
      <x:c r="Q184" s="51" t="str">
        <x:v>High</x:v>
      </x:c>
      <x:c r="R184" s="51" t="str">
        <x:v>SRC-146</x:v>
      </x:c>
      <x:c r="S184" s="51" t="str">
        <x:v>Trafigura had a significant Venezuelan export role.</x:v>
      </x:c>
      <x:c r="T184" s="51" t="str">
        <x:v>Permanent monopoly or control over Venezuelan policy.</x:v>
      </x:c>
      <x:c r="U184" s="51" t="str">
        <x:v>Direct refinery contracts are reducing trader intermediation.</x:v>
      </x:c>
      <x:c r="V184" s="51" t="str">
        <x:v>Relationship shrinking</x:v>
      </x:c>
      <x:c r="W184" s="51" t="str">
        <x:v>40;44;57</x:v>
      </x:c>
      <x:c r="X184" s="51" t="str">
        <x:v>2026-07-27</x:v>
      </x:c>
    </x:row>
    <x:row r="185">
      <x:c r="A185" s="51" t="str">
        <x:v>COM-008</x:v>
      </x:c>
      <x:c r="B185" s="51" t="str">
        <x:v>Commodity and logistics infrastructure</x:v>
      </x:c>
      <x:c r="C185" s="51" t="str">
        <x:v>ACT-PDVSA</x:v>
      </x:c>
      <x:c r="D185" s="51" t="str">
        <x:v>PDVSA</x:v>
      </x:c>
      <x:c r="E185" s="51" t="str">
        <x:v>ACT-GOVERNINGINSTITUTIONALNE</x:v>
      </x:c>
      <x:c r="F185" s="51" t="str">
        <x:v>Governing institutional networks</x:v>
      </x:c>
      <x:c r="G185" s="51" t="str">
        <x:v>Producer → refiners and joint ventures</x:v>
      </x:c>
      <x:c r="H185" s="51" t="str">
        <x:v>2026</x:v>
      </x:c>
      <x:c r="I185" s="51" t="str">
        <x:v>Shift toward direct sales</x:v>
      </x:c>
      <x:c r="J185" s="51" t="str"/>
      <x:c r="K185" s="51" t="str">
        <x:v>Rising direct-contract share</x:v>
      </x:c>
      <x:c r="L185" s="51" t="str">
        <x:v>State oil output</x:v>
      </x:c>
      <x:c r="M185" s="51" t="str">
        <x:v>Long-term refinery and partner supply contracts</x:v>
      </x:c>
      <x:c r="N185" s="51" t="str">
        <x:v>A producer can reduce intermediary rents by reconnecting directly to end-users</x:v>
      </x:c>
      <x:c r="O185" s="51" t="str">
        <x:v>Material; financial; relational</x:v>
      </x:c>
      <x:c r="P185" s="51" t="str">
        <x:v>S1</x:v>
      </x:c>
      <x:c r="Q185" s="51" t="str">
        <x:v>High</x:v>
      </x:c>
      <x:c r="R185" s="51" t="str">
        <x:v>SRC-146</x:v>
      </x:c>
      <x:c r="S185" s="51" t="str">
        <x:v>Reuters reported a shift from traders toward refiners and joint-venture partners.</x:v>
      </x:c>
      <x:c r="T185" s="51" t="str">
        <x:v>Elimination of traders, sanctions or financing needs.</x:v>
      </x:c>
      <x:c r="U185" s="51" t="str">
        <x:v>Traders remain useful for spot placement, credit and difficult destinations.</x:v>
      </x:c>
      <x:c r="V185" s="51" t="str">
        <x:v>Emerging</x:v>
      </x:c>
      <x:c r="W185" s="51" t="str">
        <x:v>40;57</x:v>
      </x:c>
      <x:c r="X185" s="51" t="str">
        <x:v>2026-07-27</x:v>
      </x:c>
    </x:row>
    <x:row r="186">
      <x:c r="A186" s="51" t="str">
        <x:v>COM-009</x:v>
      </x:c>
      <x:c r="B186" s="51" t="str">
        <x:v>Commodity and logistics infrastructure</x:v>
      </x:c>
      <x:c r="C186" s="51" t="str">
        <x:v>ACT-MAERSK</x:v>
      </x:c>
      <x:c r="D186" s="51" t="str">
        <x:v>Maersk</x:v>
      </x:c>
      <x:c r="E186" s="51" t="str">
        <x:v>ACT-CITIZENSANDLABOUR</x:v>
      </x:c>
      <x:c r="F186" s="51" t="str">
        <x:v>Citizens and labour</x:v>
      </x:c>
      <x:c r="G186" s="51" t="str">
        <x:v>Carrier → global economy</x:v>
      </x:c>
      <x:c r="H186" s="51" t="str">
        <x:v>Ongoing</x:v>
      </x:c>
      <x:c r="I186" s="51" t="str">
        <x:v>Container shipping and logistics network</x:v>
      </x:c>
      <x:c r="J186" s="51" t="str"/>
      <x:c r="K186" s="51" t="str">
        <x:v>Global network; 2026 guidance upgraded</x:v>
      </x:c>
      <x:c r="L186" s="51" t="str">
        <x:v>Containers, vessels, ports and logistics data</x:v>
      </x:c>
      <x:c r="M186" s="51" t="str">
        <x:v>Delivered intermediate and final goods</x:v>
      </x:c>
      <x:c r="N186" s="51" t="str">
        <x:v>A carrier converts ocean access and scheduling into continuity of distributed production</x:v>
      </x:c>
      <x:c r="O186" s="51" t="str">
        <x:v>Material; informational; financial</x:v>
      </x:c>
      <x:c r="P186" s="51" t="str">
        <x:v>E1</x:v>
      </x:c>
      <x:c r="Q186" s="51" t="str">
        <x:v>High</x:v>
      </x:c>
      <x:c r="R186" s="51" t="str">
        <x:v>SRC-132</x:v>
      </x:c>
      <x:c r="S186" s="51" t="str">
        <x:v>Maersk is a major global carrier and its 2026 outlook reflects container-market conditions.</x:v>
      </x:c>
      <x:c r="T186" s="51" t="str">
        <x:v>Control of all container trade or immunity from chokepoints.</x:v>
      </x:c>
      <x:c r="U186" s="51" t="str">
        <x:v>Shipping competition, ports and cargo owners retain separate power.</x:v>
      </x:c>
      <x:c r="V186" s="51" t="str">
        <x:v>Active</x:v>
      </x:c>
      <x:c r="W186" s="51" t="str">
        <x:v>40;57</x:v>
      </x:c>
      <x:c r="X186" s="51" t="str">
        <x:v>2026-07-27</x:v>
      </x:c>
    </x:row>
    <x:row r="187">
      <x:c r="A187" s="51" t="str">
        <x:v>COM-010</x:v>
      </x:c>
      <x:c r="B187" s="51" t="str">
        <x:v>Commodity and logistics infrastructure</x:v>
      </x:c>
      <x:c r="C187" s="51" t="str">
        <x:v>ACT-LLOYDSMARKETASSOCIATION</x:v>
      </x:c>
      <x:c r="D187" s="51" t="str">
        <x:v>Lloyds Market Association</x:v>
      </x:c>
      <x:c r="E187" s="51" t="str">
        <x:v>ACT-MARINEWARRISKINSURERS</x:v>
      </x:c>
      <x:c r="F187" s="51" t="str">
        <x:v>Marine war-risk insurers</x:v>
      </x:c>
      <x:c r="G187" s="51" t="str">
        <x:v>Association → market participants</x:v>
      </x:c>
      <x:c r="H187" s="51" t="str">
        <x:v>Ongoing</x:v>
      </x:c>
      <x:c r="I187" s="51" t="str">
        <x:v>Industry representation and risk guidance</x:v>
      </x:c>
      <x:c r="J187" s="51" t="str"/>
      <x:c r="K187" s="51" t="str">
        <x:v>Market-wide</x:v>
      </x:c>
      <x:c r="L187" s="51" t="str">
        <x:v>Conflict, sanctions and maritime-loss information</x:v>
      </x:c>
      <x:c r="M187" s="51" t="str">
        <x:v>Underwriting terms and risk classifications</x:v>
      </x:c>
      <x:c r="N187" s="51" t="str">
        <x:v>Shared risk interpretation coordinates how insurers price access to dangerous routes</x:v>
      </x:c>
      <x:c r="O187" s="51" t="str">
        <x:v>Informational; financial; material</x:v>
      </x:c>
      <x:c r="P187" s="51" t="str">
        <x:v>E2</x:v>
      </x:c>
      <x:c r="Q187" s="51" t="str">
        <x:v>High</x:v>
      </x:c>
      <x:c r="R187" s="51" t="str">
        <x:v>SRC-133</x:v>
      </x:c>
      <x:c r="S187" s="51" t="str">
        <x:v>The association represents underwriting businesses and publishes marine-risk analysis.</x:v>
      </x:c>
      <x:c r="T187" s="51" t="str">
        <x:v>Uniform pricing or central command over every syndicate.</x:v>
      </x:c>
      <x:c r="U187" s="51" t="str">
        <x:v>Individual underwriters retain commercial discretion.</x:v>
      </x:c>
      <x:c r="V187" s="51" t="str">
        <x:v>Active</x:v>
      </x:c>
      <x:c r="W187" s="51" t="str">
        <x:v>40;57</x:v>
      </x:c>
      <x:c r="X187" s="51" t="str">
        <x:v>2026-07-27</x:v>
      </x:c>
    </x:row>
    <x:row r="188">
      <x:c r="A188" s="51" t="str">
        <x:v>COM-011</x:v>
      </x:c>
      <x:c r="B188" s="51" t="str">
        <x:v>Commodity and logistics infrastructure</x:v>
      </x:c>
      <x:c r="C188" s="51" t="str">
        <x:v>ACT-MARINEWARRISKINSURERS</x:v>
      </x:c>
      <x:c r="D188" s="51" t="str">
        <x:v>Marine war-risk insurers</x:v>
      </x:c>
      <x:c r="E188" s="51" t="str">
        <x:v>ACT-STRAITOFHORMUZ</x:v>
      </x:c>
      <x:c r="F188" s="51" t="str">
        <x:v>Strait of Hormuz</x:v>
      </x:c>
      <x:c r="G188" s="51" t="str">
        <x:v>Insurer → route users</x:v>
      </x:c>
      <x:c r="H188" s="51" t="str">
        <x:v>Conflict-dependent</x:v>
      </x:c>
      <x:c r="I188" s="51" t="str">
        <x:v>War-risk coverage and pricing</x:v>
      </x:c>
      <x:c r="J188" s="51" t="str"/>
      <x:c r="K188" s="51" t="str">
        <x:v>Premiums, exclusions and cancellation rights</x:v>
      </x:c>
      <x:c r="L188" s="51" t="str">
        <x:v>Risk-bearing capital and route intelligence</x:v>
      </x:c>
      <x:c r="M188" s="51" t="str">
        <x:v>Permission or cost to sail through conflict zones</x:v>
      </x:c>
      <x:c r="N188" s="51" t="str">
        <x:v>Insurance converts geopolitical assessment into the practical cost and feasibility of physical trade</x:v>
      </x:c>
      <x:c r="O188" s="51" t="str">
        <x:v>Financial; material; enforcement</x:v>
      </x:c>
      <x:c r="P188" s="51" t="str">
        <x:v>S1</x:v>
      </x:c>
      <x:c r="Q188" s="51" t="str">
        <x:v>High</x:v>
      </x:c>
      <x:c r="R188" s="51" t="str">
        <x:v>SRC-133; SRC-018</x:v>
      </x:c>
      <x:c r="S188" s="51" t="str">
        <x:v>Marine insurers assess conflict and sanctions risk around chokepoints.</x:v>
      </x:c>
      <x:c r="T188" s="51" t="str">
        <x:v>Legal ownership of the route or ability to halt every uninsured vessel.</x:v>
      </x:c>
      <x:c r="U188" s="51" t="str">
        <x:v>States, shipowners and public reinsurance can absorb or override some risk.</x:v>
      </x:c>
      <x:c r="V188" s="51" t="str">
        <x:v>Active / shock-sensitive</x:v>
      </x:c>
      <x:c r="W188" s="51" t="str">
        <x:v>40;57</x:v>
      </x:c>
      <x:c r="X188" s="51" t="str">
        <x:v>2026-07-27</x:v>
      </x:c>
    </x:row>
    <x:row r="189">
      <x:c r="A189" s="51" t="str">
        <x:v>COM-012</x:v>
      </x:c>
      <x:c r="B189" s="51" t="str">
        <x:v>Commodity and logistics infrastructure</x:v>
      </x:c>
      <x:c r="C189" s="51" t="str">
        <x:v>ACT-LLOYDSOFLONDON</x:v>
      </x:c>
      <x:c r="D189" s="51" t="str">
        <x:v>Lloyds of London</x:v>
      </x:c>
      <x:c r="E189" s="51" t="str">
        <x:v>ACT-MARINEWARRISKINSURERS</x:v>
      </x:c>
      <x:c r="F189" s="51" t="str">
        <x:v>Marine war-risk insurers</x:v>
      </x:c>
      <x:c r="G189" s="51" t="str">
        <x:v>Market → underwriters</x:v>
      </x:c>
      <x:c r="H189" s="51" t="str">
        <x:v>Ongoing</x:v>
      </x:c>
      <x:c r="I189" s="51" t="str">
        <x:v>Specialist insurance-market infrastructure</x:v>
      </x:c>
      <x:c r="J189" s="51" t="str"/>
      <x:c r="K189" s="51" t="str">
        <x:v>Global specialist market</x:v>
      </x:c>
      <x:c r="L189" s="51" t="str">
        <x:v>Capital, licences, brokers and syndicate structure</x:v>
      </x:c>
      <x:c r="M189" s="51" t="str">
        <x:v>Marine and war-risk underwriting capacity</x:v>
      </x:c>
      <x:c r="N189" s="51" t="str">
        <x:v>A market institution pools capital and expertise that makes hazardous trade financeable</x:v>
      </x:c>
      <x:c r="O189" s="51" t="str">
        <x:v>Financial; relational; material</x:v>
      </x:c>
      <x:c r="P189" s="51" t="str">
        <x:v>S1</x:v>
      </x:c>
      <x:c r="Q189" s="51" t="str">
        <x:v>High</x:v>
      </x:c>
      <x:c r="R189" s="51" t="str">
        <x:v>SRC-133</x:v>
      </x:c>
      <x:c r="S189" s="51" t="str">
        <x:v>The Lloyds market is a central specialist-insurance venue.</x:v>
      </x:c>
      <x:c r="T189" s="51" t="str">
        <x:v>One balance sheet, one risk view or government guarantee.</x:v>
      </x:c>
      <x:c r="U189" s="51" t="str">
        <x:v>Syndicates and insurers have separate capital and decisions.</x:v>
      </x:c>
      <x:c r="V189" s="51" t="str">
        <x:v>Active</x:v>
      </x:c>
      <x:c r="W189" s="51" t="str">
        <x:v>40;57</x:v>
      </x:c>
      <x:c r="X189" s="51" t="str">
        <x:v>2026-07-27</x:v>
      </x:c>
    </x:row>
    <x:row r="190">
      <x:c r="A190" s="51" t="str">
        <x:v>CRY-001</x:v>
      </x:c>
      <x:c r="B190" s="51" t="str">
        <x:v>Political office–family business</x:v>
      </x:c>
      <x:c r="C190" s="51" t="str">
        <x:v>ACT-DONALDTRUMP</x:v>
      </x:c>
      <x:c r="D190" s="51" t="str">
        <x:v>Donald Trump</x:v>
      </x:c>
      <x:c r="E190" s="51" t="str">
        <x:v>ACT-WORLDLIBERTYFINANCIAL</x:v>
      </x:c>
      <x:c r="F190" s="51" t="str">
        <x:v>World Liberty Financial</x:v>
      </x:c>
      <x:c r="G190" s="51" t="str">
        <x:v>Person/family → company</x:v>
      </x:c>
      <x:c r="H190" s="51" t="str">
        <x:v>2024–present</x:v>
      </x:c>
      <x:c r="I190" s="51" t="str">
        <x:v>Founder-emeritus / family economic interest</x:v>
      </x:c>
      <x:c r="J190" s="51" t="str">
        <x:v>INS-027</x:v>
      </x:c>
      <x:c r="K190" s="51" t="str">
        <x:v>Reported family control and revenue share</x:v>
      </x:c>
      <x:c r="L190" s="51" t="str">
        <x:v>Political brand and family ownership</x:v>
      </x:c>
      <x:c r="M190" s="51" t="str">
        <x:v>Crypto token and stablecoin revenue</x:v>
      </x:c>
      <x:c r="N190" s="51" t="str">
        <x:v>Political reputation is converted into private financial claims and distribution reach</x:v>
      </x:c>
      <x:c r="O190" s="51" t="str">
        <x:v>Financial; relational; narrative</x:v>
      </x:c>
      <x:c r="P190" s="51" t="str">
        <x:v>E1</x:v>
      </x:c>
      <x:c r="Q190" s="51" t="str">
        <x:v>High</x:v>
      </x:c>
      <x:c r="R190" s="51" t="str">
        <x:v>SRC-073; SRC-074</x:v>
      </x:c>
      <x:c r="S190" s="51" t="str">
        <x:v>Reuters documented the Trump family's ownership and revenue arrangement.</x:v>
      </x:c>
      <x:c r="T190" s="51" t="str">
        <x:v>That every buyer sought political influence or that every policy decision was purchased.</x:v>
      </x:c>
      <x:c r="U190" s="51" t="str">
        <x:v>Brand demand, speculation and policy expectations may all affect value.</x:v>
      </x:c>
      <x:c r="V190" s="51" t="str">
        <x:v>Active</x:v>
      </x:c>
      <x:c r="W190" s="51" t="str">
        <x:v>57;76</x:v>
      </x:c>
      <x:c r="X190" s="51" t="str">
        <x:v>2026-07-27</x:v>
      </x:c>
    </x:row>
    <x:row r="191">
      <x:c r="A191" s="51" t="str">
        <x:v>CRY-002</x:v>
      </x:c>
      <x:c r="B191" s="51" t="str">
        <x:v>Political office–family business</x:v>
      </x:c>
      <x:c r="C191" s="51" t="str">
        <x:v>ACT-WORLDLIBERTYFINANCIAL</x:v>
      </x:c>
      <x:c r="D191" s="51" t="str">
        <x:v>World Liberty Financial</x:v>
      </x:c>
      <x:c r="E191" s="51" t="str">
        <x:v>ACT-USD1</x:v>
      </x:c>
      <x:c r="F191" s="51" t="str">
        <x:v>USD1</x:v>
      </x:c>
      <x:c r="G191" s="51" t="str">
        <x:v>Company → instrument</x:v>
      </x:c>
      <x:c r="H191" s="51" t="str">
        <x:v>2025–present</x:v>
      </x:c>
      <x:c r="I191" s="51" t="str">
        <x:v>Stablecoin issuance</x:v>
      </x:c>
      <x:c r="J191" s="51" t="str">
        <x:v>INS-028</x:v>
      </x:c>
      <x:c r="K191" s="51" t="str">
        <x:v>Dollar-pegged</x:v>
      </x:c>
      <x:c r="L191" s="51" t="str">
        <x:v>Treasury/cash reserves and company brand</x:v>
      </x:c>
      <x:c r="M191" s="51" t="str">
        <x:v>Privately issued dollar claim</x:v>
      </x:c>
      <x:c r="N191" s="51" t="str">
        <x:v>A political-family-linked firm converts dollar collateral into a programmable settlement instrument</x:v>
      </x:c>
      <x:c r="O191" s="51" t="str">
        <x:v>Financial; informational</x:v>
      </x:c>
      <x:c r="P191" s="51" t="str">
        <x:v>E1</x:v>
      </x:c>
      <x:c r="Q191" s="51" t="str">
        <x:v>Very high</x:v>
      </x:c>
      <x:c r="R191" s="51" t="str">
        <x:v>SRC-071</x:v>
      </x:c>
      <x:c r="S191" s="51" t="str">
        <x:v>World Liberty launched USD1 backed by Treasuries, dollars and cash equivalents.</x:v>
      </x:c>
      <x:c r="T191" s="51" t="str">
        <x:v>A government guarantee, equivalence to central-bank money, or absence of issuer risk.</x:v>
      </x:c>
      <x:c r="U191" s="51" t="str">
        <x:v>Reserve quality, governance and redemption arrangements remain distinct from sovereign currency.</x:v>
      </x:c>
      <x:c r="V191" s="51" t="str">
        <x:v>Active</x:v>
      </x:c>
      <x:c r="W191" s="51" t="str">
        <x:v>36;57;73</x:v>
      </x:c>
      <x:c r="X191" s="51" t="str">
        <x:v>2026-07-27</x:v>
      </x:c>
    </x:row>
    <x:row r="192">
      <x:c r="A192" s="51" t="str">
        <x:v>CRY-003</x:v>
      </x:c>
      <x:c r="B192" s="51" t="str">
        <x:v>Political office–Gulf capital</x:v>
      </x:c>
      <x:c r="C192" s="51" t="str">
        <x:v>ACT-MGX</x:v>
      </x:c>
      <x:c r="D192" s="51" t="str">
        <x:v>MGX</x:v>
      </x:c>
      <x:c r="E192" s="51" t="str">
        <x:v>ACT-BINANCE</x:v>
      </x:c>
      <x:c r="F192" s="51" t="str">
        <x:v>Binance</x:v>
      </x:c>
      <x:c r="G192" s="51" t="str">
        <x:v>Fund → exchange</x:v>
      </x:c>
      <x:c r="H192" s="51" t="str">
        <x:v>2025</x:v>
      </x:c>
      <x:c r="I192" s="51" t="str">
        <x:v>Equity investment</x:v>
      </x:c>
      <x:c r="J192" s="51" t="str">
        <x:v>INS-028</x:v>
      </x:c>
      <x:c r="K192" s="51" t="str">
        <x:v>$2 billion</x:v>
      </x:c>
      <x:c r="L192" s="51" t="str">
        <x:v>UAE state-linked AI capital</x:v>
      </x:c>
      <x:c r="M192" s="51" t="str">
        <x:v>Ownership exposure to global crypto exchange</x:v>
      </x:c>
      <x:c r="N192" s="51" t="str">
        <x:v>Sovereign-linked capital enters a global financial platform</x:v>
      </x:c>
      <x:c r="O192" s="51" t="str">
        <x:v>Financial; ownership; relational</x:v>
      </x:c>
      <x:c r="P192" s="51" t="str">
        <x:v>E1</x:v>
      </x:c>
      <x:c r="Q192" s="51" t="str">
        <x:v>Very high</x:v>
      </x:c>
      <x:c r="R192" s="51" t="str">
        <x:v>SRC-071</x:v>
      </x:c>
      <x:c r="S192" s="51" t="str">
        <x:v>MGX announced a $2 billion investment in Binance.</x:v>
      </x:c>
      <x:c r="T192" s="51" t="str">
        <x:v>UAE command over Binance or its users.</x:v>
      </x:c>
      <x:c r="U192" s="51" t="str">
        <x:v>Investment rights and governance terms require transaction documents.</x:v>
      </x:c>
      <x:c r="V192" s="51" t="str">
        <x:v>Announced</x:v>
      </x:c>
      <x:c r="W192" s="51" t="str">
        <x:v>57</x:v>
      </x:c>
      <x:c r="X192" s="51" t="str">
        <x:v>2026-07-27</x:v>
      </x:c>
    </x:row>
    <x:row r="193">
      <x:c r="A193" s="51" t="str">
        <x:v>CRY-004</x:v>
      </x:c>
      <x:c r="B193" s="51" t="str">
        <x:v>Political office–Gulf capital</x:v>
      </x:c>
      <x:c r="C193" s="51" t="str">
        <x:v>ACT-USD1</x:v>
      </x:c>
      <x:c r="D193" s="51" t="str">
        <x:v>USD1</x:v>
      </x:c>
      <x:c r="E193" s="51" t="str">
        <x:v>ACT-MGX</x:v>
      </x:c>
      <x:c r="F193" s="51" t="str">
        <x:v>MGX</x:v>
      </x:c>
      <x:c r="G193" s="51" t="str">
        <x:v>Instrument → investor transaction</x:v>
      </x:c>
      <x:c r="H193" s="51" t="str">
        <x:v>2025</x:v>
      </x:c>
      <x:c r="I193" s="51" t="str">
        <x:v>Settlement currency</x:v>
      </x:c>
      <x:c r="J193" s="51" t="str">
        <x:v>INS-028</x:v>
      </x:c>
      <x:c r="K193" s="51" t="str">
        <x:v>$2 billion transaction</x:v>
      </x:c>
      <x:c r="L193" s="51" t="str">
        <x:v>Trump-family-linked stablecoin</x:v>
      </x:c>
      <x:c r="M193" s="51" t="str">
        <x:v>Settlement of sovereign-linked investment</x:v>
      </x:c>
      <x:c r="N193" s="51" t="str">
        <x:v>A private stablecoin gains legitimacy, reserves and network effects from a large institutional transaction</x:v>
      </x:c>
      <x:c r="O193" s="51" t="str">
        <x:v>Financial; relational; narrative</x:v>
      </x:c>
      <x:c r="P193" s="51" t="str">
        <x:v>E1</x:v>
      </x:c>
      <x:c r="Q193" s="51" t="str">
        <x:v>Very high</x:v>
      </x:c>
      <x:c r="R193" s="51" t="str">
        <x:v>SRC-071</x:v>
      </x:c>
      <x:c r="S193" s="51" t="str">
        <x:v>World Liberty's co-founder said USD1 was selected to close the MGX–Binance investment.</x:v>
      </x:c>
      <x:c r="T193" s="51" t="str">
        <x:v>That MGX invested in World Liberty through this transaction or that public policy caused the choice.</x:v>
      </x:c>
      <x:c r="U193" s="51" t="str">
        <x:v>Commercial settlement convenience and negotiated incentives are alternative explanations.</x:v>
      </x:c>
      <x:c r="V193" s="51" t="str">
        <x:v>Announced / confirm closing mechanics</x:v>
      </x:c>
      <x:c r="W193" s="51" t="str">
        <x:v>57;76</x:v>
      </x:c>
      <x:c r="X193" s="51" t="str">
        <x:v>2026-07-27</x:v>
      </x:c>
    </x:row>
    <x:row r="194">
      <x:c r="A194" s="51" t="str">
        <x:v>CRY-005</x:v>
      </x:c>
      <x:c r="B194" s="51" t="str">
        <x:v>Political office–Gulf capital</x:v>
      </x:c>
      <x:c r="C194" s="51" t="str">
        <x:v>ACT-TAHNOONBINZAYEDALNAHYAN</x:v>
      </x:c>
      <x:c r="D194" s="51" t="str">
        <x:v>Tahnoon bin Zayed Al Nahyan</x:v>
      </x:c>
      <x:c r="E194" s="51" t="str">
        <x:v>ACT-WORLDLIBERTYFINANCIAL</x:v>
      </x:c>
      <x:c r="F194" s="51" t="str">
        <x:v>World Liberty Financial</x:v>
      </x:c>
      <x:c r="G194" s="51" t="str">
        <x:v>Royal-linked network → company</x:v>
      </x:c>
      <x:c r="H194" s="51" t="str">
        <x:v>2025-01</x:v>
      </x:c>
      <x:c r="I194" s="51" t="str">
        <x:v>Royal-linked investment vehicle relationship</x:v>
      </x:c>
      <x:c r="J194" s="51" t="str">
        <x:v>INS-029</x:v>
      </x:c>
      <x:c r="K194" s="51" t="str">
        <x:v>$500 million for 49% reported</x:v>
      </x:c>
      <x:c r="L194" s="51" t="str">
        <x:v>UAE elite capital</x:v>
      </x:c>
      <x:c r="M194" s="51" t="str">
        <x:v>Large equity stake in US presidential-family crypto firm</x:v>
      </x:c>
      <x:c r="N194" s="51" t="str">
        <x:v>Foreign capital is converted into ownership of a politically connected financial issuer</x:v>
      </x:c>
      <x:c r="O194" s="51" t="str">
        <x:v>Financial; ownership; relational</x:v>
      </x:c>
      <x:c r="P194" s="51" t="str">
        <x:v>E2</x:v>
      </x:c>
      <x:c r="Q194" s="51" t="str">
        <x:v>High</x:v>
      </x:c>
      <x:c r="R194" s="51" t="str">
        <x:v>SRC-072</x:v>
      </x:c>
      <x:c r="S194" s="51" t="str">
        <x:v>World Liberty's spokesman confirmed a 49% stake purchase by an Abu Dhabi royal-linked vehicle.</x:v>
      </x:c>
      <x:c r="T194" s="51" t="str">
        <x:v>Direct state command, a policy quid pro quo, or personal operational control by Tahnoon.</x:v>
      </x:c>
      <x:c r="U194" s="51" t="str">
        <x:v>The exact vehicle, beneficial ownership and governance rights require primary filings.</x:v>
      </x:c>
      <x:c r="V194" s="51" t="str">
        <x:v>Historical / active stake</x:v>
      </x:c>
      <x:c r="W194" s="51" t="str">
        <x:v>57;76</x:v>
      </x:c>
      <x:c r="X194" s="51" t="str">
        <x:v>2026-07-27</x:v>
      </x:c>
    </x:row>
    <x:row r="195">
      <x:c r="A195" s="51" t="str">
        <x:v>CRY-006</x:v>
      </x:c>
      <x:c r="B195" s="51" t="str">
        <x:v>Political office–foreign capital</x:v>
      </x:c>
      <x:c r="C195" s="51" t="str">
        <x:v>ACT-AQUA1FOUNDATION</x:v>
      </x:c>
      <x:c r="D195" s="51" t="str">
        <x:v>Aqua 1 Foundation</x:v>
      </x:c>
      <x:c r="E195" s="51" t="str">
        <x:v>ACT-WORLDLIBERTYFINANCIAL</x:v>
      </x:c>
      <x:c r="F195" s="51" t="str">
        <x:v>World Liberty Financial</x:v>
      </x:c>
      <x:c r="G195" s="51" t="str">
        <x:v>Fund → company</x:v>
      </x:c>
      <x:c r="H195" s="51" t="str">
        <x:v>2025-06</x:v>
      </x:c>
      <x:c r="I195" s="51" t="str">
        <x:v>Governance-token investment</x:v>
      </x:c>
      <x:c r="J195" s="51" t="str">
        <x:v>INS-030</x:v>
      </x:c>
      <x:c r="K195" s="51" t="str">
        <x:v>$100 million</x:v>
      </x:c>
      <x:c r="L195" s="51" t="str">
        <x:v>Opaque UAE-linked fund capital</x:v>
      </x:c>
      <x:c r="M195" s="51" t="str">
        <x:v>Governance-token holdings and joint project access</x:v>
      </x:c>
      <x:c r="N195" s="51" t="str">
        <x:v>Capital gains governance access and association with a politically connected issuer</x:v>
      </x:c>
      <x:c r="O195" s="51" t="str">
        <x:v>Financial; ownership; relational</x:v>
      </x:c>
      <x:c r="P195" s="51" t="str">
        <x:v>E1</x:v>
      </x:c>
      <x:c r="Q195" s="51" t="str">
        <x:v>High</x:v>
      </x:c>
      <x:c r="R195" s="51" t="str">
        <x:v>SRC-075</x:v>
      </x:c>
      <x:c r="S195" s="51" t="str">
        <x:v>Aqua 1 bought $100 million in WLFI tokens and announced collaboration.</x:v>
      </x:c>
      <x:c r="T195" s="51" t="str">
        <x:v>State ownership, illegal influence, or beneficial-owner identity beyond disclosed material.</x:v>
      </x:c>
      <x:c r="U195" s="51" t="str">
        <x:v>The fund's limited public footprint raises verification questions but is not proof of misconduct.</x:v>
      </x:c>
      <x:c r="V195" s="51" t="str">
        <x:v>Active / verify ownership</x:v>
      </x:c>
      <x:c r="W195" s="51" t="str">
        <x:v>57;76</x:v>
      </x:c>
      <x:c r="X195" s="51" t="str">
        <x:v>2026-07-27</x:v>
      </x:c>
    </x:row>
    <x:row r="196">
      <x:c r="A196" s="51" t="str">
        <x:v>CRY-007</x:v>
      </x:c>
      <x:c r="B196" s="51" t="str">
        <x:v>Political office–family business</x:v>
      </x:c>
      <x:c r="C196" s="51" t="str">
        <x:v>ACT-DONALDTRUMPJR</x:v>
      </x:c>
      <x:c r="D196" s="51" t="str">
        <x:v>Donald Trump Jr.</x:v>
      </x:c>
      <x:c r="E196" s="51" t="str">
        <x:v>ACT-WORLDLIBERTYFINANCIAL</x:v>
      </x:c>
      <x:c r="F196" s="51" t="str">
        <x:v>World Liberty Financial</x:v>
      </x:c>
      <x:c r="G196" s="51" t="str">
        <x:v>Person → company</x:v>
      </x:c>
      <x:c r="H196" s="51" t="str">
        <x:v>2024–present</x:v>
      </x:c>
      <x:c r="I196" s="51" t="str">
        <x:v>Family executive / promoter relationship</x:v>
      </x:c>
      <x:c r="J196" s="51" t="str">
        <x:v>INS-027</x:v>
      </x:c>
      <x:c r="K196" s="51" t="str">
        <x:v>Material family interest</x:v>
      </x:c>
      <x:c r="L196" s="51" t="str">
        <x:v>Political-family access and marketing</x:v>
      </x:c>
      <x:c r="M196" s="51" t="str">
        <x:v>Capital raising and institutional introductions</x:v>
      </x:c>
      <x:c r="N196" s="51" t="str">
        <x:v>Family members convert political visibility into fundraising and market access</x:v>
      </x:c>
      <x:c r="O196" s="51" t="str">
        <x:v>Relational; financial; narrative</x:v>
      </x:c>
      <x:c r="P196" s="51" t="str">
        <x:v>E2</x:v>
      </x:c>
      <x:c r="Q196" s="51" t="str">
        <x:v>High</x:v>
      </x:c>
      <x:c r="R196" s="51" t="str">
        <x:v>SRC-073; SRC-074</x:v>
      </x:c>
      <x:c r="S196" s="51" t="str">
        <x:v>Donald Trump Jr. is publicly involved in the family crypto network.</x:v>
      </x:c>
      <x:c r="T196" s="51" t="str">
        <x:v>That he controls US crypto policy or every company decision.</x:v>
      </x:c>
      <x:c r="U196" s="51" t="str">
        <x:v>Formal titles and legal authority should be updated from filings.</x:v>
      </x:c>
      <x:c r="V196" s="51" t="str">
        <x:v>Active</x:v>
      </x:c>
      <x:c r="W196" s="51" t="str">
        <x:v>57;76</x:v>
      </x:c>
      <x:c r="X196" s="51" t="str">
        <x:v>2026-07-27</x:v>
      </x:c>
    </x:row>
    <x:row r="197">
      <x:c r="A197" s="51" t="str">
        <x:v>CRY-008</x:v>
      </x:c>
      <x:c r="B197" s="51" t="str">
        <x:v>Political office–family business</x:v>
      </x:c>
      <x:c r="C197" s="51" t="str">
        <x:v>ACT-ERICTRUMP</x:v>
      </x:c>
      <x:c r="D197" s="51" t="str">
        <x:v>Eric Trump</x:v>
      </x:c>
      <x:c r="E197" s="51" t="str">
        <x:v>ACT-AMERICANBITCOIN</x:v>
      </x:c>
      <x:c r="F197" s="51" t="str">
        <x:v>American Bitcoin</x:v>
      </x:c>
      <x:c r="G197" s="51" t="str">
        <x:v>Person → company</x:v>
      </x:c>
      <x:c r="H197" s="51" t="str">
        <x:v>2025–present</x:v>
      </x:c>
      <x:c r="I197" s="51" t="str">
        <x:v>Co-founder / chief strategy relationship</x:v>
      </x:c>
      <x:c r="J197" s="51" t="str">
        <x:v>INS-046</x:v>
      </x:c>
      <x:c r="K197" s="51" t="str">
        <x:v>Large retained ownership through merger</x:v>
      </x:c>
      <x:c r="L197" s="51" t="str">
        <x:v>Family brand and crypto-market access</x:v>
      </x:c>
      <x:c r="M197" s="51" t="str">
        <x:v>Publicly listed Bitcoin accumulation vehicle</x:v>
      </x:c>
      <x:c r="N197" s="51" t="str">
        <x:v>Political-family reputation is converted into a listed-market crypto platform</x:v>
      </x:c>
      <x:c r="O197" s="51" t="str">
        <x:v>Financial; relational; narrative</x:v>
      </x:c>
      <x:c r="P197" s="51" t="str">
        <x:v>E1</x:v>
      </x:c>
      <x:c r="Q197" s="51" t="str">
        <x:v>High</x:v>
      </x:c>
      <x:c r="R197" s="51" t="str">
        <x:v>SRC-076</x:v>
      </x:c>
      <x:c r="S197" s="51" t="str">
        <x:v>Eric Trump and Donald Trump Jr. were identified as backers/owners in the merger transaction.</x:v>
      </x:c>
      <x:c r="T197" s="51" t="str">
        <x:v>Presidential control of the company or guaranteed investment performance.</x:v>
      </x:c>
      <x:c r="U197" s="51" t="str">
        <x:v>Crypto price exposure and corporate governance remain independent risks.</x:v>
      </x:c>
      <x:c r="V197" s="51" t="str">
        <x:v>Active</x:v>
      </x:c>
      <x:c r="W197" s="51" t="str">
        <x:v>57;76</x:v>
      </x:c>
      <x:c r="X197" s="51" t="str">
        <x:v>2026-07-27</x:v>
      </x:c>
    </x:row>
    <x:row r="198">
      <x:c r="A198" s="51" t="str">
        <x:v>CRY-009</x:v>
      </x:c>
      <x:c r="B198" s="51" t="str">
        <x:v>Political office–regulation</x:v>
      </x:c>
      <x:c r="C198" s="51" t="str">
        <x:v>ACT-DONALDTRUMP</x:v>
      </x:c>
      <x:c r="D198" s="51" t="str">
        <x:v>Donald Trump</x:v>
      </x:c>
      <x:c r="E198" s="51" t="str">
        <x:v>ACT-USDEPARTMENTOFJUSTICE</x:v>
      </x:c>
      <x:c r="F198" s="51" t="str">
        <x:v>US Department of Justice</x:v>
      </x:c>
      <x:c r="G198" s="51" t="str">
        <x:v>President → justice agency</x:v>
      </x:c>
      <x:c r="H198" s="51" t="str">
        <x:v>2025</x:v>
      </x:c>
      <x:c r="I198" s="51" t="str">
        <x:v>Policy direction / appointment environment</x:v>
      </x:c>
      <x:c r="J198" s="51" t="str"/>
      <x:c r="K198" s="51" t="str">
        <x:v>System-wide</x:v>
      </x:c>
      <x:c r="L198" s="51" t="str">
        <x:v>Executive policy priorities</x:v>
      </x:c>
      <x:c r="M198" s="51" t="str">
        <x:v>Changed federal crypto-enforcement posture</x:v>
      </x:c>
      <x:c r="N198" s="51" t="str">
        <x:v>Political authority can change the enforcement environment affecting an industry linked to family wealth</x:v>
      </x:c>
      <x:c r="O198" s="51" t="str">
        <x:v>Institutional; enforcement; financial</x:v>
      </x:c>
      <x:c r="P198" s="51" t="str">
        <x:v>S1</x:v>
      </x:c>
      <x:c r="Q198" s="51" t="str">
        <x:v>High</x:v>
      </x:c>
      <x:c r="R198" s="51" t="str">
        <x:v>SRC-077; SRC-073</x:v>
      </x:c>
      <x:c r="S198" s="51" t="str">
        <x:v>DOJ disbanded its crypto enforcement unit under a policy aligned with the administration's deregulatory approach.</x:v>
      </x:c>
      <x:c r="T198" s="51" t="str">
        <x:v>That the change was ordered to enrich the Trump family or that all enforcement ceased.</x:v>
      </x:c>
      <x:c r="U198" s="51" t="str">
        <x:v>The stated rationale was to focus on intentional criminal conduct rather than regulation by prosecution.</x:v>
      </x:c>
      <x:c r="V198" s="51" t="str">
        <x:v>Active</x:v>
      </x:c>
      <x:c r="W198" s="51" t="str">
        <x:v>10;57;76</x:v>
      </x:c>
      <x:c r="X198" s="51" t="str">
        <x:v>2026-07-27</x:v>
      </x:c>
    </x:row>
    <x:row r="199">
      <x:c r="A199" s="51" t="str">
        <x:v>CRY-010</x:v>
      </x:c>
      <x:c r="B199" s="51" t="str">
        <x:v>Evidence boundary</x:v>
      </x:c>
      <x:c r="C199" s="51" t="str">
        <x:v>ACT-DONALDTRUMP</x:v>
      </x:c>
      <x:c r="D199" s="51" t="str">
        <x:v>Donald Trump</x:v>
      </x:c>
      <x:c r="E199" s="51" t="str">
        <x:v>ACT-WORLDLIBERTYFINANCIAL</x:v>
      </x:c>
      <x:c r="F199" s="51" t="str">
        <x:v>World Liberty Financial</x:v>
      </x:c>
      <x:c r="G199" s="51" t="str">
        <x:v>Claim boundary</x:v>
      </x:c>
      <x:c r="H199" s="51" t="str">
        <x:v>Current review</x:v>
      </x:c>
      <x:c r="I199" s="51" t="str">
        <x:v>Unproven quid-pro-quo claim</x:v>
      </x:c>
      <x:c r="J199" s="51" t="str"/>
      <x:c r="K199" s="51" t="str">
        <x:v>N/A</x:v>
      </x:c>
      <x:c r="L199" s="51" t="str">
        <x:v>Office plus private financial interest</x:v>
      </x:c>
      <x:c r="M199" s="51" t="str">
        <x:v>Claimed sale of policy for investment</x:v>
      </x:c>
      <x:c r="N199" s="51" t="str">
        <x:v>Conflict risk is converted into a definitive corruption conclusion without transaction-specific proof</x:v>
      </x:c>
      <x:c r="O199" s="51" t="str">
        <x:v>Epistemic; legal; narrative</x:v>
      </x:c>
      <x:c r="P199" s="51" t="str">
        <x:v>U1</x:v>
      </x:c>
      <x:c r="Q199" s="51" t="str">
        <x:v>Very low</x:v>
      </x:c>
      <x:c r="R199" s="51" t="str">
        <x:v>SRC-071; SRC-072; SRC-073</x:v>
      </x:c>
      <x:c r="S199" s="51" t="str">
        <x:v>Current office, family financial interests and foreign-linked transactions coexist.</x:v>
      </x:c>
      <x:c r="T199" s="51" t="str">
        <x:v>A specific corrupt bargain or policy exchange.</x:v>
      </x:c>
      <x:c r="U199" s="51" t="str">
        <x:v>The configuration warrants disclosure, recusal and investigation, not automatic conviction.</x:v>
      </x:c>
      <x:c r="V199" s="51" t="str">
        <x:v>Unsupported without further evidence</x:v>
      </x:c>
      <x:c r="W199" s="51" t="str">
        <x:v>57;79</x:v>
      </x:c>
      <x:c r="X199" s="51" t="str">
        <x:v>2026-07-27</x:v>
      </x:c>
    </x:row>
    <x:row r="200">
      <x:c r="A200" s="51" t="str">
        <x:v>CRY-011</x:v>
      </x:c>
      <x:c r="B200" s="51" t="str">
        <x:v>Political office–family business</x:v>
      </x:c>
      <x:c r="C200" s="51" t="str">
        <x:v>ACT-DONALDTRUMPJR</x:v>
      </x:c>
      <x:c r="D200" s="51" t="str">
        <x:v>Donald Trump Jr.</x:v>
      </x:c>
      <x:c r="E200" s="51" t="str">
        <x:v>ACT-AMERICANBITCOIN</x:v>
      </x:c>
      <x:c r="F200" s="51" t="str">
        <x:v>American Bitcoin</x:v>
      </x:c>
      <x:c r="G200" s="51" t="str">
        <x:v>Person → company</x:v>
      </x:c>
      <x:c r="H200" s="51" t="str">
        <x:v>2025–present</x:v>
      </x:c>
      <x:c r="I200" s="51" t="str">
        <x:v>Backer / retained owner relationship</x:v>
      </x:c>
      <x:c r="J200" s="51" t="str">
        <x:v>INS-046</x:v>
      </x:c>
      <x:c r="K200" s="51" t="str">
        <x:v>Existing shareholders retain 98% collectively reported</x:v>
      </x:c>
      <x:c r="L200" s="51" t="str">
        <x:v>Family brand, capital and crypto network</x:v>
      </x:c>
      <x:c r="M200" s="51" t="str">
        <x:v>Publicly listed Bitcoin accumulation exposure</x:v>
      </x:c>
      <x:c r="N200" s="51" t="str">
        <x:v>Political-family visibility is converted into capital-market and cryptocurrency access</x:v>
      </x:c>
      <x:c r="O200" s="51" t="str">
        <x:v>Financial; relational; narrative</x:v>
      </x:c>
      <x:c r="P200" s="51" t="str">
        <x:v>E1</x:v>
      </x:c>
      <x:c r="Q200" s="51" t="str">
        <x:v>High</x:v>
      </x:c>
      <x:c r="R200" s="51" t="str">
        <x:v>SRC-076</x:v>
      </x:c>
      <x:c r="S200" s="51" t="str">
        <x:v>Donald Trump Jr. was identified as a backer/shareholder in the American Bitcoin merger.</x:v>
      </x:c>
      <x:c r="T200" s="51" t="str">
        <x:v>Presidential control, guaranteed performance or improper regulatory treatment.</x:v>
      </x:c>
      <x:c r="U200" s="51" t="str">
        <x:v>The company remains exposed to Bitcoin prices, mining economics and public-company governance.</x:v>
      </x:c>
      <x:c r="V200" s="51" t="str">
        <x:v>Active / transaction status should be updated</x:v>
      </x:c>
      <x:c r="W200" s="51" t="str">
        <x:v>57;76</x:v>
      </x:c>
      <x:c r="X200" s="51" t="str">
        <x:v>2026-07-27</x:v>
      </x:c>
    </x:row>
    <x:row r="201">
      <x:c r="A201" s="51" t="str">
        <x:v>CTL-001</x:v>
      </x:c>
      <x:c r="B201" s="51" t="str">
        <x:v>Semiconductor control rights</x:v>
      </x:c>
      <x:c r="C201" s="51" t="str">
        <x:v>ACT-USDEPARTMENTOFCOMMERCE</x:v>
      </x:c>
      <x:c r="D201" s="51" t="str">
        <x:v>US Department of Commerce</x:v>
      </x:c>
      <x:c r="E201" s="51" t="str">
        <x:v>ACT-USBUREAUOFINDUSTRYANDSEC</x:v>
      </x:c>
      <x:c r="F201" s="51" t="str">
        <x:v>US Bureau of Industry and Security</x:v>
      </x:c>
      <x:c r="G201" s="51" t="str">
        <x:v>Department → bureau</x:v>
      </x:c>
      <x:c r="H201" s="51" t="str">
        <x:v>Ongoing</x:v>
      </x:c>
      <x:c r="I201" s="51" t="str">
        <x:v>Delegated export-control authority</x:v>
      </x:c>
      <x:c r="J201" s="51" t="str">
        <x:v>INS-071; INS-072</x:v>
      </x:c>
      <x:c r="K201" s="51" t="str">
        <x:v>Federal authority</x:v>
      </x:c>
      <x:c r="L201" s="51" t="str">
        <x:v>Trade and national-security policy</x:v>
      </x:c>
      <x:c r="M201" s="51" t="str">
        <x:v>Licences, denials and compliance obligations</x:v>
      </x:c>
      <x:c r="N201" s="51" t="str">
        <x:v>Executive authority is converted into transaction-specific permission over strategic technology</x:v>
      </x:c>
      <x:c r="O201" s="51" t="str">
        <x:v>Institutional; technological; enforcement</x:v>
      </x:c>
      <x:c r="P201" s="51" t="str">
        <x:v>E1</x:v>
      </x:c>
      <x:c r="Q201" s="51" t="str">
        <x:v>Very high</x:v>
      </x:c>
      <x:c r="R201" s="51" t="str">
        <x:v>SRC-147; SRC-148</x:v>
      </x:c>
      <x:c r="S201" s="51" t="str">
        <x:v>BIS administers advanced-computing and semiconductor export controls under Commerce.</x:v>
      </x:c>
      <x:c r="T201" s="51" t="str">
        <x:v>Direct ownership of chip companies or guaranteed technological containment.</x:v>
      </x:c>
      <x:c r="U201" s="51" t="str">
        <x:v>Controls depend on classification, end use, foreign cooperation and enforcement.</x:v>
      </x:c>
      <x:c r="V201" s="51" t="str">
        <x:v>Active</x:v>
      </x:c>
      <x:c r="W201" s="51" t="str">
        <x:v>43;57;76</x:v>
      </x:c>
      <x:c r="X201" s="51" t="str">
        <x:v>2026-07-27</x:v>
      </x:c>
    </x:row>
    <x:row r="202">
      <x:c r="A202" s="51" t="str">
        <x:v>CTL-002</x:v>
      </x:c>
      <x:c r="B202" s="51" t="str">
        <x:v>Semiconductor control rights</x:v>
      </x:c>
      <x:c r="C202" s="51" t="str">
        <x:v>ACT-USBUREAUOFINDUSTRYANDSEC</x:v>
      </x:c>
      <x:c r="D202" s="51" t="str">
        <x:v>US Bureau of Industry and Security</x:v>
      </x:c>
      <x:c r="E202" s="51" t="str">
        <x:v>ACT-ADVANCEDCOMPUTINGCUSTOME</x:v>
      </x:c>
      <x:c r="F202" s="51" t="str">
        <x:v>Advanced computing customers in China</x:v>
      </x:c>
      <x:c r="G202" s="51" t="str">
        <x:v>Authority → potential recipients</x:v>
      </x:c>
      <x:c r="H202" s="51" t="str">
        <x:v>2026</x:v>
      </x:c>
      <x:c r="I202" s="51" t="str">
        <x:v>Export licence gate</x:v>
      </x:c>
      <x:c r="J202" s="51" t="str">
        <x:v>INS-071</x:v>
      </x:c>
      <x:c r="K202" s="51" t="str">
        <x:v>H200/MI325X-class and similar products</x:v>
      </x:c>
      <x:c r="L202" s="51" t="str">
        <x:v>Demand for advanced accelerators</x:v>
      </x:c>
      <x:c r="M202" s="51" t="str">
        <x:v>Conditional or denied access</x:v>
      </x:c>
      <x:c r="N202" s="51" t="str">
        <x:v>A licensing authority can change effective compute supply without owning fabs or chips</x:v>
      </x:c>
      <x:c r="O202" s="51" t="str">
        <x:v>Technological; enforcement; material</x:v>
      </x:c>
      <x:c r="P202" s="51" t="str">
        <x:v>E1</x:v>
      </x:c>
      <x:c r="Q202" s="51" t="str">
        <x:v>Very high</x:v>
      </x:c>
      <x:c r="R202" s="51" t="str">
        <x:v>SRC-147</x:v>
      </x:c>
      <x:c r="S202" s="51" t="str">
        <x:v>BIS moved specified advanced chips to case-by-case licensing under conditions.</x:v>
      </x:c>
      <x:c r="T202" s="51" t="str">
        <x:v>Guaranteed approval, complete embargo or control over chips already inside China.</x:v>
      </x:c>
      <x:c r="U202" s="51" t="str">
        <x:v>Implementation, diversion and domestic substitution affect practical impact.</x:v>
      </x:c>
      <x:c r="V202" s="51" t="str">
        <x:v>Active</x:v>
      </x:c>
      <x:c r="W202" s="51" t="str">
        <x:v>43;57;76</x:v>
      </x:c>
      <x:c r="X202" s="51" t="str">
        <x:v>2026-07-27</x:v>
      </x:c>
    </x:row>
    <x:row r="203">
      <x:c r="A203" s="51" t="str">
        <x:v>CTL-003</x:v>
      </x:c>
      <x:c r="B203" s="51" t="str">
        <x:v>Semiconductor control rights</x:v>
      </x:c>
      <x:c r="C203" s="51" t="str">
        <x:v>ACT-USBUREAUOFINDUSTRYANDSEC</x:v>
      </x:c>
      <x:c r="D203" s="51" t="str">
        <x:v>US Bureau of Industry and Security</x:v>
      </x:c>
      <x:c r="E203" s="51" t="str">
        <x:v>ACT-TSMC</x:v>
      </x:c>
      <x:c r="F203" s="51" t="str">
        <x:v>TSMC</x:v>
      </x:c>
      <x:c r="G203" s="51" t="str">
        <x:v>Authority → foundry compliance</x:v>
      </x:c>
      <x:c r="H203" s="51" t="str">
        <x:v>2025 onward</x:v>
      </x:c>
      <x:c r="I203" s="51" t="str">
        <x:v>Foundry due-diligence and licence obligations</x:v>
      </x:c>
      <x:c r="J203" s="51" t="str">
        <x:v>INS-072</x:v>
      </x:c>
      <x:c r="K203" s="51" t="str">
        <x:v>Advanced-node production</x:v>
      </x:c>
      <x:c r="L203" s="51" t="str">
        <x:v>Customer orders and mask/design information</x:v>
      </x:c>
      <x:c r="M203" s="51" t="str">
        <x:v>Screened manufacturing and shipment decisions</x:v>
      </x:c>
      <x:c r="N203" s="51" t="str">
        <x:v>Export rules reach foreign manufacturing when US-origin technology and legal jurisdiction create a regulatory nexus</x:v>
      </x:c>
      <x:c r="O203" s="51" t="str">
        <x:v>Technological; enforcement; informational</x:v>
      </x:c>
      <x:c r="P203" s="51" t="str">
        <x:v>E1</x:v>
      </x:c>
      <x:c r="Q203" s="51" t="str">
        <x:v>High</x:v>
      </x:c>
      <x:c r="R203" s="51" t="str">
        <x:v>SRC-148; SRC-151</x:v>
      </x:c>
      <x:c r="S203" s="51" t="str">
        <x:v>BIS imposed due-diligence requirements relevant to foundries manufacturing advanced chips.</x:v>
      </x:c>
      <x:c r="T203" s="51" t="str">
        <x:v>US ownership of TSMC or perfect detection of restricted designs.</x:v>
      </x:c>
      <x:c r="U203" s="51" t="str">
        <x:v>Foundry compliance depends on customer identification and supply-chain information.</x:v>
      </x:c>
      <x:c r="V203" s="51" t="str">
        <x:v>Active</x:v>
      </x:c>
      <x:c r="W203" s="51" t="str">
        <x:v>43;57;76</x:v>
      </x:c>
      <x:c r="X203" s="51" t="str">
        <x:v>2026-07-27</x:v>
      </x:c>
    </x:row>
    <x:row r="204">
      <x:c r="A204" s="51" t="str">
        <x:v>CTL-004</x:v>
      </x:c>
      <x:c r="B204" s="51" t="str">
        <x:v>Semiconductor control rights</x:v>
      </x:c>
      <x:c r="C204" s="51" t="str">
        <x:v>ACT-TSMC</x:v>
      </x:c>
      <x:c r="D204" s="51" t="str">
        <x:v>TSMC</x:v>
      </x:c>
      <x:c r="E204" s="51" t="str">
        <x:v>ACT-ADVANCEDCOMPUTINGCUSTOME</x:v>
      </x:c>
      <x:c r="F204" s="51" t="str">
        <x:v>Advanced computing customers in China</x:v>
      </x:c>
      <x:c r="G204" s="51" t="str">
        <x:v>Foundry → customers</x:v>
      </x:c>
      <x:c r="H204" s="51" t="str">
        <x:v>Ongoing / controlled</x:v>
      </x:c>
      <x:c r="I204" s="51" t="str">
        <x:v>Manufacturing service</x:v>
      </x:c>
      <x:c r="J204" s="51" t="str">
        <x:v>INS-072</x:v>
      </x:c>
      <x:c r="K204" s="51" t="str">
        <x:v>74% of 2025 wafer revenue from 7nm and below across all customers</x:v>
      </x:c>
      <x:c r="L204" s="51" t="str">
        <x:v>Chip designs and manufacturing orders</x:v>
      </x:c>
      <x:c r="M204" s="51" t="str">
        <x:v>Fabricated advanced semiconductors</x:v>
      </x:c>
      <x:c r="N204" s="51" t="str">
        <x:v>A merchant foundry converts intangible designs into scarce physical computation</x:v>
      </x:c>
      <x:c r="O204" s="51" t="str">
        <x:v>Material; technological; financial</x:v>
      </x:c>
      <x:c r="P204" s="51" t="str">
        <x:v>E1</x:v>
      </x:c>
      <x:c r="Q204" s="51" t="str">
        <x:v>High</x:v>
      </x:c>
      <x:c r="R204" s="51" t="str">
        <x:v>SRC-151</x:v>
      </x:c>
      <x:c r="S204" s="51" t="str">
        <x:v>TSMC is a leading advanced foundry with most wafer revenue from advanced nodes.</x:v>
      </x:c>
      <x:c r="T204" s="51" t="str">
        <x:v>That Chinese customers account for the stated percentage or that TSMC controls customer end use.</x:v>
      </x:c>
      <x:c r="U204" s="51" t="str">
        <x:v>The percentage covers TSMC's full customer base, not China specifically.</x:v>
      </x:c>
      <x:c r="V204" s="51" t="str">
        <x:v>Active / export controlled</x:v>
      </x:c>
      <x:c r="W204" s="51" t="str">
        <x:v>40;43;57</x:v>
      </x:c>
      <x:c r="X204" s="51" t="str">
        <x:v>2026-07-27</x:v>
      </x:c>
    </x:row>
    <x:row r="205">
      <x:c r="A205" s="51" t="str">
        <x:v>CTL-005</x:v>
      </x:c>
      <x:c r="B205" s="51" t="str">
        <x:v>Semiconductor control rights</x:v>
      </x:c>
      <x:c r="C205" s="51" t="str">
        <x:v>ACT-GOVERNMENTOFTHENETHERLAN</x:v>
      </x:c>
      <x:c r="D205" s="51" t="str">
        <x:v>Government of the Netherlands</x:v>
      </x:c>
      <x:c r="E205" s="51" t="str">
        <x:v>ACT-ASMLHOLDING</x:v>
      </x:c>
      <x:c r="F205" s="51" t="str">
        <x:v>ASML Holding</x:v>
      </x:c>
      <x:c r="G205" s="51" t="str">
        <x:v>Government → company</x:v>
      </x:c>
      <x:c r="H205" s="51" t="str">
        <x:v>Ongoing</x:v>
      </x:c>
      <x:c r="I205" s="51" t="str">
        <x:v>Export-licensing authority</x:v>
      </x:c>
      <x:c r="J205" s="51" t="str"/>
      <x:c r="K205" s="51" t="str">
        <x:v>Controlled lithography systems</x:v>
      </x:c>
      <x:c r="L205" s="51" t="str">
        <x:v>Foreign-policy and security decisions</x:v>
      </x:c>
      <x:c r="M205" s="51" t="str">
        <x:v>Permission or denial to ship equipment</x:v>
      </x:c>
      <x:c r="N205" s="51" t="str">
        <x:v>National licensing power reaches the most advanced manufacturing step through the jurisdiction of the equipment supplier</x:v>
      </x:c>
      <x:c r="O205" s="51" t="str">
        <x:v>Institutional; technological; enforcement</x:v>
      </x:c>
      <x:c r="P205" s="51" t="str">
        <x:v>E1</x:v>
      </x:c>
      <x:c r="Q205" s="51" t="str">
        <x:v>High</x:v>
      </x:c>
      <x:c r="R205" s="51" t="str">
        <x:v>SRC-150</x:v>
      </x:c>
      <x:c r="S205" s="51" t="str">
        <x:v>ASML's annual report describes expanded Dutch export-control requirements.</x:v>
      </x:c>
      <x:c r="T205" s="51" t="str">
        <x:v>Government ownership of ASML or a complete ban on all service and equipment.</x:v>
      </x:c>
      <x:c r="U205" s="51" t="str">
        <x:v>Controls vary by model, destination, service and licence decision.</x:v>
      </x:c>
      <x:c r="V205" s="51" t="str">
        <x:v>Active</x:v>
      </x:c>
      <x:c r="W205" s="51" t="str">
        <x:v>43;57;76</x:v>
      </x:c>
      <x:c r="X205" s="51" t="str">
        <x:v>2026-07-27</x:v>
      </x:c>
    </x:row>
    <x:row r="206">
      <x:c r="A206" s="51" t="str">
        <x:v>CTL-006</x:v>
      </x:c>
      <x:c r="B206" s="51" t="str">
        <x:v>Semiconductor control rights</x:v>
      </x:c>
      <x:c r="C206" s="51" t="str">
        <x:v>ACT-ASMLHOLDING</x:v>
      </x:c>
      <x:c r="D206" s="51" t="str">
        <x:v>ASML Holding</x:v>
      </x:c>
      <x:c r="E206" s="51" t="str">
        <x:v>ACT-TSMC</x:v>
      </x:c>
      <x:c r="F206" s="51" t="str">
        <x:v>TSMC</x:v>
      </x:c>
      <x:c r="G206" s="51" t="str">
        <x:v>Equipment supplier → foundry</x:v>
      </x:c>
      <x:c r="H206" s="51" t="str">
        <x:v>Ongoing</x:v>
      </x:c>
      <x:c r="I206" s="51" t="str">
        <x:v>Lithography equipment and service relationship</x:v>
      </x:c>
      <x:c r="J206" s="51" t="str"/>
      <x:c r="K206" s="51" t="str">
        <x:v>Strategic equipment</x:v>
      </x:c>
      <x:c r="L206" s="51" t="str">
        <x:v>Lithography systems, software and service</x:v>
      </x:c>
      <x:c r="M206" s="51" t="str">
        <x:v>Advanced-node wafer manufacturing capability</x:v>
      </x:c>
      <x:c r="N206" s="51" t="str">
        <x:v>A specialised equipment supplier controls a conversion step that cannot be replaced quickly</x:v>
      </x:c>
      <x:c r="O206" s="51" t="str">
        <x:v>Material; technological; relational</x:v>
      </x:c>
      <x:c r="P206" s="51" t="str">
        <x:v>S1</x:v>
      </x:c>
      <x:c r="Q206" s="51" t="str">
        <x:v>High</x:v>
      </x:c>
      <x:c r="R206" s="51" t="str">
        <x:v>SRC-150; SRC-151</x:v>
      </x:c>
      <x:c r="S206" s="51" t="str">
        <x:v>ASML and TSMC occupy complementary critical layers of advanced semiconductor production.</x:v>
      </x:c>
      <x:c r="T206" s="51" t="str">
        <x:v>Exclusive supply, ASML control of TSMC output or absence of competing tools in all process steps.</x:v>
      </x:c>
      <x:c r="U206" s="51" t="str">
        <x:v>The relationship should be expanded to exact equipment fleets and service contracts.</x:v>
      </x:c>
      <x:c r="V206" s="51" t="str">
        <x:v>Active</x:v>
      </x:c>
      <x:c r="W206" s="51" t="str">
        <x:v>40;43;57</x:v>
      </x:c>
      <x:c r="X206" s="51" t="str">
        <x:v>2026-07-27</x:v>
      </x:c>
    </x:row>
    <x:row r="207">
      <x:c r="A207" s="51" t="str">
        <x:v>CTL-007</x:v>
      </x:c>
      <x:c r="B207" s="51" t="str">
        <x:v>Semiconductor control rights</x:v>
      </x:c>
      <x:c r="C207" s="51" t="str">
        <x:v>ACT-USBUREAUOFINDUSTRYANDSEC</x:v>
      </x:c>
      <x:c r="D207" s="51" t="str">
        <x:v>US Bureau of Industry and Security</x:v>
      </x:c>
      <x:c r="E207" s="51" t="str">
        <x:v>ACT-SYNOPSYS</x:v>
      </x:c>
      <x:c r="F207" s="51" t="str">
        <x:v>Synopsys</x:v>
      </x:c>
      <x:c r="G207" s="51" t="str">
        <x:v>Authority → software supplier</x:v>
      </x:c>
      <x:c r="H207" s="51" t="str">
        <x:v>2025</x:v>
      </x:c>
      <x:c r="I207" s="51" t="str">
        <x:v>Temporary EDA export-control notice and rescission</x:v>
      </x:c>
      <x:c r="J207" s="51" t="str">
        <x:v>INS-073</x:v>
      </x:c>
      <x:c r="K207" s="51" t="str">
        <x:v>Industry-wide China access</x:v>
      </x:c>
      <x:c r="L207" s="51" t="str">
        <x:v>Export-control classification</x:v>
      </x:c>
      <x:c r="M207" s="51" t="str">
        <x:v>Access restoration or interruption</x:v>
      </x:c>
      <x:c r="N207" s="51" t="str">
        <x:v>A government can interrupt chip-design capability by licensing software distribution rather than controlling the fab</x:v>
      </x:c>
      <x:c r="O207" s="51" t="str">
        <x:v>Technological; informational; enforcement</x:v>
      </x:c>
      <x:c r="P207" s="51" t="str">
        <x:v>E1</x:v>
      </x:c>
      <x:c r="Q207" s="51" t="str">
        <x:v>Very high</x:v>
      </x:c>
      <x:c r="R207" s="51" t="str">
        <x:v>SRC-152</x:v>
      </x:c>
      <x:c r="S207" s="51" t="str">
        <x:v>Synopsys publicly disclosed the 2025 export-control intervention affecting EDA access to China.</x:v>
      </x:c>
      <x:c r="T207" s="51" t="str">
        <x:v>Permanent prohibition, company agreement with the policy or proof that Chinese design activity stopped.</x:v>
      </x:c>
      <x:c r="U207" s="51" t="str">
        <x:v>The notices were subsequently rescinded, demonstrating policy reversibility.</x:v>
      </x:c>
      <x:c r="V207" s="51" t="str">
        <x:v>Historical</x:v>
      </x:c>
      <x:c r="W207" s="51" t="str">
        <x:v>43;57;76</x:v>
      </x:c>
      <x:c r="X207" s="51" t="str">
        <x:v>2026-07-27</x:v>
      </x:c>
    </x:row>
    <x:row r="208">
      <x:c r="A208" s="51" t="str">
        <x:v>CTL-008</x:v>
      </x:c>
      <x:c r="B208" s="51" t="str">
        <x:v>Semiconductor control rights</x:v>
      </x:c>
      <x:c r="C208" s="51" t="str">
        <x:v>ACT-USBUREAUOFINDUSTRYANDSEC</x:v>
      </x:c>
      <x:c r="D208" s="51" t="str">
        <x:v>US Bureau of Industry and Security</x:v>
      </x:c>
      <x:c r="E208" s="51" t="str">
        <x:v>ACT-CADENCEDESIGNSYSTEMS</x:v>
      </x:c>
      <x:c r="F208" s="51" t="str">
        <x:v>Cadence Design Systems</x:v>
      </x:c>
      <x:c r="G208" s="51" t="str">
        <x:v>Authority → software supplier</x:v>
      </x:c>
      <x:c r="H208" s="51" t="str">
        <x:v>2025</x:v>
      </x:c>
      <x:c r="I208" s="51" t="str">
        <x:v>Temporary EDA export-control notice and rescission</x:v>
      </x:c>
      <x:c r="J208" s="51" t="str">
        <x:v>INS-073</x:v>
      </x:c>
      <x:c r="K208" s="51" t="str">
        <x:v>Industry-wide China access</x:v>
      </x:c>
      <x:c r="L208" s="51" t="str">
        <x:v>Export-control classification</x:v>
      </x:c>
      <x:c r="M208" s="51" t="str">
        <x:v>Access restoration or interruption</x:v>
      </x:c>
      <x:c r="N208" s="51" t="str">
        <x:v>A government can interrupt chip-design capability by licensing software distribution rather than controlling the fab</x:v>
      </x:c>
      <x:c r="O208" s="51" t="str">
        <x:v>Technological; informational; enforcement</x:v>
      </x:c>
      <x:c r="P208" s="51" t="str">
        <x:v>E1</x:v>
      </x:c>
      <x:c r="Q208" s="51" t="str">
        <x:v>Very high</x:v>
      </x:c>
      <x:c r="R208" s="51" t="str">
        <x:v>SRC-153</x:v>
      </x:c>
      <x:c r="S208" s="51" t="str">
        <x:v>Cadence Design Systems publicly disclosed the 2025 export-control intervention affecting EDA access to China.</x:v>
      </x:c>
      <x:c r="T208" s="51" t="str">
        <x:v>Permanent prohibition, company agreement with the policy or proof that Chinese design activity stopped.</x:v>
      </x:c>
      <x:c r="U208" s="51" t="str">
        <x:v>The notices were subsequently rescinded, demonstrating policy reversibility.</x:v>
      </x:c>
      <x:c r="V208" s="51" t="str">
        <x:v>Historical</x:v>
      </x:c>
      <x:c r="W208" s="51" t="str">
        <x:v>43;57;76</x:v>
      </x:c>
      <x:c r="X208" s="51" t="str">
        <x:v>2026-07-27</x:v>
      </x:c>
    </x:row>
    <x:row r="209">
      <x:c r="A209" s="51" t="str">
        <x:v>CTL-009</x:v>
      </x:c>
      <x:c r="B209" s="51" t="str">
        <x:v>Semiconductor control rights</x:v>
      </x:c>
      <x:c r="C209" s="51" t="str">
        <x:v>ACT-USBUREAUOFINDUSTRYANDSEC</x:v>
      </x:c>
      <x:c r="D209" s="51" t="str">
        <x:v>US Bureau of Industry and Security</x:v>
      </x:c>
      <x:c r="E209" s="51" t="str">
        <x:v>ACT-SIEMENSEDA</x:v>
      </x:c>
      <x:c r="F209" s="51" t="str">
        <x:v>Siemens EDA</x:v>
      </x:c>
      <x:c r="G209" s="51" t="str">
        <x:v>Authority → software supplier</x:v>
      </x:c>
      <x:c r="H209" s="51" t="str">
        <x:v>2025</x:v>
      </x:c>
      <x:c r="I209" s="51" t="str">
        <x:v>Temporary EDA export-control notice and rescission</x:v>
      </x:c>
      <x:c r="J209" s="51" t="str">
        <x:v>INS-073</x:v>
      </x:c>
      <x:c r="K209" s="51" t="str">
        <x:v>Industry-wide China access</x:v>
      </x:c>
      <x:c r="L209" s="51" t="str">
        <x:v>Export-control classification</x:v>
      </x:c>
      <x:c r="M209" s="51" t="str">
        <x:v>Access restoration or interruption</x:v>
      </x:c>
      <x:c r="N209" s="51" t="str">
        <x:v>A government can interrupt chip-design capability by licensing software distribution rather than controlling the fab</x:v>
      </x:c>
      <x:c r="O209" s="51" t="str">
        <x:v>Technological; informational; enforcement</x:v>
      </x:c>
      <x:c r="P209" s="51" t="str">
        <x:v>E1</x:v>
      </x:c>
      <x:c r="Q209" s="51" t="str">
        <x:v>Very high</x:v>
      </x:c>
      <x:c r="R209" s="51" t="str">
        <x:v>SRC-154</x:v>
      </x:c>
      <x:c r="S209" s="51" t="str">
        <x:v>Siemens EDA publicly disclosed the 2025 export-control intervention affecting EDA access to China.</x:v>
      </x:c>
      <x:c r="T209" s="51" t="str">
        <x:v>Permanent prohibition, company agreement with the policy or proof that Chinese design activity stopped.</x:v>
      </x:c>
      <x:c r="U209" s="51" t="str">
        <x:v>The notices were subsequently rescinded, demonstrating policy reversibility.</x:v>
      </x:c>
      <x:c r="V209" s="51" t="str">
        <x:v>Historical</x:v>
      </x:c>
      <x:c r="W209" s="51" t="str">
        <x:v>43;57;76</x:v>
      </x:c>
      <x:c r="X209" s="51" t="str">
        <x:v>2026-07-27</x:v>
      </x:c>
    </x:row>
    <x:row r="210">
      <x:c r="A210" s="51" t="str">
        <x:v>CTL-010</x:v>
      </x:c>
      <x:c r="B210" s="51" t="str">
        <x:v>Semiconductor control rights</x:v>
      </x:c>
      <x:c r="C210" s="51" t="str">
        <x:v>ACT-SYNOPSYS</x:v>
      </x:c>
      <x:c r="D210" s="51" t="str">
        <x:v>Synopsys</x:v>
      </x:c>
      <x:c r="E210" s="51" t="str">
        <x:v>ACT-ADVANCEDCOMPUTINGCUSTOME</x:v>
      </x:c>
      <x:c r="F210" s="51" t="str">
        <x:v>Advanced computing customers in China</x:v>
      </x:c>
      <x:c r="G210" s="51" t="str">
        <x:v>Software supplier → designers</x:v>
      </x:c>
      <x:c r="H210" s="51" t="str">
        <x:v>Ongoing / licence-sensitive</x:v>
      </x:c>
      <x:c r="I210" s="51" t="str">
        <x:v>EDA software and technology access</x:v>
      </x:c>
      <x:c r="J210" s="51" t="str">
        <x:v>INS-073</x:v>
      </x:c>
      <x:c r="K210" s="51" t="str">
        <x:v>Strategic design tools</x:v>
      </x:c>
      <x:c r="L210" s="51" t="str">
        <x:v>Circuit descriptions and verification requirements</x:v>
      </x:c>
      <x:c r="M210" s="51" t="str">
        <x:v>Manufacturable chip designs</x:v>
      </x:c>
      <x:c r="N210" s="51" t="str">
        <x:v>EDA platforms convert engineering knowledge into designs that can pass verification and fabrication</x:v>
      </x:c>
      <x:c r="O210" s="51" t="str">
        <x:v>Informational; technological; financial</x:v>
      </x:c>
      <x:c r="P210" s="51" t="str">
        <x:v>S1</x:v>
      </x:c>
      <x:c r="Q210" s="51" t="str">
        <x:v>High</x:v>
      </x:c>
      <x:c r="R210" s="51" t="str">
        <x:v>SRC-152; SRC-153; SRC-154</x:v>
      </x:c>
      <x:c r="S210" s="51" t="str">
        <x:v>Synopsys is a major EDA supplier whose China access was affected by US licensing policy.</x:v>
      </x:c>
      <x:c r="T210" s="51" t="str">
        <x:v>That Chinese designers cannot use alternative or domestic tools, or that every tool is controlled.</x:v>
      </x:c>
      <x:c r="U210" s="51" t="str">
        <x:v>Tool substitution is possible but difficult at advanced complexity and established workflows.</x:v>
      </x:c>
      <x:c r="V210" s="51" t="str">
        <x:v>Active</x:v>
      </x:c>
      <x:c r="W210" s="51" t="str">
        <x:v>43;57;76</x:v>
      </x:c>
      <x:c r="X210" s="51" t="str">
        <x:v>2026-07-27</x:v>
      </x:c>
    </x:row>
    <x:row r="211">
      <x:c r="A211" s="51" t="str">
        <x:v>CTL-011</x:v>
      </x:c>
      <x:c r="B211" s="51" t="str">
        <x:v>Semiconductor control rights</x:v>
      </x:c>
      <x:c r="C211" s="51" t="str">
        <x:v>ACT-CADENCEDESIGNSYSTEMS</x:v>
      </x:c>
      <x:c r="D211" s="51" t="str">
        <x:v>Cadence Design Systems</x:v>
      </x:c>
      <x:c r="E211" s="51" t="str">
        <x:v>ACT-ADVANCEDCOMPUTINGCUSTOME</x:v>
      </x:c>
      <x:c r="F211" s="51" t="str">
        <x:v>Advanced computing customers in China</x:v>
      </x:c>
      <x:c r="G211" s="51" t="str">
        <x:v>Software supplier → designers</x:v>
      </x:c>
      <x:c r="H211" s="51" t="str">
        <x:v>Ongoing / licence-sensitive</x:v>
      </x:c>
      <x:c r="I211" s="51" t="str">
        <x:v>EDA software and technology access</x:v>
      </x:c>
      <x:c r="J211" s="51" t="str">
        <x:v>INS-073</x:v>
      </x:c>
      <x:c r="K211" s="51" t="str">
        <x:v>Strategic design tools</x:v>
      </x:c>
      <x:c r="L211" s="51" t="str">
        <x:v>Circuit descriptions and verification requirements</x:v>
      </x:c>
      <x:c r="M211" s="51" t="str">
        <x:v>Manufacturable chip designs</x:v>
      </x:c>
      <x:c r="N211" s="51" t="str">
        <x:v>EDA platforms convert engineering knowledge into designs that can pass verification and fabrication</x:v>
      </x:c>
      <x:c r="O211" s="51" t="str">
        <x:v>Informational; technological; financial</x:v>
      </x:c>
      <x:c r="P211" s="51" t="str">
        <x:v>S1</x:v>
      </x:c>
      <x:c r="Q211" s="51" t="str">
        <x:v>High</x:v>
      </x:c>
      <x:c r="R211" s="51" t="str">
        <x:v>SRC-152; SRC-153; SRC-154</x:v>
      </x:c>
      <x:c r="S211" s="51" t="str">
        <x:v>Cadence Design Systems is a major EDA supplier whose China access was affected by US licensing policy.</x:v>
      </x:c>
      <x:c r="T211" s="51" t="str">
        <x:v>That Chinese designers cannot use alternative or domestic tools, or that every tool is controlled.</x:v>
      </x:c>
      <x:c r="U211" s="51" t="str">
        <x:v>Tool substitution is possible but difficult at advanced complexity and established workflows.</x:v>
      </x:c>
      <x:c r="V211" s="51" t="str">
        <x:v>Active</x:v>
      </x:c>
      <x:c r="W211" s="51" t="str">
        <x:v>43;57;76</x:v>
      </x:c>
      <x:c r="X211" s="51" t="str">
        <x:v>2026-07-27</x:v>
      </x:c>
    </x:row>
    <x:row r="212">
      <x:c r="A212" s="51" t="str">
        <x:v>CTL-012</x:v>
      </x:c>
      <x:c r="B212" s="51" t="str">
        <x:v>Semiconductor control rights</x:v>
      </x:c>
      <x:c r="C212" s="51" t="str">
        <x:v>ACT-SIEMENSEDA</x:v>
      </x:c>
      <x:c r="D212" s="51" t="str">
        <x:v>Siemens EDA</x:v>
      </x:c>
      <x:c r="E212" s="51" t="str">
        <x:v>ACT-ADVANCEDCOMPUTINGCUSTOME</x:v>
      </x:c>
      <x:c r="F212" s="51" t="str">
        <x:v>Advanced computing customers in China</x:v>
      </x:c>
      <x:c r="G212" s="51" t="str">
        <x:v>Software supplier → designers</x:v>
      </x:c>
      <x:c r="H212" s="51" t="str">
        <x:v>Ongoing / licence-sensitive</x:v>
      </x:c>
      <x:c r="I212" s="51" t="str">
        <x:v>EDA software and technology access</x:v>
      </x:c>
      <x:c r="J212" s="51" t="str">
        <x:v>INS-073</x:v>
      </x:c>
      <x:c r="K212" s="51" t="str">
        <x:v>Strategic design tools</x:v>
      </x:c>
      <x:c r="L212" s="51" t="str">
        <x:v>Circuit descriptions and verification requirements</x:v>
      </x:c>
      <x:c r="M212" s="51" t="str">
        <x:v>Manufacturable chip designs</x:v>
      </x:c>
      <x:c r="N212" s="51" t="str">
        <x:v>EDA platforms convert engineering knowledge into designs that can pass verification and fabrication</x:v>
      </x:c>
      <x:c r="O212" s="51" t="str">
        <x:v>Informational; technological; financial</x:v>
      </x:c>
      <x:c r="P212" s="51" t="str">
        <x:v>S1</x:v>
      </x:c>
      <x:c r="Q212" s="51" t="str">
        <x:v>High</x:v>
      </x:c>
      <x:c r="R212" s="51" t="str">
        <x:v>SRC-152; SRC-153; SRC-154</x:v>
      </x:c>
      <x:c r="S212" s="51" t="str">
        <x:v>Siemens EDA is a major EDA supplier whose China access was affected by US licensing policy.</x:v>
      </x:c>
      <x:c r="T212" s="51" t="str">
        <x:v>That Chinese designers cannot use alternative or domestic tools, or that every tool is controlled.</x:v>
      </x:c>
      <x:c r="U212" s="51" t="str">
        <x:v>Tool substitution is possible but difficult at advanced complexity and established workflows.</x:v>
      </x:c>
      <x:c r="V212" s="51" t="str">
        <x:v>Active</x:v>
      </x:c>
      <x:c r="W212" s="51" t="str">
        <x:v>43;57;76</x:v>
      </x:c>
      <x:c r="X212" s="51" t="str">
        <x:v>2026-07-27</x:v>
      </x:c>
    </x:row>
    <x:row r="213">
      <x:c r="A213" s="51" t="str">
        <x:v>CTL-013</x:v>
      </x:c>
      <x:c r="B213" s="51" t="str">
        <x:v>Semiconductor control rights</x:v>
      </x:c>
      <x:c r="C213" s="51" t="str">
        <x:v>ACT-SYNOPSYS</x:v>
      </x:c>
      <x:c r="D213" s="51" t="str">
        <x:v>Synopsys</x:v>
      </x:c>
      <x:c r="E213" s="51" t="str">
        <x:v>ACT-ANSYS</x:v>
      </x:c>
      <x:c r="F213" s="51" t="str">
        <x:v>Ansys</x:v>
      </x:c>
      <x:c r="G213" s="51" t="str">
        <x:v>Acquirer → company</x:v>
      </x:c>
      <x:c r="H213" s="51" t="str">
        <x:v>2025</x:v>
      </x:c>
      <x:c r="I213" s="51" t="str">
        <x:v>Completed acquisition</x:v>
      </x:c>
      <x:c r="J213" s="51" t="str">
        <x:v>INS-074</x:v>
      </x:c>
      <x:c r="K213" s="51" t="str">
        <x:v>Approximately $35bn original deal value</x:v>
      </x:c>
      <x:c r="L213" s="51" t="str">
        <x:v>EDA platform and capital</x:v>
      </x:c>
      <x:c r="M213" s="51" t="str">
        <x:v>Integrated silicon-to-systems simulation stack</x:v>
      </x:c>
      <x:c r="N213" s="51" t="str">
        <x:v>Corporate consolidation joins chip design, multiphysics simulation and system verification inside one vendor</x:v>
      </x:c>
      <x:c r="O213" s="51" t="str">
        <x:v>Ownership; informational; technological</x:v>
      </x:c>
      <x:c r="P213" s="51" t="str">
        <x:v>E1</x:v>
      </x:c>
      <x:c r="Q213" s="51" t="str">
        <x:v>Very high</x:v>
      </x:c>
      <x:c r="R213" s="51" t="str">
        <x:v>SRC-155</x:v>
      </x:c>
      <x:c r="S213" s="51" t="str">
        <x:v>Synopsys completed the acquisition of Ansys.</x:v>
      </x:c>
      <x:c r="T213" s="51" t="str">
        <x:v>Monopoly over all engineering software or automatic customer lock-in.</x:v>
      </x:c>
      <x:c r="U213" s="51" t="str">
        <x:v>Regulatory remedies, competitors and customer multi-vendor strategies remain relevant.</x:v>
      </x:c>
      <x:c r="V213" s="51" t="str">
        <x:v>Completed</x:v>
      </x:c>
      <x:c r="W213" s="51" t="str">
        <x:v>57;76</x:v>
      </x:c>
      <x:c r="X213" s="51" t="str">
        <x:v>2026-07-27</x:v>
      </x:c>
    </x:row>
    <x:row r="214">
      <x:c r="A214" s="51" t="str">
        <x:v>DAT-001</x:v>
      </x:c>
      <x:c r="B214" s="51" t="str">
        <x:v>Data and identity infrastructure</x:v>
      </x:c>
      <x:c r="C214" s="51" t="str">
        <x:v>ACT-RELX</x:v>
      </x:c>
      <x:c r="D214" s="51" t="str">
        <x:v>RELX</x:v>
      </x:c>
      <x:c r="E214" s="51" t="str">
        <x:v>ACT-LEXISNEXISRISKSOLUTIONS</x:v>
      </x:c>
      <x:c r="F214" s="51" t="str">
        <x:v>LexisNexis Risk Solutions</x:v>
      </x:c>
      <x:c r="G214" s="51" t="str">
        <x:v>Parent → company</x:v>
      </x:c>
      <x:c r="H214" s="51" t="str">
        <x:v>Ongoing</x:v>
      </x:c>
      <x:c r="I214" s="51" t="str">
        <x:v>Corporate ownership and information infrastructure</x:v>
      </x:c>
      <x:c r="J214" s="51" t="str"/>
      <x:c r="K214" s="51" t="str">
        <x:v>Global business</x:v>
      </x:c>
      <x:c r="L214" s="51" t="str">
        <x:v>Data assets, publishing and analytics capital</x:v>
      </x:c>
      <x:c r="M214" s="51" t="str">
        <x:v>Government identity, fraud and risk products</x:v>
      </x:c>
      <x:c r="N214" s="51" t="str">
        <x:v>A diversified information group converts accumulated records into operational decision tools</x:v>
      </x:c>
      <x:c r="O214" s="51" t="str">
        <x:v>Ownership; informational; financial</x:v>
      </x:c>
      <x:c r="P214" s="51" t="str">
        <x:v>E1</x:v>
      </x:c>
      <x:c r="Q214" s="51" t="str">
        <x:v>High</x:v>
      </x:c>
      <x:c r="R214" s="51" t="str">
        <x:v>SRC-134</x:v>
      </x:c>
      <x:c r="S214" s="51" t="str">
        <x:v>LexisNexis Risk Solutions is part of the RELX information ecosystem.</x:v>
      </x:c>
      <x:c r="T214" s="51" t="str">
        <x:v>RELX access to every government decision or accuracy of every linked identity.</x:v>
      </x:c>
      <x:c r="U214" s="51" t="str">
        <x:v>Products and legal entities vary across jurisdictions.</x:v>
      </x:c>
      <x:c r="V214" s="51" t="str">
        <x:v>Active</x:v>
      </x:c>
      <x:c r="W214" s="51" t="str">
        <x:v>57;73</x:v>
      </x:c>
      <x:c r="X214" s="51" t="str">
        <x:v>2026-07-27</x:v>
      </x:c>
    </x:row>
    <x:row r="215">
      <x:c r="A215" s="51" t="str">
        <x:v>DAT-002</x:v>
      </x:c>
      <x:c r="B215" s="51" t="str">
        <x:v>Data and identity infrastructure</x:v>
      </x:c>
      <x:c r="C215" s="51" t="str">
        <x:v>ACT-LEXISNEXISRISKSOLUTIONS</x:v>
      </x:c>
      <x:c r="D215" s="51" t="str">
        <x:v>LexisNexis Risk Solutions</x:v>
      </x:c>
      <x:c r="E215" s="51" t="str">
        <x:v>ACT-GOVERNINGINSTITUTIONALNE</x:v>
      </x:c>
      <x:c r="F215" s="51" t="str">
        <x:v>Governing institutional networks</x:v>
      </x:c>
      <x:c r="G215" s="51" t="str">
        <x:v>Company → agencies</x:v>
      </x:c>
      <x:c r="H215" s="51" t="str">
        <x:v>Ongoing</x:v>
      </x:c>
      <x:c r="I215" s="51" t="str">
        <x:v>Government data, analytics and linking services</x:v>
      </x:c>
      <x:c r="J215" s="51" t="str"/>
      <x:c r="K215" s="51" t="str">
        <x:v>Multiple agencies and use cases</x:v>
      </x:c>
      <x:c r="L215" s="51" t="str">
        <x:v>Public and commercial records</x:v>
      </x:c>
      <x:c r="M215" s="51" t="str">
        <x:v>Resolved identities, fraud indicators and investigative links</x:v>
      </x:c>
      <x:c r="N215" s="51" t="str">
        <x:v>A private data broker converts fragmented records into government legibility</x:v>
      </x:c>
      <x:c r="O215" s="51" t="str">
        <x:v>Informational; institutional; enforcement</x:v>
      </x:c>
      <x:c r="P215" s="51" t="str">
        <x:v>E1</x:v>
      </x:c>
      <x:c r="Q215" s="51" t="str">
        <x:v>High</x:v>
      </x:c>
      <x:c r="R215" s="51" t="str">
        <x:v>SRC-134</x:v>
      </x:c>
      <x:c r="S215" s="51" t="str">
        <x:v>The company markets linking and analytics to government agencies.</x:v>
      </x:c>
      <x:c r="T215" s="51" t="str">
        <x:v>Use by every agency, correctness of every match or sovereign decision authority.</x:v>
      </x:c>
      <x:c r="U215" s="51" t="str">
        <x:v>Specific contracts and safeguards must be mapped agency by agency.</x:v>
      </x:c>
      <x:c r="V215" s="51" t="str">
        <x:v>Active / disaggregate contracts</x:v>
      </x:c>
      <x:c r="W215" s="51" t="str">
        <x:v>57;73</x:v>
      </x:c>
      <x:c r="X215" s="51" t="str">
        <x:v>2026-07-27</x:v>
      </x:c>
    </x:row>
    <x:row r="216">
      <x:c r="A216" s="51" t="str">
        <x:v>DAT-003</x:v>
      </x:c>
      <x:c r="B216" s="51" t="str">
        <x:v>Data and identity infrastructure</x:v>
      </x:c>
      <x:c r="C216" s="51" t="str">
        <x:v>ACT-TRANSUNION</x:v>
      </x:c>
      <x:c r="D216" s="51" t="str">
        <x:v>TransUnion</x:v>
      </x:c>
      <x:c r="E216" s="51" t="str">
        <x:v>ACT-CITIZENSANDLABOUR</x:v>
      </x:c>
      <x:c r="F216" s="51" t="str">
        <x:v>Citizens and labour</x:v>
      </x:c>
      <x:c r="G216" s="51" t="str">
        <x:v>Data broker → population</x:v>
      </x:c>
      <x:c r="H216" s="51" t="str">
        <x:v>Ongoing</x:v>
      </x:c>
      <x:c r="I216" s="51" t="str">
        <x:v>Credit reporting and data-broker processing</x:v>
      </x:c>
      <x:c r="J216" s="51" t="str"/>
      <x:c r="K216" s="51" t="str">
        <x:v>Large-scale consumer data</x:v>
      </x:c>
      <x:c r="L216" s="51" t="str">
        <x:v>Payment, identity and public/commercial records</x:v>
      </x:c>
      <x:c r="M216" s="51" t="str">
        <x:v>Scores, identity products and access decisions</x:v>
      </x:c>
      <x:c r="N216" s="51" t="str">
        <x:v>Personal data is converted into classifications used by lenders, insurers and other institutions</x:v>
      </x:c>
      <x:c r="O216" s="51" t="str">
        <x:v>Informational; financial; enforcement</x:v>
      </x:c>
      <x:c r="P216" s="51" t="str">
        <x:v>E1</x:v>
      </x:c>
      <x:c r="Q216" s="51" t="str">
        <x:v>High</x:v>
      </x:c>
      <x:c r="R216" s="51" t="str">
        <x:v>SRC-136</x:v>
      </x:c>
      <x:c r="S216" s="51" t="str">
        <x:v>TransUnion acknowledges data-broker status under applicable law.</x:v>
      </x:c>
      <x:c r="T216" s="51" t="str">
        <x:v>That every decision uses TransUnion data or every record is accurate.</x:v>
      </x:c>
      <x:c r="U216" s="51" t="str">
        <x:v>Consumers have varying rights to access, correct and freeze files.</x:v>
      </x:c>
      <x:c r="V216" s="51" t="str">
        <x:v>Active</x:v>
      </x:c>
      <x:c r="W216" s="51" t="str">
        <x:v>13;57;73</x:v>
      </x:c>
      <x:c r="X216" s="51" t="str">
        <x:v>2026-07-27</x:v>
      </x:c>
    </x:row>
    <x:row r="217">
      <x:c r="A217" s="51" t="str">
        <x:v>DAT-004</x:v>
      </x:c>
      <x:c r="B217" s="51" t="str">
        <x:v>Data and identity infrastructure</x:v>
      </x:c>
      <x:c r="C217" s="51" t="str">
        <x:v>ACT-EXPERIAN</x:v>
      </x:c>
      <x:c r="D217" s="51" t="str">
        <x:v>Experian</x:v>
      </x:c>
      <x:c r="E217" s="51" t="str">
        <x:v>ACT-CITIZENSANDLABOUR</x:v>
      </x:c>
      <x:c r="F217" s="51" t="str">
        <x:v>Citizens and labour</x:v>
      </x:c>
      <x:c r="G217" s="51" t="str">
        <x:v>Data intermediary → population</x:v>
      </x:c>
      <x:c r="H217" s="51" t="str">
        <x:v>Ongoing</x:v>
      </x:c>
      <x:c r="I217" s="51" t="str">
        <x:v>Credit reporting and identity analytics</x:v>
      </x:c>
      <x:c r="J217" s="51" t="str"/>
      <x:c r="K217" s="51" t="str">
        <x:v>Large-scale consumer records</x:v>
      </x:c>
      <x:c r="L217" s="51" t="str">
        <x:v>Financial and identity histories</x:v>
      </x:c>
      <x:c r="M217" s="51" t="str">
        <x:v>Scores and risk classifications</x:v>
      </x:c>
      <x:c r="N217" s="51" t="str">
        <x:v>Credit bureaus convert past behaviour and third-party data into access conditions for future transactions</x:v>
      </x:c>
      <x:c r="O217" s="51" t="str">
        <x:v>Informational; financial; enforcement</x:v>
      </x:c>
      <x:c r="P217" s="51" t="str">
        <x:v>S1</x:v>
      </x:c>
      <x:c r="Q217" s="51" t="str">
        <x:v>High</x:v>
      </x:c>
      <x:c r="R217" s="51" t="str">
        <x:v>SRC-135; SRC-136</x:v>
      </x:c>
      <x:c r="S217" s="51" t="str">
        <x:v>Experian is a major credit and identity intermediary within the sector described by public policy sources.</x:v>
      </x:c>
      <x:c r="T217" s="51" t="str">
        <x:v>Accuracy of every record, universal use or sole responsibility for lending decisions.</x:v>
      </x:c>
      <x:c r="U217" s="51" t="str">
        <x:v>Lenders apply their own models and legal requirements.</x:v>
      </x:c>
      <x:c r="V217" s="51" t="str">
        <x:v>Active</x:v>
      </x:c>
      <x:c r="W217" s="51" t="str">
        <x:v>13;57;73</x:v>
      </x:c>
      <x:c r="X217" s="51" t="str">
        <x:v>2026-07-27</x:v>
      </x:c>
    </x:row>
    <x:row r="218">
      <x:c r="A218" s="51" t="str">
        <x:v>DAT-005</x:v>
      </x:c>
      <x:c r="B218" s="51" t="str">
        <x:v>Data and identity infrastructure</x:v>
      </x:c>
      <x:c r="C218" s="51" t="str">
        <x:v>ACT-EQUIFAX</x:v>
      </x:c>
      <x:c r="D218" s="51" t="str">
        <x:v>Equifax</x:v>
      </x:c>
      <x:c r="E218" s="51" t="str">
        <x:v>ACT-CITIZENSANDLABOUR</x:v>
      </x:c>
      <x:c r="F218" s="51" t="str">
        <x:v>Citizens and labour</x:v>
      </x:c>
      <x:c r="G218" s="51" t="str">
        <x:v>Data intermediary → population</x:v>
      </x:c>
      <x:c r="H218" s="51" t="str">
        <x:v>Ongoing</x:v>
      </x:c>
      <x:c r="I218" s="51" t="str">
        <x:v>Credit reporting and identity analytics</x:v>
      </x:c>
      <x:c r="J218" s="51" t="str"/>
      <x:c r="K218" s="51" t="str">
        <x:v>Large-scale consumer records</x:v>
      </x:c>
      <x:c r="L218" s="51" t="str">
        <x:v>Financial and identity histories</x:v>
      </x:c>
      <x:c r="M218" s="51" t="str">
        <x:v>Scores and risk classifications</x:v>
      </x:c>
      <x:c r="N218" s="51" t="str">
        <x:v>Credit bureaus convert past behaviour and third-party data into access conditions for future transactions</x:v>
      </x:c>
      <x:c r="O218" s="51" t="str">
        <x:v>Informational; financial; enforcement</x:v>
      </x:c>
      <x:c r="P218" s="51" t="str">
        <x:v>S1</x:v>
      </x:c>
      <x:c r="Q218" s="51" t="str">
        <x:v>High</x:v>
      </x:c>
      <x:c r="R218" s="51" t="str">
        <x:v>SRC-135; SRC-136</x:v>
      </x:c>
      <x:c r="S218" s="51" t="str">
        <x:v>Equifax is a major credit and identity intermediary within the sector described by public policy sources.</x:v>
      </x:c>
      <x:c r="T218" s="51" t="str">
        <x:v>Accuracy of every record, universal use or sole responsibility for lending decisions.</x:v>
      </x:c>
      <x:c r="U218" s="51" t="str">
        <x:v>Lenders apply their own models and legal requirements.</x:v>
      </x:c>
      <x:c r="V218" s="51" t="str">
        <x:v>Active</x:v>
      </x:c>
      <x:c r="W218" s="51" t="str">
        <x:v>13;57;73</x:v>
      </x:c>
      <x:c r="X218" s="51" t="str">
        <x:v>2026-07-27</x:v>
      </x:c>
    </x:row>
    <x:row r="219">
      <x:c r="A219" s="51" t="str">
        <x:v>DAT-006</x:v>
      </x:c>
      <x:c r="B219" s="51" t="str">
        <x:v>Data and identity infrastructure</x:v>
      </x:c>
      <x:c r="C219" s="51" t="str">
        <x:v>ACT-LEXISNEXISRISKSOLUTIONS</x:v>
      </x:c>
      <x:c r="D219" s="51" t="str">
        <x:v>LexisNexis Risk Solutions</x:v>
      </x:c>
      <x:c r="E219" s="51" t="str">
        <x:v>ACT-CITIZENSANDLABOUR</x:v>
      </x:c>
      <x:c r="F219" s="51" t="str">
        <x:v>Citizens and labour</x:v>
      </x:c>
      <x:c r="G219" s="51" t="str">
        <x:v>Company → subjects</x:v>
      </x:c>
      <x:c r="H219" s="51" t="str">
        <x:v>Ongoing</x:v>
      </x:c>
      <x:c r="I219" s="51" t="str">
        <x:v>Entity resolution and risk analytics</x:v>
      </x:c>
      <x:c r="J219" s="51" t="str"/>
      <x:c r="K219" s="51" t="str">
        <x:v>Data-broker scale</x:v>
      </x:c>
      <x:c r="L219" s="51" t="str">
        <x:v>Names, addresses, licences, property and behavioural records</x:v>
      </x:c>
      <x:c r="M219" s="51" t="str">
        <x:v>Persistent linked identities and risk indicators</x:v>
      </x:c>
      <x:c r="N219" s="51" t="str">
        <x:v>Identity-linking technology raises both fraud-control capacity and the cost of anonymity or correction</x:v>
      </x:c>
      <x:c r="O219" s="51" t="str">
        <x:v>Informational; enforcement</x:v>
      </x:c>
      <x:c r="P219" s="51" t="str">
        <x:v>S1</x:v>
      </x:c>
      <x:c r="Q219" s="51" t="str">
        <x:v>High</x:v>
      </x:c>
      <x:c r="R219" s="51" t="str">
        <x:v>SRC-134; SRC-135</x:v>
      </x:c>
      <x:c r="S219" s="51" t="str">
        <x:v>The company supplies identity linking and risk tools.</x:v>
      </x:c>
      <x:c r="T219" s="51" t="str">
        <x:v>A universal citizen database or direct authority to punish individuals.</x:v>
      </x:c>
      <x:c r="U219" s="51" t="str">
        <x:v>Consequences occur only when client institutions connect data to decisions.</x:v>
      </x:c>
      <x:c r="V219" s="51" t="str">
        <x:v>Active</x:v>
      </x:c>
      <x:c r="W219" s="51" t="str">
        <x:v>57;73</x:v>
      </x:c>
      <x:c r="X219" s="51" t="str">
        <x:v>2026-07-27</x:v>
      </x:c>
    </x:row>
    <x:row r="220">
      <x:c r="A220" s="51" t="str">
        <x:v>DEBT-001</x:v>
      </x:c>
      <x:c r="B220" s="51" t="str">
        <x:v>Sovereign debt</x:v>
      </x:c>
      <x:c r="C220" s="51" t="str">
        <x:v>ACT-LOWANDMIDDLEINCOMECOUNTR</x:v>
      </x:c>
      <x:c r="D220" s="51" t="str">
        <x:v>Low- and middle-income countries</x:v>
      </x:c>
      <x:c r="E220" s="51" t="str">
        <x:v>ACT-WORLDBANK</x:v>
      </x:c>
      <x:c r="F220" s="51" t="str">
        <x:v>World Bank</x:v>
      </x:c>
      <x:c r="G220" s="51" t="str">
        <x:v>Borrowers ↔ institution</x:v>
      </x:c>
      <x:c r="H220" s="51" t="str">
        <x:v>2024–2025</x:v>
      </x:c>
      <x:c r="I220" s="51" t="str">
        <x:v>External debt reporting and finance</x:v>
      </x:c>
      <x:c r="J220" s="51" t="str"/>
      <x:c r="K220" s="51" t="str">
        <x:v>$8.9tn combined external debt (2024)</x:v>
      </x:c>
      <x:c r="L220" s="51" t="str">
        <x:v>Public/private borrowing</x:v>
      </x:c>
      <x:c r="M220" s="51" t="str">
        <x:v>Debt stocks and service obligations</x:v>
      </x:c>
      <x:c r="N220" s="51" t="str">
        <x:v>Debt data makes claims visible and supports policy/restructuring</x:v>
      </x:c>
      <x:c r="O220" s="51" t="str">
        <x:v>Financial; institutional; informational</x:v>
      </x:c>
      <x:c r="P220" s="51" t="str">
        <x:v>E1</x:v>
      </x:c>
      <x:c r="Q220" s="51" t="str">
        <x:v>Very high</x:v>
      </x:c>
      <x:c r="R220" s="51" t="str">
        <x:v>SRC-005; SRC-006</x:v>
      </x:c>
      <x:c r="S220" s="51" t="str">
        <x:v>LMIC external debt and severe net outflows are documented.</x:v>
      </x:c>
      <x:c r="T220" s="51" t="str">
        <x:v>World Bank is the sole creditor or caused every debt problem.</x:v>
      </x:c>
      <x:c r="U220" s="51" t="str">
        <x:v>Debt includes diverse creditors and can finance productive investment.</x:v>
      </x:c>
      <x:c r="V220" s="51" t="str">
        <x:v>Current</x:v>
      </x:c>
      <x:c r="W220" s="51" t="str">
        <x:v>47</x:v>
      </x:c>
      <x:c r="X220" s="51" t="str">
        <x:v>2026-07-27</x:v>
      </x:c>
    </x:row>
    <x:row r="221">
      <x:c r="A221" s="51" t="str">
        <x:v>DEBT-002</x:v>
      </x:c>
      <x:c r="B221" s="51" t="str">
        <x:v>Sovereign debt</x:v>
      </x:c>
      <x:c r="C221" s="51" t="str">
        <x:v>ACT-LOWANDMIDDLEINCOMECOUNTR</x:v>
      </x:c>
      <x:c r="D221" s="51" t="str">
        <x:v>Low- and middle-income countries</x:v>
      </x:c>
      <x:c r="E221" s="51" t="str">
        <x:v>ACT-CITIZENSANDLABOUR</x:v>
      </x:c>
      <x:c r="F221" s="51" t="str">
        <x:v>Citizens and labour</x:v>
      </x:c>
      <x:c r="G221" s="51" t="str">
        <x:v>State → population</x:v>
      </x:c>
      <x:c r="H221" s="51" t="str">
        <x:v>Ongoing</x:v>
      </x:c>
      <x:c r="I221" s="51" t="str">
        <x:v>Fiscal burden transmission</x:v>
      </x:c>
      <x:c r="J221" s="51" t="str"/>
      <x:c r="K221" s="51" t="str">
        <x:v>Varies</x:v>
      </x:c>
      <x:c r="L221" s="51" t="str">
        <x:v>Debt service and adjustment</x:v>
      </x:c>
      <x:c r="M221" s="51" t="str">
        <x:v>Taxes, spending changes, inflation or asset sales</x:v>
      </x:c>
      <x:c r="N221" s="51" t="str">
        <x:v>Sovereign claims can be transmitted through public budgets</x:v>
      </x:c>
      <x:c r="O221" s="51" t="str">
        <x:v>Financial; enforcement; distributional</x:v>
      </x:c>
      <x:c r="P221" s="51" t="str">
        <x:v>S1</x:v>
      </x:c>
      <x:c r="Q221" s="51" t="str">
        <x:v>High</x:v>
      </x:c>
      <x:c r="R221" s="51" t="str">
        <x:v>SRC-005; SRC-006</x:v>
      </x:c>
      <x:c r="S221" s="51" t="str">
        <x:v>Debt service competes with other uses of public revenue.</x:v>
      </x:c>
      <x:c r="T221" s="51" t="str">
        <x:v>A uniform incidence or externally dictated adjustment in every case.</x:v>
      </x:c>
      <x:c r="U221" s="51" t="str">
        <x:v>Domestic political choices and debt composition matter.</x:v>
      </x:c>
      <x:c r="V221" s="51" t="str">
        <x:v>Ongoing</x:v>
      </x:c>
      <x:c r="W221" s="51" t="str">
        <x:v>47</x:v>
      </x:c>
      <x:c r="X221" s="51" t="str">
        <x:v>2026-07-27</x:v>
      </x:c>
    </x:row>
    <x:row r="222">
      <x:c r="A222" s="51" t="str">
        <x:v>DEBT-003</x:v>
      </x:c>
      <x:c r="B222" s="51" t="str">
        <x:v>Sovereign debt</x:v>
      </x:c>
      <x:c r="C222" s="51" t="str">
        <x:v>ACT-LOWANDMIDDLEINCOMECOUNTR</x:v>
      </x:c>
      <x:c r="D222" s="51" t="str">
        <x:v>Low- and middle-income countries</x:v>
      </x:c>
      <x:c r="E222" s="51" t="str">
        <x:v>ACT-OFFSHOREDOLLARBANKINGSYS</x:v>
      </x:c>
      <x:c r="F222" s="51" t="str">
        <x:v>Offshore dollar banking system</x:v>
      </x:c>
      <x:c r="G222" s="51" t="str">
        <x:v>Borrower → funding network</x:v>
      </x:c>
      <x:c r="H222" s="51" t="str">
        <x:v>Ongoing</x:v>
      </x:c>
      <x:c r="I222" s="51" t="str">
        <x:v>Foreign-currency refinancing dependence</x:v>
      </x:c>
      <x:c r="J222" s="51" t="str"/>
      <x:c r="K222" s="51" t="str">
        <x:v>Varies</x:v>
      </x:c>
      <x:c r="L222" s="51" t="str">
        <x:v>Foreign-currency borrowing</x:v>
      </x:c>
      <x:c r="M222" s="51" t="str">
        <x:v>Need to earn or refinance settlement currency</x:v>
      </x:c>
      <x:c r="N222" s="51" t="str">
        <x:v>Currency mismatch can reduce policy room during shocks</x:v>
      </x:c>
      <x:c r="O222" s="51" t="str">
        <x:v>Financial; institutional</x:v>
      </x:c>
      <x:c r="P222" s="51" t="str">
        <x:v>S1</x:v>
      </x:c>
      <x:c r="Q222" s="51" t="str">
        <x:v>High</x:v>
      </x:c>
      <x:c r="R222" s="51" t="str">
        <x:v>SRC-003; SRC-005</x:v>
      </x:c>
      <x:c r="S222" s="51" t="str">
        <x:v>Foreign-currency liabilities create rollover and FX exposure.</x:v>
      </x:c>
      <x:c r="T222" s="51" t="str">
        <x:v>Borrowing is inherently exploitative or controlled by one actor.</x:v>
      </x:c>
      <x:c r="U222" s="51" t="str">
        <x:v>Exports, reserves and hedging can mitigate exposure.</x:v>
      </x:c>
      <x:c r="V222" s="51" t="str">
        <x:v>Ongoing</x:v>
      </x:c>
      <x:c r="W222" s="51" t="str">
        <x:v>39;47</x:v>
      </x:c>
      <x:c r="X222" s="51" t="str">
        <x:v>2026-07-27</x:v>
      </x:c>
    </x:row>
    <x:row r="223">
      <x:c r="A223" s="51" t="str">
        <x:v>DEBT-004</x:v>
      </x:c>
      <x:c r="B223" s="51" t="str">
        <x:v>Sovereign debt</x:v>
      </x:c>
      <x:c r="C223" s="51" t="str">
        <x:v>ACT-LOWANDMIDDLEINCOMECOUNTR</x:v>
      </x:c>
      <x:c r="D223" s="51" t="str">
        <x:v>Low- and middle-income countries</x:v>
      </x:c>
      <x:c r="E223" s="51" t="str">
        <x:v>ACT-CRITICALMINERALREFININGS</x:v>
      </x:c>
      <x:c r="F223" s="51" t="str">
        <x:v>Critical-mineral refining system</x:v>
      </x:c>
      <x:c r="G223" s="51" t="str">
        <x:v>Borrower → collateral/revenue</x:v>
      </x:c>
      <x:c r="H223" s="51" t="str">
        <x:v>2004–2018 sample</x:v>
      </x:c>
      <x:c r="I223" s="51" t="str">
        <x:v>Resource-backed loan</x:v>
      </x:c>
      <x:c r="J223" s="51" t="str">
        <x:v>INS-003</x:v>
      </x:c>
      <x:c r="K223" s="51" t="str">
        <x:v>30 identified loans</x:v>
      </x:c>
      <x:c r="L223" s="51" t="str">
        <x:v>Resources or receivables</x:v>
      </x:c>
      <x:c r="M223" s="51" t="str">
        <x:v>Present financing</x:v>
      </x:c>
      <x:c r="N223" s="51" t="str">
        <x:v>Future commodity production becomes collateral or repayment channel</x:v>
      </x:c>
      <x:c r="O223" s="51" t="str">
        <x:v>Financial; material; ownership</x:v>
      </x:c>
      <x:c r="P223" s="51" t="str">
        <x:v>E1</x:v>
      </x:c>
      <x:c r="Q223" s="51" t="str">
        <x:v>Very high</x:v>
      </x:c>
      <x:c r="R223" s="51" t="str">
        <x:v>SRC-008</x:v>
      </x:c>
      <x:c r="S223" s="51" t="str">
        <x:v>World Bank researchers documented 30 resource-backed loans.</x:v>
      </x:c>
      <x:c r="T223" s="51" t="str">
        <x:v>Every resource-backed loan is harmful or hidden.</x:v>
      </x:c>
      <x:c r="U223" s="51" t="str">
        <x:v>Such loans can fund infrastructure but require disclosure and valuation.</x:v>
      </x:c>
      <x:c r="V223" s="51" t="str">
        <x:v>Historical / recurring</x:v>
      </x:c>
      <x:c r="W223" s="51" t="str">
        <x:v>47</x:v>
      </x:c>
      <x:c r="X223" s="51" t="str">
        <x:v>2026-07-27</x:v>
      </x:c>
    </x:row>
    <x:row r="224">
      <x:c r="A224" s="51" t="str">
        <x:v>DEBT-005</x:v>
      </x:c>
      <x:c r="B224" s="51" t="str">
        <x:v>Sovereign debt</x:v>
      </x:c>
      <x:c r="C224" s="51" t="str">
        <x:v>ACT-WORLDBANK</x:v>
      </x:c>
      <x:c r="D224" s="51" t="str">
        <x:v>World Bank</x:v>
      </x:c>
      <x:c r="E224" s="51" t="str">
        <x:v>ACT-LOWANDMIDDLEINCOMECOUNTR</x:v>
      </x:c>
      <x:c r="F224" s="51" t="str">
        <x:v>Low- and middle-income countries</x:v>
      </x:c>
      <x:c r="G224" s="51" t="str">
        <x:v>A → B</x:v>
      </x:c>
      <x:c r="H224" s="51" t="str">
        <x:v>2025</x:v>
      </x:c>
      <x:c r="I224" s="51" t="str">
        <x:v>Debt-transparency recommendation</x:v>
      </x:c>
      <x:c r="J224" s="51" t="str"/>
      <x:c r="K224" s="51" t="str">
        <x:v>System-wide</x:v>
      </x:c>
      <x:c r="L224" s="51" t="str">
        <x:v>Loan-level records and contract terms</x:v>
      </x:c>
      <x:c r="M224" s="51" t="str">
        <x:v>Public oversight and risk assessment</x:v>
      </x:c>
      <x:c r="N224" s="51" t="str">
        <x:v>Transparency can reduce hidden-liability and reconciliation risk</x:v>
      </x:c>
      <x:c r="O224" s="51" t="str">
        <x:v>Informational; institutional</x:v>
      </x:c>
      <x:c r="P224" s="51" t="str">
        <x:v>N1</x:v>
      </x:c>
      <x:c r="Q224" s="51" t="str">
        <x:v>High</x:v>
      </x:c>
      <x:c r="R224" s="51" t="str">
        <x:v>SRC-007</x:v>
      </x:c>
      <x:c r="S224" s="51" t="str">
        <x:v>World Bank recommends fuller loan-level disclosure.</x:v>
      </x:c>
      <x:c r="T224" s="51" t="str">
        <x:v>Disclosure alone guarantees fair terms or prevents default.</x:v>
      </x:c>
      <x:c r="U224" s="51" t="str">
        <x:v>Capacity and political incentives remain constraints.</x:v>
      </x:c>
      <x:c r="V224" s="51" t="str">
        <x:v>Proposed</x:v>
      </x:c>
      <x:c r="W224" s="51" t="str">
        <x:v>47;80</x:v>
      </x:c>
      <x:c r="X224" s="51" t="str">
        <x:v>2026-07-27</x:v>
      </x:c>
    </x:row>
    <x:row r="225">
      <x:c r="A225" s="51" t="str">
        <x:v>DEBT-006</x:v>
      </x:c>
      <x:c r="B225" s="51" t="str">
        <x:v>Sovereign debt</x:v>
      </x:c>
      <x:c r="C225" s="51" t="str">
        <x:v>ACT-GOVERNINGINSTITUTIONALNE</x:v>
      </x:c>
      <x:c r="D225" s="51" t="str">
        <x:v>Governing institutional networks</x:v>
      </x:c>
      <x:c r="E225" s="51" t="str">
        <x:v>ACT-CITIZENSANDLABOUR</x:v>
      </x:c>
      <x:c r="F225" s="51" t="str">
        <x:v>Citizens and labour</x:v>
      </x:c>
      <x:c r="G225" s="51" t="str">
        <x:v>Network → public</x:v>
      </x:c>
      <x:c r="H225" s="51" t="str">
        <x:v>Ongoing</x:v>
      </x:c>
      <x:c r="I225" s="51" t="str">
        <x:v>Hidden/off-budget debt opacity</x:v>
      </x:c>
      <x:c r="J225" s="51" t="str"/>
      <x:c r="K225" s="51" t="str">
        <x:v>Unknown until disclosed</x:v>
      </x:c>
      <x:c r="L225" s="51" t="str">
        <x:v>Private placements, guarantees and collateralized loans</x:v>
      </x:c>
      <x:c r="M225" s="51" t="str">
        <x:v>Unobserved public liabilities</x:v>
      </x:c>
      <x:c r="N225" s="51" t="str">
        <x:v>Opacity can shift risk to populations without timely scrutiny</x:v>
      </x:c>
      <x:c r="O225" s="51" t="str">
        <x:v>Financial; informational; enforcement</x:v>
      </x:c>
      <x:c r="P225" s="51" t="str">
        <x:v>S1</x:v>
      </x:c>
      <x:c r="Q225" s="51" t="str">
        <x:v>High</x:v>
      </x:c>
      <x:c r="R225" s="51" t="str">
        <x:v>SRC-007</x:v>
      </x:c>
      <x:c r="S225" s="51" t="str">
        <x:v>Complex instruments create documented transparency gaps.</x:v>
      </x:c>
      <x:c r="T225" s="51" t="str">
        <x:v>All private or collateralized finance is corrupt.</x:v>
      </x:c>
      <x:c r="U225" s="51" t="str">
        <x:v>Some confidentiality can be commercially legitimate.</x:v>
      </x:c>
      <x:c r="V225" s="51" t="str">
        <x:v>Ongoing</x:v>
      </x:c>
      <x:c r="W225" s="51" t="str">
        <x:v>47;55</x:v>
      </x:c>
      <x:c r="X225" s="51" t="str">
        <x:v>2026-07-27</x:v>
      </x:c>
    </x:row>
    <x:row r="226">
      <x:c r="A226" s="51" t="str">
        <x:v>DEF-001</x:v>
      </x:c>
      <x:c r="B226" s="51" t="str">
        <x:v>Defence industrial convergence</x:v>
      </x:c>
      <x:c r="C226" s="51" t="str">
        <x:v>ACT-METAPLATFORMS</x:v>
      </x:c>
      <x:c r="D226" s="51" t="str">
        <x:v>Meta Platforms</x:v>
      </x:c>
      <x:c r="E226" s="51" t="str">
        <x:v>ACT-SCALEAI</x:v>
      </x:c>
      <x:c r="F226" s="51" t="str">
        <x:v>Scale AI</x:v>
      </x:c>
      <x:c r="G226" s="51" t="str">
        <x:v>Investor → company</x:v>
      </x:c>
      <x:c r="H226" s="51" t="str">
        <x:v>2025</x:v>
      </x:c>
      <x:c r="I226" s="51" t="str">
        <x:v>49% strategic minority investment</x:v>
      </x:c>
      <x:c r="J226" s="51" t="str">
        <x:v>INS-066</x:v>
      </x:c>
      <x:c r="K226" s="51" t="str">
        <x:v>$14.3bn</x:v>
      </x:c>
      <x:c r="L226" s="51" t="str">
        <x:v>Platform capital and superintelligence strategy</x:v>
      </x:c>
      <x:c r="M226" s="51" t="str">
        <x:v>Data/evaluation capability and executive talent</x:v>
      </x:c>
      <x:c r="N226" s="51" t="str">
        <x:v>A consumer platform acquires economic access to an AI supplier serving rival labs and governments</x:v>
      </x:c>
      <x:c r="O226" s="51" t="str">
        <x:v>Financial; ownership; informational; relational</x:v>
      </x:c>
      <x:c r="P226" s="51" t="str">
        <x:v>E1</x:v>
      </x:c>
      <x:c r="Q226" s="51" t="str">
        <x:v>Very high</x:v>
      </x:c>
      <x:c r="R226" s="51" t="str">
        <x:v>SRC-127</x:v>
      </x:c>
      <x:c r="S226" s="51" t="str">
        <x:v>Meta acquired a 49% economic stake and recruited Scale CEO.</x:v>
      </x:c>
      <x:c r="T226" s="51" t="str">
        <x:v>Full acquisition, board control or unrestricted access to rival-customer data.</x:v>
      </x:c>
      <x:c r="U226" s="51" t="str">
        <x:v>Scale said it remains independent and information barriers were required.</x:v>
      </x:c>
      <x:c r="V226" s="51" t="str">
        <x:v>Active</x:v>
      </x:c>
      <x:c r="W226" s="51" t="str">
        <x:v>57;71;75</x:v>
      </x:c>
      <x:c r="X226" s="51" t="str">
        <x:v>2026-07-27</x:v>
      </x:c>
    </x:row>
    <x:row r="227">
      <x:c r="A227" s="51" t="str">
        <x:v>DEF-002</x:v>
      </x:c>
      <x:c r="B227" s="51" t="str">
        <x:v>Defence industrial convergence</x:v>
      </x:c>
      <x:c r="C227" s="51" t="str">
        <x:v>ACT-ALEXANDRWANG</x:v>
      </x:c>
      <x:c r="D227" s="51" t="str">
        <x:v>Alexandr Wang</x:v>
      </x:c>
      <x:c r="E227" s="51" t="str">
        <x:v>ACT-METAPLATFORMS</x:v>
      </x:c>
      <x:c r="F227" s="51" t="str">
        <x:v>Meta Platforms</x:v>
      </x:c>
      <x:c r="G227" s="51" t="str">
        <x:v>Executive → company</x:v>
      </x:c>
      <x:c r="H227" s="51" t="str">
        <x:v>2025–present</x:v>
      </x:c>
      <x:c r="I227" s="51" t="str">
        <x:v>Leadership transfer</x:v>
      </x:c>
      <x:c r="J227" s="51" t="str">
        <x:v>INS-066</x:v>
      </x:c>
      <x:c r="K227" s="51" t="str">
        <x:v>Executive role</x:v>
      </x:c>
      <x:c r="L227" s="51" t="str">
        <x:v>Scale AI founder status and government relationships</x:v>
      </x:c>
      <x:c r="M227" s="51" t="str">
        <x:v>Leadership of Meta superintelligence effort</x:v>
      </x:c>
      <x:c r="N227" s="51" t="str">
        <x:v>A founder personal network and technical reputation are converted into strategic corporate leadership</x:v>
      </x:c>
      <x:c r="O227" s="51" t="str">
        <x:v>Relational; informational</x:v>
      </x:c>
      <x:c r="P227" s="51" t="str">
        <x:v>E1</x:v>
      </x:c>
      <x:c r="Q227" s="51" t="str">
        <x:v>Very high</x:v>
      </x:c>
      <x:c r="R227" s="51" t="str">
        <x:v>SRC-127</x:v>
      </x:c>
      <x:c r="S227" s="51" t="str">
        <x:v>Wang joined Meta to lead its advanced AI effort.</x:v>
      </x:c>
      <x:c r="T227" s="51" t="str">
        <x:v>Meta ownership of Scale customer information or Wang control of all Meta AI.</x:v>
      </x:c>
      <x:c r="U227" s="51" t="str">
        <x:v>Formal access restrictions and corporate governance constrain cross-company information.</x:v>
      </x:c>
      <x:c r="V227" s="51" t="str">
        <x:v>Active</x:v>
      </x:c>
      <x:c r="W227" s="51" t="str">
        <x:v>57;75</x:v>
      </x:c>
      <x:c r="X227" s="51" t="str">
        <x:v>2026-07-27</x:v>
      </x:c>
    </x:row>
    <x:row r="228">
      <x:c r="A228" s="51" t="str">
        <x:v>DEF-003</x:v>
      </x:c>
      <x:c r="B228" s="51" t="str">
        <x:v>Defence industrial convergence</x:v>
      </x:c>
      <x:c r="C228" s="51" t="str">
        <x:v>ACT-USARMY</x:v>
      </x:c>
      <x:c r="D228" s="51" t="str">
        <x:v>US Army</x:v>
      </x:c>
      <x:c r="E228" s="51" t="str">
        <x:v>ACT-ANDURIL</x:v>
      </x:c>
      <x:c r="F228" s="51" t="str">
        <x:v>Anduril</x:v>
      </x:c>
      <x:c r="G228" s="51" t="str">
        <x:v>State customer → company</x:v>
      </x:c>
      <x:c r="H228" s="51" t="str">
        <x:v>2026</x:v>
      </x:c>
      <x:c r="I228" s="51" t="str">
        <x:v>Enterprise defence contract</x:v>
      </x:c>
      <x:c r="J228" s="51" t="str">
        <x:v>INS-065</x:v>
      </x:c>
      <x:c r="K228" s="51" t="str">
        <x:v>$20bn ceiling</x:v>
      </x:c>
      <x:c r="L228" s="51" t="str">
        <x:v>Army procurement authority and operational demand</x:v>
      </x:c>
      <x:c r="M228" s="51" t="str">
        <x:v>Unified commercial AI, hardware and support capability</x:v>
      </x:c>
      <x:c r="N228" s="51" t="str">
        <x:v>A venture-backed defence company becomes an enterprise-scale military platform supplier</x:v>
      </x:c>
      <x:c r="O228" s="51" t="str">
        <x:v>Financial; institutional; enforcement; technological</x:v>
      </x:c>
      <x:c r="P228" s="51" t="str">
        <x:v>E1</x:v>
      </x:c>
      <x:c r="Q228" s="51" t="str">
        <x:v>Very high</x:v>
      </x:c>
      <x:c r="R228" s="51" t="str">
        <x:v>SRC-126</x:v>
      </x:c>
      <x:c r="S228" s="51" t="str">
        <x:v>Anduril received a $20bn ceiling contract.</x:v>
      </x:c>
      <x:c r="T228" s="51" t="str">
        <x:v>Guaranteed spending of the ceiling or replacement of all traditional defence primes.</x:v>
      </x:c>
      <x:c r="U228" s="51" t="str">
        <x:v>Task orders, performance and congressional funding determine realised value.</x:v>
      </x:c>
      <x:c r="V228" s="51" t="str">
        <x:v>Awarded</x:v>
      </x:c>
      <x:c r="W228" s="51" t="str">
        <x:v>57;71</x:v>
      </x:c>
      <x:c r="X228" s="51" t="str">
        <x:v>2026-07-27</x:v>
      </x:c>
    </x:row>
    <x:row r="229">
      <x:c r="A229" s="51" t="str">
        <x:v>DEF-004</x:v>
      </x:c>
      <x:c r="B229" s="51" t="str">
        <x:v>Defence industrial convergence</x:v>
      </x:c>
      <x:c r="C229" s="51" t="str">
        <x:v>ACT-ANDURIL</x:v>
      </x:c>
      <x:c r="D229" s="51" t="str">
        <x:v>Anduril</x:v>
      </x:c>
      <x:c r="E229" s="51" t="str">
        <x:v>ACT-LATTICE</x:v>
      </x:c>
      <x:c r="F229" s="51" t="str">
        <x:v>Lattice</x:v>
      </x:c>
      <x:c r="G229" s="51" t="str">
        <x:v>Company → platform</x:v>
      </x:c>
      <x:c r="H229" s="51" t="str">
        <x:v>Ongoing</x:v>
      </x:c>
      <x:c r="I229" s="51" t="str">
        <x:v>Ownership and integration</x:v>
      </x:c>
      <x:c r="J229" s="51" t="str">
        <x:v>INS-065</x:v>
      </x:c>
      <x:c r="K229" s="51" t="str">
        <x:v>Core platform</x:v>
      </x:c>
      <x:c r="L229" s="51" t="str">
        <x:v>Sensors, autonomy, data and mission software</x:v>
      </x:c>
      <x:c r="M229" s="51" t="str">
        <x:v>Unified operational representation and control layer</x:v>
      </x:c>
      <x:c r="N229" s="51" t="str">
        <x:v>A software-defined defence platform integrates hardware and data across missions</x:v>
      </x:c>
      <x:c r="O229" s="51" t="str">
        <x:v>Informational; technological; enforcement</x:v>
      </x:c>
      <x:c r="P229" s="51" t="str">
        <x:v>E1</x:v>
      </x:c>
      <x:c r="Q229" s="51" t="str">
        <x:v>High</x:v>
      </x:c>
      <x:c r="R229" s="51" t="str">
        <x:v>SRC-126</x:v>
      </x:c>
      <x:c r="S229" s="51" t="str">
        <x:v>The Army contract explicitly includes the Lattice suite.</x:v>
      </x:c>
      <x:c r="T229" s="51" t="str">
        <x:v>Autonomous sovereign authority or removal of human command.</x:v>
      </x:c>
      <x:c r="U229" s="51" t="str">
        <x:v>Mission rules, operators and government authorisation remain separate.</x:v>
      </x:c>
      <x:c r="V229" s="51" t="str">
        <x:v>Active</x:v>
      </x:c>
      <x:c r="W229" s="51" t="str">
        <x:v>71</x:v>
      </x:c>
      <x:c r="X229" s="51" t="str">
        <x:v>2026-07-27</x:v>
      </x:c>
    </x:row>
    <x:row r="230">
      <x:c r="A230" s="51" t="str">
        <x:v>DEF-005</x:v>
      </x:c>
      <x:c r="B230" s="51" t="str">
        <x:v>Defence industrial convergence</x:v>
      </x:c>
      <x:c r="C230" s="51" t="str">
        <x:v>ACT-PALANTIRTECHNOLOGIES</x:v>
      </x:c>
      <x:c r="D230" s="51" t="str">
        <x:v>Palantir Technologies</x:v>
      </x:c>
      <x:c r="E230" s="51" t="str">
        <x:v>ACT-LOCKHEEDMARTIN</x:v>
      </x:c>
      <x:c r="F230" s="51" t="str">
        <x:v>Lockheed Martin</x:v>
      </x:c>
      <x:c r="G230" s="51" t="str">
        <x:v>Software company ↔ defence prime</x:v>
      </x:c>
      <x:c r="H230" s="51" t="str">
        <x:v>Current</x:v>
      </x:c>
      <x:c r="I230" s="51" t="str">
        <x:v>Aegis software-delivery collaboration</x:v>
      </x:c>
      <x:c r="J230" s="51" t="str">
        <x:v>INS-067</x:v>
      </x:c>
      <x:c r="K230" s="51" t="str">
        <x:v>Undisclosed</x:v>
      </x:c>
      <x:c r="L230" s="51" t="str">
        <x:v>Commercial data/software methods and prime-contractor system authority</x:v>
      </x:c>
      <x:c r="M230" s="51" t="str">
        <x:v>Faster combat-system software integration</x:v>
      </x:c>
      <x:c r="N230" s="51" t="str">
        <x:v>New defence software firms increasingly enter through partnerships with incumbent primes rather than replacing them</x:v>
      </x:c>
      <x:c r="O230" s="51" t="str">
        <x:v>Technological; relational; enforcement</x:v>
      </x:c>
      <x:c r="P230" s="51" t="str">
        <x:v>E1</x:v>
      </x:c>
      <x:c r="Q230" s="51" t="str">
        <x:v>High</x:v>
      </x:c>
      <x:c r="R230" s="51" t="str">
        <x:v>SRC-128</x:v>
      </x:c>
      <x:c r="S230" s="51" t="str">
        <x:v>Palantir announced a collaboration with Lockheed focused on Aegis and future systems.</x:v>
      </x:c>
      <x:c r="T230" s="51" t="str">
        <x:v>Palantir control of Aegis weapons or merger of the companies.</x:v>
      </x:c>
      <x:c r="U230" s="51" t="str">
        <x:v>The exact contract, data rights and authority chain remain undisclosed.</x:v>
      </x:c>
      <x:c r="V230" s="51" t="str">
        <x:v>Active</x:v>
      </x:c>
      <x:c r="W230" s="51" t="str">
        <x:v>57;71</x:v>
      </x:c>
      <x:c r="X230" s="51" t="str">
        <x:v>2026-07-27</x:v>
      </x:c>
    </x:row>
    <x:row r="231">
      <x:c r="A231" s="51" t="str">
        <x:v>DEF-006</x:v>
      </x:c>
      <x:c r="B231" s="51" t="str">
        <x:v>Defence industrial convergence</x:v>
      </x:c>
      <x:c r="C231" s="51" t="str">
        <x:v>ACT-LOCKHEEDMARTIN</x:v>
      </x:c>
      <x:c r="D231" s="51" t="str">
        <x:v>Lockheed Martin</x:v>
      </x:c>
      <x:c r="E231" s="51" t="str">
        <x:v>ACT-AEGISCOMBATSYSTEM</x:v>
      </x:c>
      <x:c r="F231" s="51" t="str">
        <x:v>Aegis Combat System</x:v>
      </x:c>
      <x:c r="G231" s="51" t="str">
        <x:v>Prime → system</x:v>
      </x:c>
      <x:c r="H231" s="51" t="str">
        <x:v>Ongoing</x:v>
      </x:c>
      <x:c r="I231" s="51" t="str">
        <x:v>System integration and delivery</x:v>
      </x:c>
      <x:c r="J231" s="51" t="str">
        <x:v>INS-067</x:v>
      </x:c>
      <x:c r="K231" s="51" t="str">
        <x:v>Programme scale</x:v>
      </x:c>
      <x:c r="L231" s="51" t="str">
        <x:v>Sensors, weapons, software and naval integration</x:v>
      </x:c>
      <x:c r="M231" s="51" t="str">
        <x:v>Operational naval combat capability</x:v>
      </x:c>
      <x:c r="N231" s="51" t="str">
        <x:v>A prime contractor converts government budgets and subsystem suppliers into a sovereign weapons platform</x:v>
      </x:c>
      <x:c r="O231" s="51" t="str">
        <x:v>Material; technological; enforcement</x:v>
      </x:c>
      <x:c r="P231" s="51" t="str">
        <x:v>E1</x:v>
      </x:c>
      <x:c r="Q231" s="51" t="str">
        <x:v>High</x:v>
      </x:c>
      <x:c r="R231" s="51" t="str">
        <x:v>SRC-128</x:v>
      </x:c>
      <x:c r="S231" s="51" t="str">
        <x:v>Lockheed is the established Aegis system integrator.</x:v>
      </x:c>
      <x:c r="T231" s="51" t="str">
        <x:v>Unilateral authority to use weapons or ownership of allied naval decisions.</x:v>
      </x:c>
      <x:c r="U231" s="51" t="str">
        <x:v>States retain procurement, doctrine and operational command.</x:v>
      </x:c>
      <x:c r="V231" s="51" t="str">
        <x:v>Active</x:v>
      </x:c>
      <x:c r="W231" s="51" t="str">
        <x:v>41;57</x:v>
      </x:c>
      <x:c r="X231" s="51" t="str">
        <x:v>2026-07-27</x:v>
      </x:c>
    </x:row>
    <x:row r="232">
      <x:c r="A232" s="51" t="str">
        <x:v>DEF-007</x:v>
      </x:c>
      <x:c r="B232" s="51" t="str">
        <x:v>Defence industrial convergence</x:v>
      </x:c>
      <x:c r="C232" s="51" t="str">
        <x:v>ACT-PALANTIRTECHNOLOGIES</x:v>
      </x:c>
      <x:c r="D232" s="51" t="str">
        <x:v>Palantir Technologies</x:v>
      </x:c>
      <x:c r="E232" s="51" t="str">
        <x:v>ACT-GEAEROSPACE</x:v>
      </x:c>
      <x:c r="F232" s="51" t="str">
        <x:v>GE Aerospace</x:v>
      </x:c>
      <x:c r="G232" s="51" t="str">
        <x:v>Software company ↔ aerospace supplier</x:v>
      </x:c>
      <x:c r="H232" s="51" t="str">
        <x:v>2026</x:v>
      </x:c>
      <x:c r="I232" s="51" t="str">
        <x:v>AI military-readiness partnership</x:v>
      </x:c>
      <x:c r="J232" s="51" t="str">
        <x:v>INS-068</x:v>
      </x:c>
      <x:c r="K232" s="51" t="str">
        <x:v>Undisclosed</x:v>
      </x:c>
      <x:c r="L232" s="51" t="str">
        <x:v>Maintenance, parts and supply-chain data</x:v>
      </x:c>
      <x:c r="M232" s="51" t="str">
        <x:v>Improved aircraft availability and logistics decisions</x:v>
      </x:c>
      <x:c r="N232" s="51" t="str">
        <x:v>Operational data platforms extend from targeting and intelligence into industrial sustainment</x:v>
      </x:c>
      <x:c r="O232" s="51" t="str">
        <x:v>Informational; material; technological</x:v>
      </x:c>
      <x:c r="P232" s="51" t="str">
        <x:v>E1</x:v>
      </x:c>
      <x:c r="Q232" s="51" t="str">
        <x:v>High</x:v>
      </x:c>
      <x:c r="R232" s="51" t="str">
        <x:v>SRC-129</x:v>
      </x:c>
      <x:c r="S232" s="51" t="str">
        <x:v>The companies announced an expanded partnership for military readiness.</x:v>
      </x:c>
      <x:c r="T232" s="51" t="str">
        <x:v>Control of military aircraft or proof of performance improvement.</x:v>
      </x:c>
      <x:c r="U232" s="51" t="str">
        <x:v>Benefits depend on data quality, integration and government workflow adoption.</x:v>
      </x:c>
      <x:c r="V232" s="51" t="str">
        <x:v>Active</x:v>
      </x:c>
      <x:c r="W232" s="51" t="str">
        <x:v>57;71</x:v>
      </x:c>
      <x:c r="X232" s="51" t="str">
        <x:v>2026-07-27</x:v>
      </x:c>
    </x:row>
    <x:row r="233">
      <x:c r="A233" s="51" t="str">
        <x:v>DEF-008</x:v>
      </x:c>
      <x:c r="B233" s="51" t="str">
        <x:v>Defence industrial convergence</x:v>
      </x:c>
      <x:c r="C233" s="51" t="str">
        <x:v>ACT-BOEINGDEFENSE</x:v>
      </x:c>
      <x:c r="D233" s="51" t="str">
        <x:v>Boeing Defense</x:v>
      </x:c>
      <x:c r="E233" s="51" t="str">
        <x:v>ACT-COLLABORATIVECOMBATAIRCR</x:v>
      </x:c>
      <x:c r="F233" s="51" t="str">
        <x:v>Collaborative Combat Aircraft program</x:v>
      </x:c>
      <x:c r="G233" s="51" t="str">
        <x:v>Company → procurement competition</x:v>
      </x:c>
      <x:c r="H233" s="51" t="str">
        <x:v>2026</x:v>
      </x:c>
      <x:c r="I233" s="51" t="str">
        <x:v>Autonomous-aircraft competitor</x:v>
      </x:c>
      <x:c r="J233" s="51" t="str"/>
      <x:c r="K233" s="51" t="str">
        <x:v>Prototype/programme scale</x:v>
      </x:c>
      <x:c r="L233" s="51" t="str">
        <x:v>Aircraft design and industrial capacity</x:v>
      </x:c>
      <x:c r="M233" s="51" t="str">
        <x:v>Potential selection and production contract</x:v>
      </x:c>
      <x:c r="N233" s="51" t="str">
        <x:v>The military uses competition to convert private innovation into lower-cost combat mass</x:v>
      </x:c>
      <x:c r="O233" s="51" t="str">
        <x:v>Material; technological; enforcement</x:v>
      </x:c>
      <x:c r="P233" s="51" t="str">
        <x:v>E2</x:v>
      </x:c>
      <x:c r="Q233" s="51" t="str">
        <x:v>High</x:v>
      </x:c>
      <x:c r="R233" s="51" t="str">
        <x:v>SRC-130</x:v>
      </x:c>
      <x:c r="S233" s="51" t="str">
        <x:v>Boeing is identified as a competitor in the autonomous combat-aircraft market.</x:v>
      </x:c>
      <x:c r="T233" s="51" t="str">
        <x:v>Final selection, production scale or autonomous lethal authority.</x:v>
      </x:c>
      <x:c r="U233" s="51" t="str">
        <x:v>Programme requirements and winner selection remain unsettled.</x:v>
      </x:c>
      <x:c r="V233" s="51" t="str">
        <x:v>Competition / development</x:v>
      </x:c>
      <x:c r="W233" s="51" t="str">
        <x:v>57;71</x:v>
      </x:c>
      <x:c r="X233" s="51" t="str">
        <x:v>2026-07-27</x:v>
      </x:c>
    </x:row>
    <x:row r="234">
      <x:c r="A234" s="51" t="str">
        <x:v>DEF-009</x:v>
      </x:c>
      <x:c r="B234" s="51" t="str">
        <x:v>Defence industrial convergence</x:v>
      </x:c>
      <x:c r="C234" s="51" t="str">
        <x:v>ACT-GENERALATOMICS</x:v>
      </x:c>
      <x:c r="D234" s="51" t="str">
        <x:v>General Atomics</x:v>
      </x:c>
      <x:c r="E234" s="51" t="str">
        <x:v>ACT-COLLABORATIVECOMBATAIRCR</x:v>
      </x:c>
      <x:c r="F234" s="51" t="str">
        <x:v>Collaborative Combat Aircraft program</x:v>
      </x:c>
      <x:c r="G234" s="51" t="str">
        <x:v>Company → procurement competition</x:v>
      </x:c>
      <x:c r="H234" s="51" t="str">
        <x:v>2026</x:v>
      </x:c>
      <x:c r="I234" s="51" t="str">
        <x:v>Autonomous-aircraft competitor</x:v>
      </x:c>
      <x:c r="J234" s="51" t="str"/>
      <x:c r="K234" s="51" t="str">
        <x:v>Prototype/programme scale</x:v>
      </x:c>
      <x:c r="L234" s="51" t="str">
        <x:v>Aircraft design and autonomy</x:v>
      </x:c>
      <x:c r="M234" s="51" t="str">
        <x:v>Potential selection and production contract</x:v>
      </x:c>
      <x:c r="N234" s="51" t="str">
        <x:v>The military uses competition to convert private innovation into lower-cost combat mass</x:v>
      </x:c>
      <x:c r="O234" s="51" t="str">
        <x:v>Material; technological; enforcement</x:v>
      </x:c>
      <x:c r="P234" s="51" t="str">
        <x:v>E2</x:v>
      </x:c>
      <x:c r="Q234" s="51" t="str">
        <x:v>High</x:v>
      </x:c>
      <x:c r="R234" s="51" t="str">
        <x:v>SRC-130</x:v>
      </x:c>
      <x:c r="S234" s="51" t="str">
        <x:v>General Atomics is identified as a competitor in the autonomous combat-aircraft market.</x:v>
      </x:c>
      <x:c r="T234" s="51" t="str">
        <x:v>Final selection, production scale or autonomous lethal authority.</x:v>
      </x:c>
      <x:c r="U234" s="51" t="str">
        <x:v>Programme requirements and winner selection remain unsettled.</x:v>
      </x:c>
      <x:c r="V234" s="51" t="str">
        <x:v>Competition / development</x:v>
      </x:c>
      <x:c r="W234" s="51" t="str">
        <x:v>57;71</x:v>
      </x:c>
      <x:c r="X234" s="51" t="str">
        <x:v>2026-07-27</x:v>
      </x:c>
    </x:row>
    <x:row r="235">
      <x:c r="A235" s="51" t="str">
        <x:v>DEF-010</x:v>
      </x:c>
      <x:c r="B235" s="51" t="str">
        <x:v>Defence industrial convergence</x:v>
      </x:c>
      <x:c r="C235" s="51" t="str">
        <x:v>ACT-ANDURIL</x:v>
      </x:c>
      <x:c r="D235" s="51" t="str">
        <x:v>Anduril</x:v>
      </x:c>
      <x:c r="E235" s="51" t="str">
        <x:v>ACT-COLLABORATIVECOMBATAIRCR</x:v>
      </x:c>
      <x:c r="F235" s="51" t="str">
        <x:v>Collaborative Combat Aircraft program</x:v>
      </x:c>
      <x:c r="G235" s="51" t="str">
        <x:v>Company → procurement competition</x:v>
      </x:c>
      <x:c r="H235" s="51" t="str">
        <x:v>2026</x:v>
      </x:c>
      <x:c r="I235" s="51" t="str">
        <x:v>Autonomous-aircraft competitor</x:v>
      </x:c>
      <x:c r="J235" s="51" t="str"/>
      <x:c r="K235" s="51" t="str">
        <x:v>Prototype/programme scale</x:v>
      </x:c>
      <x:c r="L235" s="51" t="str">
        <x:v>Autonomy software and aircraft platform</x:v>
      </x:c>
      <x:c r="M235" s="51" t="str">
        <x:v>Potential selection and production contract</x:v>
      </x:c>
      <x:c r="N235" s="51" t="str">
        <x:v>A venture-backed defence firm competes directly with established aerospace manufacturers</x:v>
      </x:c>
      <x:c r="O235" s="51" t="str">
        <x:v>Material; technological; enforcement</x:v>
      </x:c>
      <x:c r="P235" s="51" t="str">
        <x:v>E2</x:v>
      </x:c>
      <x:c r="Q235" s="51" t="str">
        <x:v>High</x:v>
      </x:c>
      <x:c r="R235" s="51" t="str">
        <x:v>SRC-130</x:v>
      </x:c>
      <x:c r="S235" s="51" t="str">
        <x:v>Anduril is identified as a competitor or demonstrator in the autonomous combat-aircraft market.</x:v>
      </x:c>
      <x:c r="T235" s="51" t="str">
        <x:v>Final selection, production scale or autonomous lethal authority.</x:v>
      </x:c>
      <x:c r="U235" s="51" t="str">
        <x:v>Programme requirements and winner selection remain unsettled.</x:v>
      </x:c>
      <x:c r="V235" s="51" t="str">
        <x:v>Competition / development</x:v>
      </x:c>
      <x:c r="W235" s="51" t="str">
        <x:v>57;71</x:v>
      </x:c>
      <x:c r="X235" s="51" t="str">
        <x:v>2026-07-27</x:v>
      </x:c>
    </x:row>
    <x:row r="236">
      <x:c r="A236" s="51" t="str">
        <x:v>DEP-001</x:v>
      </x:c>
      <x:c r="B236" s="51" t="str">
        <x:v>Deposit insurance and bank safety net</x:v>
      </x:c>
      <x:c r="C236" s="51" t="str">
        <x:v>ACT-FDICINSUREDDEPOSITORYINS</x:v>
      </x:c>
      <x:c r="D236" s="51" t="str">
        <x:v>FDIC-insured depository institutions</x:v>
      </x:c>
      <x:c r="E236" s="51" t="str">
        <x:v>ACT-DEPOSITINSURANCEFUND</x:v>
      </x:c>
      <x:c r="F236" s="51" t="str">
        <x:v>Deposit Insurance Fund</x:v>
      </x:c>
      <x:c r="G236" s="51" t="str">
        <x:v>Banks → fund</x:v>
      </x:c>
      <x:c r="H236" s="51" t="str">
        <x:v>Ongoing</x:v>
      </x:c>
      <x:c r="I236" s="51" t="str">
        <x:v>Risk-based insurance assessments</x:v>
      </x:c>
      <x:c r="J236" s="51" t="str">
        <x:v>INS-150</x:v>
      </x:c>
      <x:c r="K236" s="51" t="str">
        <x:v>Industry-wide</x:v>
      </x:c>
      <x:c r="L236" s="51" t="str">
        <x:v>Assessment base and risk profile</x:v>
      </x:c>
      <x:c r="M236" s="51" t="str">
        <x:v>Premium income and fund accumulation</x:v>
      </x:c>
      <x:c r="N236" s="51" t="str">
        <x:v>Private institutions collectively pre-fund part of the public-purpose deposit guarantee</x:v>
      </x:c>
      <x:c r="O236" s="51" t="str">
        <x:v>Financial; institutional; adaptive</x:v>
      </x:c>
      <x:c r="P236" s="51" t="str">
        <x:v>E1</x:v>
      </x:c>
      <x:c r="Q236" s="51" t="str">
        <x:v>Very high</x:v>
      </x:c>
      <x:c r="R236" s="51" t="str">
        <x:v>SRC-277</x:v>
      </x:c>
      <x:c r="S236" s="51" t="str">
        <x:v>The DIF is funded principally through assessments on insured institutions and investment income.</x:v>
      </x:c>
      <x:c r="T236" s="51" t="str">
        <x:v>That taxpayers never bear tail risk or every bank pays the same rate.</x:v>
      </x:c>
      <x:c r="U236" s="51" t="str">
        <x:v>Assessment rates and systemic losses vary.</x:v>
      </x:c>
      <x:c r="V236" s="51" t="str">
        <x:v>Active</x:v>
      </x:c>
      <x:c r="W236" s="51" t="str">
        <x:v>47;57</x:v>
      </x:c>
      <x:c r="X236" s="51" t="str">
        <x:v>2026-07-27</x:v>
      </x:c>
    </x:row>
    <x:row r="237">
      <x:c r="A237" s="51" t="str">
        <x:v>DEP-002</x:v>
      </x:c>
      <x:c r="B237" s="51" t="str">
        <x:v>Deposit insurance and bank safety net</x:v>
      </x:c>
      <x:c r="C237" s="51" t="str">
        <x:v>ACT-DEPOSITINSURANCEFUND</x:v>
      </x:c>
      <x:c r="D237" s="51" t="str">
        <x:v>Deposit Insurance Fund</x:v>
      </x:c>
      <x:c r="E237" s="51" t="str">
        <x:v>ACT-INSUREDDEPOSITORS</x:v>
      </x:c>
      <x:c r="F237" s="51" t="str">
        <x:v>Insured depositors</x:v>
      </x:c>
      <x:c r="G237" s="51" t="str">
        <x:v>Fund → depositors</x:v>
      </x:c>
      <x:c r="H237" s="51" t="str">
        <x:v>Bank failure</x:v>
      </x:c>
      <x:c r="I237" s="51" t="str">
        <x:v>Insurance payment or deposit transfer</x:v>
      </x:c>
      <x:c r="J237" s="51" t="str">
        <x:v>INS-150</x:v>
      </x:c>
      <x:c r="K237" s="51" t="str">
        <x:v>Within statutory coverage rules</x:v>
      </x:c>
      <x:c r="L237" s="51" t="str">
        <x:v>Insured deposit claim</x:v>
      </x:c>
      <x:c r="M237" s="51" t="str">
        <x:v>Rapid access to protected deposits</x:v>
      </x:c>
      <x:c r="N237" s="51" t="str">
        <x:v>Deposit insurance converts a bank liability into a claim backed by a specialised resolution fund</x:v>
      </x:c>
      <x:c r="O237" s="51" t="str">
        <x:v>Financial; institutional; confidence</x:v>
      </x:c>
      <x:c r="P237" s="51" t="str">
        <x:v>E1</x:v>
      </x:c>
      <x:c r="Q237" s="51" t="str">
        <x:v>Very high</x:v>
      </x:c>
      <x:c r="R237" s="51" t="str">
        <x:v>SRC-277; SRC-278</x:v>
      </x:c>
      <x:c r="S237" s="51" t="str">
        <x:v>The DIF supports insured deposits and resolution activity.</x:v>
      </x:c>
      <x:c r="T237" s="51" t="str">
        <x:v>Protection of uninsured balances or absence of delay in every failure.</x:v>
      </x:c>
      <x:c r="U237" s="51" t="str">
        <x:v>Transaction structure and account ownership affect coverage.</x:v>
      </x:c>
      <x:c r="V237" s="51" t="str">
        <x:v>Active</x:v>
      </x:c>
      <x:c r="W237" s="51" t="str">
        <x:v>47;57</x:v>
      </x:c>
      <x:c r="X237" s="51" t="str">
        <x:v>2026-07-27</x:v>
      </x:c>
    </x:row>
    <x:row r="238">
      <x:c r="A238" s="51" t="str">
        <x:v>DEP-003</x:v>
      </x:c>
      <x:c r="B238" s="51" t="str">
        <x:v>Deposit insurance and bank safety net</x:v>
      </x:c>
      <x:c r="C238" s="51" t="str">
        <x:v>ACT-FEDERALDEPOSITINSURANCEC</x:v>
      </x:c>
      <x:c r="D238" s="51" t="str">
        <x:v>Federal Deposit Insurance Corporation</x:v>
      </x:c>
      <x:c r="E238" s="51" t="str">
        <x:v>ACT-FDICINSUREDDEPOSITORYINS</x:v>
      </x:c>
      <x:c r="F238" s="51" t="str">
        <x:v>FDIC-insured depository institutions</x:v>
      </x:c>
      <x:c r="G238" s="51" t="str">
        <x:v>Authority → banks</x:v>
      </x:c>
      <x:c r="H238" s="51" t="str">
        <x:v>Ongoing</x:v>
      </x:c>
      <x:c r="I238" s="51" t="str">
        <x:v>Supervision, assessment and resolution authority</x:v>
      </x:c>
      <x:c r="J238" s="51" t="str">
        <x:v>INS-150</x:v>
      </x:c>
      <x:c r="K238" s="51" t="str">
        <x:v>System-wide</x:v>
      </x:c>
      <x:c r="L238" s="51" t="str">
        <x:v>Bank condition and insured-deposit exposure</x:v>
      </x:c>
      <x:c r="M238" s="51" t="str">
        <x:v>Premiums, corrective action or resolution planning</x:v>
      </x:c>
      <x:c r="N238" s="51" t="str">
        <x:v>The insurer can price and constrain risk before paying claims after failure</x:v>
      </x:c>
      <x:c r="O238" s="51" t="str">
        <x:v>Institutional; enforcement; financial</x:v>
      </x:c>
      <x:c r="P238" s="51" t="str">
        <x:v>E1</x:v>
      </x:c>
      <x:c r="Q238" s="51" t="str">
        <x:v>High</x:v>
      </x:c>
      <x:c r="R238" s="51" t="str">
        <x:v>SRC-277</x:v>
      </x:c>
      <x:c r="S238" s="51" t="str">
        <x:v>FDIC administers insurance, examinations and failed-bank resolutions.</x:v>
      </x:c>
      <x:c r="T238" s="51" t="str">
        <x:v>Elimination of bank risk or sole supervision of every institution.</x:v>
      </x:c>
      <x:c r="U238" s="51" t="str">
        <x:v>Other regulators share responsibility.</x:v>
      </x:c>
      <x:c r="V238" s="51" t="str">
        <x:v>Active</x:v>
      </x:c>
      <x:c r="W238" s="51" t="str">
        <x:v>47;57</x:v>
      </x:c>
      <x:c r="X238" s="51" t="str">
        <x:v>2026-07-27</x:v>
      </x:c>
    </x:row>
    <x:row r="239">
      <x:c r="A239" s="51" t="str">
        <x:v>DEP-004</x:v>
      </x:c>
      <x:c r="B239" s="51" t="str">
        <x:v>Deposit insurance and bank safety net</x:v>
      </x:c>
      <x:c r="C239" s="51" t="str">
        <x:v>ACT-DEPOSITINSURANCEFUND</x:v>
      </x:c>
      <x:c r="D239" s="51" t="str">
        <x:v>Deposit Insurance Fund</x:v>
      </x:c>
      <x:c r="E239" s="51" t="str">
        <x:v>ACT-PUBLICTAXPAYERSANDBUDGET</x:v>
      </x:c>
      <x:c r="F239" s="51" t="str">
        <x:v>Public taxpayers and budget</x:v>
      </x:c>
      <x:c r="G239" s="51" t="str">
        <x:v>Insurance fund → sovereign backstop context</x:v>
      </x:c>
      <x:c r="H239" s="51" t="str">
        <x:v>Tail-loss scenario</x:v>
      </x:c>
      <x:c r="I239" s="51" t="str">
        <x:v>Public contingent risk</x:v>
      </x:c>
      <x:c r="J239" s="51" t="str">
        <x:v>INS-150</x:v>
      </x:c>
      <x:c r="K239" s="51" t="str">
        <x:v>1.42% reserve ratio at 2025 year-end</x:v>
      </x:c>
      <x:c r="L239" s="51" t="str">
        <x:v>Fund assets, assessments and failed-bank losses</x:v>
      </x:c>
      <x:c r="M239" s="51" t="str">
        <x:v>Possible need for extraordinary financing or future assessments</x:v>
      </x:c>
      <x:c r="N239" s="51" t="str">
        <x:v>An industry-funded reserve reduces but does not erase the public consequences of system-wide banking failure</x:v>
      </x:c>
      <x:c r="O239" s="51" t="str">
        <x:v>Financial; distributional; institutional</x:v>
      </x:c>
      <x:c r="P239" s="51" t="str">
        <x:v>S1</x:v>
      </x:c>
      <x:c r="Q239" s="51" t="str">
        <x:v>High</x:v>
      </x:c>
      <x:c r="R239" s="51" t="str">
        <x:v>SRC-277; SRC-278</x:v>
      </x:c>
      <x:c r="S239" s="51" t="str">
        <x:v>The DIF maintains a reserve ratio and designated long-term target.</x:v>
      </x:c>
      <x:c r="T239" s="51" t="str">
        <x:v>That a taxpayer transfer is currently expected or that the fund is insolvent.</x:v>
      </x:c>
      <x:c r="U239" s="51" t="str">
        <x:v>The fund can borrow and replenish through future assessments under law.</x:v>
      </x:c>
      <x:c r="V239" s="51" t="str">
        <x:v>Active contingency</x:v>
      </x:c>
      <x:c r="W239" s="51" t="str">
        <x:v>47;57</x:v>
      </x:c>
      <x:c r="X239" s="51" t="str">
        <x:v>2026-07-27</x:v>
      </x:c>
    </x:row>
    <x:row r="240">
      <x:c r="A240" s="51" t="str">
        <x:v>DEP-005</x:v>
      </x:c>
      <x:c r="B240" s="51" t="str">
        <x:v>Deposit insurance and bank safety net</x:v>
      </x:c>
      <x:c r="C240" s="51" t="str">
        <x:v>ACT-FEDERALDEPOSITINSURANCEC</x:v>
      </x:c>
      <x:c r="D240" s="51" t="str">
        <x:v>Federal Deposit Insurance Corporation</x:v>
      </x:c>
      <x:c r="E240" s="51" t="str">
        <x:v>ACT-PUBLICTAXPAYERSANDBUDGET</x:v>
      </x:c>
      <x:c r="F240" s="51" t="str">
        <x:v>Public taxpayers and budget</x:v>
      </x:c>
      <x:c r="G240" s="51" t="str">
        <x:v>Resolution authority → public</x:v>
      </x:c>
      <x:c r="H240" s="51" t="str">
        <x:v>Failure episodes</x:v>
      </x:c>
      <x:c r="I240" s="51" t="str">
        <x:v>Loss-minimisation and confidence mandate</x:v>
      </x:c>
      <x:c r="J240" s="51" t="str">
        <x:v>INS-150</x:v>
      </x:c>
      <x:c r="K240" s="51" t="str">
        <x:v>Case-specific</x:v>
      </x:c>
      <x:c r="L240" s="51" t="str">
        <x:v>Failed bank, bids, insured deposits and asset values</x:v>
      </x:c>
      <x:c r="M240" s="51" t="str">
        <x:v>Resolution cost, continuity and market confidence</x:v>
      </x:c>
      <x:c r="N240" s="51" t="str">
        <x:v>Resolution design determines how losses are divided among receivership creditors, acquiring banks, the fund and the wider economy</x:v>
      </x:c>
      <x:c r="O240" s="51" t="str">
        <x:v>Financial; institutional; distributional</x:v>
      </x:c>
      <x:c r="P240" s="51" t="str">
        <x:v>S1</x:v>
      </x:c>
      <x:c r="Q240" s="51" t="str">
        <x:v>High</x:v>
      </x:c>
      <x:c r="R240" s="51" t="str">
        <x:v>SRC-277</x:v>
      </x:c>
      <x:c r="S240" s="51" t="str">
        <x:v>FDIC resolves failed insured banks and reports fund results.</x:v>
      </x:c>
      <x:c r="T240" s="51" t="str">
        <x:v>A uniform least-cost outcome for all social stakeholders.</x:v>
      </x:c>
      <x:c r="U240" s="51" t="str">
        <x:v>Legal least-cost tests do not capture every macroeconomic spillover.</x:v>
      </x:c>
      <x:c r="V240" s="51" t="str">
        <x:v>Active</x:v>
      </x:c>
      <x:c r="W240" s="51" t="str">
        <x:v>47;57</x:v>
      </x:c>
      <x:c r="X240" s="51" t="str">
        <x:v>2026-07-27</x:v>
      </x:c>
    </x:row>
    <x:row r="241">
      <x:c r="A241" s="51" t="str">
        <x:v>DIG-001</x:v>
      </x:c>
      <x:c r="B241" s="51" t="str">
        <x:v>Digital backbone and routing</x:v>
      </x:c>
      <x:c r="C241" s="51" t="str">
        <x:v>ACT-METAPLATFORMS</x:v>
      </x:c>
      <x:c r="D241" s="51" t="str">
        <x:v>Meta Platforms</x:v>
      </x:c>
      <x:c r="E241" s="51" t="str">
        <x:v>ACT-PROJECTWATERWORTH</x:v>
      </x:c>
      <x:c r="F241" s="51" t="str">
        <x:v>Project Waterworth</x:v>
      </x:c>
      <x:c r="G241" s="51" t="str">
        <x:v>Company → cable system</x:v>
      </x:c>
      <x:c r="H241" s="51" t="str">
        <x:v>2025 onward</x:v>
      </x:c>
      <x:c r="I241" s="51" t="str">
        <x:v>Sponsor and infrastructure builder</x:v>
      </x:c>
      <x:c r="J241" s="51" t="str">
        <x:v>INS-075</x:v>
      </x:c>
      <x:c r="K241" s="51" t="str">
        <x:v>50,000+ km planned</x:v>
      </x:c>
      <x:c r="L241" s="51" t="str">
        <x:v>Corporate capital and forecast AI traffic</x:v>
      </x:c>
      <x:c r="M241" s="51" t="str">
        <x:v>Dedicated intercontinental fibre capacity</x:v>
      </x:c>
      <x:c r="N241" s="51" t="str">
        <x:v>A platform company converts cash flow into ownership and priority access over the physical internet backbone</x:v>
      </x:c>
      <x:c r="O241" s="51" t="str">
        <x:v>Ownership; informational; material</x:v>
      </x:c>
      <x:c r="P241" s="51" t="str">
        <x:v>E1</x:v>
      </x:c>
      <x:c r="Q241" s="51" t="str">
        <x:v>Very high</x:v>
      </x:c>
      <x:c r="R241" s="51" t="str">
        <x:v>SRC-156</x:v>
      </x:c>
      <x:c r="S241" s="51" t="str">
        <x:v>Meta announced and leads Project Waterworth.</x:v>
      </x:c>
      <x:c r="T241" s="51" t="str">
        <x:v>Exclusive ownership of all route segments, completed deployment or control of national landing decisions.</x:v>
      </x:c>
      <x:c r="U241" s="51" t="str">
        <x:v>Landing permits, cable suppliers and local partners remain essential.</x:v>
      </x:c>
      <x:c r="V241" s="51" t="str">
        <x:v>Development</x:v>
      </x:c>
      <x:c r="W241" s="51" t="str">
        <x:v>57;69;76</x:v>
      </x:c>
      <x:c r="X241" s="51" t="str">
        <x:v>2026-07-27</x:v>
      </x:c>
    </x:row>
    <x:row r="242">
      <x:c r="A242" s="51" t="str">
        <x:v>DIG-002</x:v>
      </x:c>
      <x:c r="B242" s="51" t="str">
        <x:v>Digital backbone and routing</x:v>
      </x:c>
      <x:c r="C242" s="51" t="str">
        <x:v>ACT-GOOGLEGOOGLECLOUD</x:v>
      </x:c>
      <x:c r="D242" s="51" t="str">
        <x:v>Google / Google Cloud</x:v>
      </x:c>
      <x:c r="E242" s="51" t="str">
        <x:v>ACT-SOLSUBSEACABLE</x:v>
      </x:c>
      <x:c r="F242" s="51" t="str">
        <x:v>Sol subsea cable</x:v>
      </x:c>
      <x:c r="G242" s="51" t="str">
        <x:v>Company → cable system</x:v>
      </x:c>
      <x:c r="H242" s="51" t="str">
        <x:v>2025 onward</x:v>
      </x:c>
      <x:c r="I242" s="51" t="str">
        <x:v>Sponsor and infrastructure builder</x:v>
      </x:c>
      <x:c r="J242" s="51" t="str">
        <x:v>INS-076</x:v>
      </x:c>
      <x:c r="K242" s="51" t="str">
        <x:v>16 fibre pairs announced</x:v>
      </x:c>
      <x:c r="L242" s="51" t="str">
        <x:v>Cloud and AI traffic demand</x:v>
      </x:c>
      <x:c r="M242" s="51" t="str">
        <x:v>US–Europe capacity and redundancy</x:v>
      </x:c>
      <x:c r="N242" s="51" t="str">
        <x:v>Cloud platforms vertically integrate long-haul connectivity to reduce dependence on traditional telecom carriers</x:v>
      </x:c>
      <x:c r="O242" s="51" t="str">
        <x:v>Ownership; informational; material</x:v>
      </x:c>
      <x:c r="P242" s="51" t="str">
        <x:v>E1</x:v>
      </x:c>
      <x:c r="Q242" s="51" t="str">
        <x:v>Very high</x:v>
      </x:c>
      <x:c r="R242" s="51" t="str">
        <x:v>SRC-157</x:v>
      </x:c>
      <x:c r="S242" s="51" t="str">
        <x:v>Google announced Sol and its route.</x:v>
      </x:c>
      <x:c r="T242" s="51" t="str">
        <x:v>Completed operation, exclusive use or ownership of every landing facility.</x:v>
      </x:c>
      <x:c r="U242" s="51" t="str">
        <x:v>The project remains subject to construction and licensing.</x:v>
      </x:c>
      <x:c r="V242" s="51" t="str">
        <x:v>Development</x:v>
      </x:c>
      <x:c r="W242" s="51" t="str">
        <x:v>57;69;76</x:v>
      </x:c>
      <x:c r="X242" s="51" t="str">
        <x:v>2026-07-27</x:v>
      </x:c>
    </x:row>
    <x:row r="243">
      <x:c r="A243" s="51" t="str">
        <x:v>DIG-003</x:v>
      </x:c>
      <x:c r="B243" s="51" t="str">
        <x:v>Digital backbone and routing</x:v>
      </x:c>
      <x:c r="C243" s="51" t="str">
        <x:v>ACT-GOOGLEGOOGLECLOUD</x:v>
      </x:c>
      <x:c r="D243" s="51" t="str">
        <x:v>Google / Google Cloud</x:v>
      </x:c>
      <x:c r="E243" s="51" t="str">
        <x:v>ACT-NUVEMSUBSEACABLE</x:v>
      </x:c>
      <x:c r="F243" s="51" t="str">
        <x:v>Nuvem subsea cable</x:v>
      </x:c>
      <x:c r="G243" s="51" t="str">
        <x:v>Company → cable system</x:v>
      </x:c>
      <x:c r="H243" s="51" t="str">
        <x:v>2026</x:v>
      </x:c>
      <x:c r="I243" s="51" t="str">
        <x:v>Owner/sponsor and operator relationship</x:v>
      </x:c>
      <x:c r="J243" s="51" t="str">
        <x:v>INS-077</x:v>
      </x:c>
      <x:c r="K243" s="51" t="str">
        <x:v>Approximately 384 Tbps design capacity reported</x:v>
      </x:c>
      <x:c r="L243" s="51" t="str">
        <x:v>Cloud traffic and infrastructure investment</x:v>
      </x:c>
      <x:c r="M243" s="51" t="str">
        <x:v>Additional transatlantic route</x:v>
      </x:c>
      <x:c r="N243" s="51" t="str">
        <x:v>Private cloud demand finances a new international communications corridor</x:v>
      </x:c>
      <x:c r="O243" s="51" t="str">
        <x:v>Ownership; informational; material</x:v>
      </x:c>
      <x:c r="P243" s="51" t="str">
        <x:v>E1</x:v>
      </x:c>
      <x:c r="Q243" s="51" t="str">
        <x:v>High</x:v>
      </x:c>
      <x:c r="R243" s="51" t="str">
        <x:v>SRC-158</x:v>
      </x:c>
      <x:c r="S243" s="51" t="str">
        <x:v>Google connected Nuvem to Portugal and described the route.</x:v>
      </x:c>
      <x:c r="T243" s="51" t="str">
        <x:v>Guaranteed usable capacity, sole control of all fibres or absence of national regulation.</x:v>
      </x:c>
      <x:c r="U243" s="51" t="str">
        <x:v>Operational capacity and commercial allocation can differ from design capacity.</x:v>
      </x:c>
      <x:c r="V243" s="51" t="str">
        <x:v>Entering service</x:v>
      </x:c>
      <x:c r="W243" s="51" t="str">
        <x:v>57;69;76</x:v>
      </x:c>
      <x:c r="X243" s="51" t="str">
        <x:v>2026-07-27</x:v>
      </x:c>
    </x:row>
    <x:row r="244">
      <x:c r="A244" s="51" t="str">
        <x:v>DIG-004</x:v>
      </x:c>
      <x:c r="B244" s="51" t="str">
        <x:v>Digital backbone and routing</x:v>
      </x:c>
      <x:c r="C244" s="51" t="str">
        <x:v>ACT-FEDERALCOMMUNICATIONSCOM</x:v>
      </x:c>
      <x:c r="D244" s="51" t="str">
        <x:v>Federal Communications Commission</x:v>
      </x:c>
      <x:c r="E244" s="51" t="str">
        <x:v>ACT-PROJECTWATERWORTH</x:v>
      </x:c>
      <x:c r="F244" s="51" t="str">
        <x:v>Project Waterworth</x:v>
      </x:c>
      <x:c r="G244" s="51" t="str">
        <x:v>Regulator → cable system</x:v>
      </x:c>
      <x:c r="H244" s="51" t="str">
        <x:v>US landing-dependent</x:v>
      </x:c>
      <x:c r="I244" s="51" t="str">
        <x:v>Landing licence and national-security review</x:v>
      </x:c>
      <x:c r="J244" s="51" t="str">
        <x:v>INS-078</x:v>
      </x:c>
      <x:c r="K244" s="51" t="str">
        <x:v>US landing and ownership rights</x:v>
      </x:c>
      <x:c r="L244" s="51" t="str">
        <x:v>Application, ownership and security information</x:v>
      </x:c>
      <x:c r="M244" s="51" t="str">
        <x:v>Permission and conditions to land in the United States</x:v>
      </x:c>
      <x:c r="N244" s="51" t="str">
        <x:v>A communications regulator converts territorial jurisdiction into leverage over global cable topology</x:v>
      </x:c>
      <x:c r="O244" s="51" t="str">
        <x:v>Institutional; informational; enforcement</x:v>
      </x:c>
      <x:c r="P244" s="51" t="str">
        <x:v>E1</x:v>
      </x:c>
      <x:c r="Q244" s="51" t="str">
        <x:v>High</x:v>
      </x:c>
      <x:c r="R244" s="51" t="str">
        <x:v>SRC-160</x:v>
      </x:c>
      <x:c r="S244" s="51" t="str">
        <x:v>US-landing cables require FCC licensing and may receive conditions.</x:v>
      </x:c>
      <x:c r="T244" s="51" t="str">
        <x:v>FCC ownership of the cable or control of segments outside US jurisdiction.</x:v>
      </x:c>
      <x:c r="U244" s="51" t="str">
        <x:v>Specific licence status must be verified cable by cable.</x:v>
      </x:c>
      <x:c r="V244" s="51" t="str">
        <x:v>Licence-dependent</x:v>
      </x:c>
      <x:c r="W244" s="51" t="str">
        <x:v>57;76</x:v>
      </x:c>
      <x:c r="X244" s="51" t="str">
        <x:v>2026-07-27</x:v>
      </x:c>
    </x:row>
    <x:row r="245">
      <x:c r="A245" s="51" t="str">
        <x:v>DIG-005</x:v>
      </x:c>
      <x:c r="B245" s="51" t="str">
        <x:v>Digital backbone and routing</x:v>
      </x:c>
      <x:c r="C245" s="51" t="str">
        <x:v>ACT-FEDERALCOMMUNICATIONSCOM</x:v>
      </x:c>
      <x:c r="D245" s="51" t="str">
        <x:v>Federal Communications Commission</x:v>
      </x:c>
      <x:c r="E245" s="51" t="str">
        <x:v>ACT-SOLSUBSEACABLE</x:v>
      </x:c>
      <x:c r="F245" s="51" t="str">
        <x:v>Sol subsea cable</x:v>
      </x:c>
      <x:c r="G245" s="51" t="str">
        <x:v>Regulator → cable system</x:v>
      </x:c>
      <x:c r="H245" s="51" t="str">
        <x:v>US landing-dependent</x:v>
      </x:c>
      <x:c r="I245" s="51" t="str">
        <x:v>Landing licence and national-security review</x:v>
      </x:c>
      <x:c r="J245" s="51" t="str">
        <x:v>INS-078</x:v>
      </x:c>
      <x:c r="K245" s="51" t="str">
        <x:v>US landing and ownership rights</x:v>
      </x:c>
      <x:c r="L245" s="51" t="str">
        <x:v>Application, ownership and security information</x:v>
      </x:c>
      <x:c r="M245" s="51" t="str">
        <x:v>Permission and conditions to land in the United States</x:v>
      </x:c>
      <x:c r="N245" s="51" t="str">
        <x:v>A communications regulator converts territorial jurisdiction into leverage over global cable topology</x:v>
      </x:c>
      <x:c r="O245" s="51" t="str">
        <x:v>Institutional; informational; enforcement</x:v>
      </x:c>
      <x:c r="P245" s="51" t="str">
        <x:v>E1</x:v>
      </x:c>
      <x:c r="Q245" s="51" t="str">
        <x:v>High</x:v>
      </x:c>
      <x:c r="R245" s="51" t="str">
        <x:v>SRC-160</x:v>
      </x:c>
      <x:c r="S245" s="51" t="str">
        <x:v>US-landing cables require FCC licensing and may receive conditions.</x:v>
      </x:c>
      <x:c r="T245" s="51" t="str">
        <x:v>FCC ownership of the cable or control of segments outside US jurisdiction.</x:v>
      </x:c>
      <x:c r="U245" s="51" t="str">
        <x:v>Specific licence status must be verified cable by cable.</x:v>
      </x:c>
      <x:c r="V245" s="51" t="str">
        <x:v>Licence-dependent</x:v>
      </x:c>
      <x:c r="W245" s="51" t="str">
        <x:v>57;76</x:v>
      </x:c>
      <x:c r="X245" s="51" t="str">
        <x:v>2026-07-27</x:v>
      </x:c>
    </x:row>
    <x:row r="246">
      <x:c r="A246" s="51" t="str">
        <x:v>DIG-006</x:v>
      </x:c>
      <x:c r="B246" s="51" t="str">
        <x:v>Digital backbone and routing</x:v>
      </x:c>
      <x:c r="C246" s="51" t="str">
        <x:v>ACT-FEDERALCOMMUNICATIONSCOM</x:v>
      </x:c>
      <x:c r="D246" s="51" t="str">
        <x:v>Federal Communications Commission</x:v>
      </x:c>
      <x:c r="E246" s="51" t="str">
        <x:v>ACT-NUVEMSUBSEACABLE</x:v>
      </x:c>
      <x:c r="F246" s="51" t="str">
        <x:v>Nuvem subsea cable</x:v>
      </x:c>
      <x:c r="G246" s="51" t="str">
        <x:v>Regulator → cable system</x:v>
      </x:c>
      <x:c r="H246" s="51" t="str">
        <x:v>US landing-dependent</x:v>
      </x:c>
      <x:c r="I246" s="51" t="str">
        <x:v>Landing licence and national-security review</x:v>
      </x:c>
      <x:c r="J246" s="51" t="str">
        <x:v>INS-078</x:v>
      </x:c>
      <x:c r="K246" s="51" t="str">
        <x:v>US landing and ownership rights</x:v>
      </x:c>
      <x:c r="L246" s="51" t="str">
        <x:v>Application, ownership and security information</x:v>
      </x:c>
      <x:c r="M246" s="51" t="str">
        <x:v>Permission and conditions to land in the United States</x:v>
      </x:c>
      <x:c r="N246" s="51" t="str">
        <x:v>A communications regulator converts territorial jurisdiction into leverage over global cable topology</x:v>
      </x:c>
      <x:c r="O246" s="51" t="str">
        <x:v>Institutional; informational; enforcement</x:v>
      </x:c>
      <x:c r="P246" s="51" t="str">
        <x:v>E1</x:v>
      </x:c>
      <x:c r="Q246" s="51" t="str">
        <x:v>High</x:v>
      </x:c>
      <x:c r="R246" s="51" t="str">
        <x:v>SRC-160</x:v>
      </x:c>
      <x:c r="S246" s="51" t="str">
        <x:v>US-landing cables require FCC licensing and may receive conditions.</x:v>
      </x:c>
      <x:c r="T246" s="51" t="str">
        <x:v>FCC ownership of the cable or control of segments outside US jurisdiction.</x:v>
      </x:c>
      <x:c r="U246" s="51" t="str">
        <x:v>Specific licence status must be verified cable by cable.</x:v>
      </x:c>
      <x:c r="V246" s="51" t="str">
        <x:v>Licence-dependent</x:v>
      </x:c>
      <x:c r="W246" s="51" t="str">
        <x:v>57;76</x:v>
      </x:c>
      <x:c r="X246" s="51" t="str">
        <x:v>2026-07-27</x:v>
      </x:c>
    </x:row>
    <x:row r="247">
      <x:c r="A247" s="51" t="str">
        <x:v>DIG-007</x:v>
      </x:c>
      <x:c r="B247" s="51" t="str">
        <x:v>Digital backbone and routing</x:v>
      </x:c>
      <x:c r="C247" s="51" t="str">
        <x:v>ACT-INTERNATIONALTELECOMMUNI</x:v>
      </x:c>
      <x:c r="D247" s="51" t="str">
        <x:v>International Telecommunication Union</x:v>
      </x:c>
      <x:c r="E247" s="51" t="str">
        <x:v>ACT-CABLEREPAIRFLEETS</x:v>
      </x:c>
      <x:c r="F247" s="51" t="str">
        <x:v>Cable repair fleets</x:v>
      </x:c>
      <x:c r="G247" s="51" t="str">
        <x:v>Coordinator → operational ecosystem</x:v>
      </x:c>
      <x:c r="H247" s="51" t="str">
        <x:v>2025–2026</x:v>
      </x:c>
      <x:c r="I247" s="51" t="str">
        <x:v>Resilience coordination and recommendations</x:v>
      </x:c>
      <x:c r="J247" s="51" t="str"/>
      <x:c r="K247" s="51" t="str">
        <x:v>170+ repairs reported in 2025</x:v>
      </x:c>
      <x:c r="L247" s="51" t="str">
        <x:v>Fault data and international coordination</x:v>
      </x:c>
      <x:c r="M247" s="51" t="str">
        <x:v>Repair readiness and resilience standards</x:v>
      </x:c>
      <x:c r="N247" s="51" t="str">
        <x:v>International coordination lowers collective-action costs in protecting privately owned global infrastructure</x:v>
      </x:c>
      <x:c r="O247" s="51" t="str">
        <x:v>Institutional; informational; material</x:v>
      </x:c>
      <x:c r="P247" s="51" t="str">
        <x:v>E1</x:v>
      </x:c>
      <x:c r="Q247" s="51" t="str">
        <x:v>High</x:v>
      </x:c>
      <x:c r="R247" s="51" t="str">
        <x:v>SRC-159</x:v>
      </x:c>
      <x:c r="S247" s="51" t="str">
        <x:v>ITU reports the scale of cable faults and coordinates resilience work.</x:v>
      </x:c>
      <x:c r="T247" s="51" t="str">
        <x:v>Operational command over repair vessels or binding authority over every cable owner.</x:v>
      </x:c>
      <x:c r="U247" s="51" t="str">
        <x:v>Implementation depends on governments and industry.</x:v>
      </x:c>
      <x:c r="V247" s="51" t="str">
        <x:v>Active coordination</x:v>
      </x:c>
      <x:c r="W247" s="51" t="str">
        <x:v>57;76</x:v>
      </x:c>
      <x:c r="X247" s="51" t="str">
        <x:v>2026-07-27</x:v>
      </x:c>
    </x:row>
    <x:row r="248">
      <x:c r="A248" s="51" t="str">
        <x:v>DIG-008</x:v>
      </x:c>
      <x:c r="B248" s="51" t="str">
        <x:v>Digital backbone and routing</x:v>
      </x:c>
      <x:c r="C248" s="51" t="str">
        <x:v>ACT-SUBMARINECABLELANDINGSTA</x:v>
      </x:c>
      <x:c r="D248" s="51" t="str">
        <x:v>Submarine cable landing stations</x:v>
      </x:c>
      <x:c r="E248" s="51" t="str">
        <x:v>ACT-GOVERNINGINSTITUTIONALNE</x:v>
      </x:c>
      <x:c r="F248" s="51" t="str">
        <x:v>Governing institutional networks</x:v>
      </x:c>
      <x:c r="G248" s="51" t="str">
        <x:v>Infrastructure → network users</x:v>
      </x:c>
      <x:c r="H248" s="51" t="str">
        <x:v>Ongoing</x:v>
      </x:c>
      <x:c r="I248" s="51" t="str">
        <x:v>Terrestrial interconnection chokepoint</x:v>
      </x:c>
      <x:c r="J248" s="51" t="str"/>
      <x:c r="K248" s="51" t="str">
        <x:v>Global</x:v>
      </x:c>
      <x:c r="L248" s="51" t="str">
        <x:v>Subsea optical signals</x:v>
      </x:c>
      <x:c r="M248" s="51" t="str">
        <x:v>Domestic fibre, cloud and data-centre connectivity</x:v>
      </x:c>
      <x:c r="N248" s="51" t="str">
        <x:v>A small number of shore interfaces convert oceanic bandwidth into nationally usable digital capacity</x:v>
      </x:c>
      <x:c r="O248" s="51" t="str">
        <x:v>Material; informational; enforcement</x:v>
      </x:c>
      <x:c r="P248" s="51" t="str">
        <x:v>S1</x:v>
      </x:c>
      <x:c r="Q248" s="51" t="str">
        <x:v>High</x:v>
      </x:c>
      <x:c r="R248" s="51" t="str">
        <x:v>SRC-159; SRC-160</x:v>
      </x:c>
      <x:c r="S248" s="51" t="str">
        <x:v>Landing stations are required interfaces between submarine and terrestrial networks.</x:v>
      </x:c>
      <x:c r="T248" s="51" t="str">
        <x:v>A universal single point of failure or one owner's control of all traffic.</x:v>
      </x:c>
      <x:c r="U248" s="51" t="str">
        <x:v>Route diversity, multiple stations and encryption reduce but do not eliminate dependence.</x:v>
      </x:c>
      <x:c r="V248" s="51" t="str">
        <x:v>Active</x:v>
      </x:c>
      <x:c r="W248" s="51" t="str">
        <x:v>57;76</x:v>
      </x:c>
      <x:c r="X248" s="51" t="str">
        <x:v>2026-07-27</x:v>
      </x:c>
    </x:row>
    <x:row r="249">
      <x:c r="A249" s="51" t="str">
        <x:v>DNET-001</x:v>
      </x:c>
      <x:c r="B249" s="51" t="str">
        <x:v>Derivatives netting and insolvency</x:v>
      </x:c>
      <x:c r="C249" s="51" t="str">
        <x:v>ACT-ISDA</x:v>
      </x:c>
      <x:c r="D249" s="51" t="str">
        <x:v>ISDA</x:v>
      </x:c>
      <x:c r="E249" s="51" t="str">
        <x:v>ACT-ISDAMASTERAGREEMENT</x:v>
      </x:c>
      <x:c r="F249" s="51" t="str">
        <x:v>ISDA Master Agreement</x:v>
      </x:c>
      <x:c r="G249" s="51" t="str">
        <x:v>Association → contract framework</x:v>
      </x:c>
      <x:c r="H249" s="51" t="str">
        <x:v>Ongoing</x:v>
      </x:c>
      <x:c r="I249" s="51" t="str">
        <x:v>Publication and maintenance</x:v>
      </x:c>
      <x:c r="J249" s="51" t="str">
        <x:v>INS-123</x:v>
      </x:c>
      <x:c r="K249" s="51" t="str">
        <x:v>Global OTC derivatives market</x:v>
      </x:c>
      <x:c r="L249" s="51" t="str">
        <x:v>Member legal and market expertise</x:v>
      </x:c>
      <x:c r="M249" s="51" t="str">
        <x:v>Standard bilateral documentation</x:v>
      </x:c>
      <x:c r="N249" s="51" t="str">
        <x:v>Industry standardisation converts repeated bespoke contracts into a scalable legal architecture</x:v>
      </x:c>
      <x:c r="O249" s="51" t="str">
        <x:v>Institutional; financial; informational</x:v>
      </x:c>
      <x:c r="P249" s="51" t="str">
        <x:v>E1</x:v>
      </x:c>
      <x:c r="Q249" s="51" t="str">
        <x:v>Very high</x:v>
      </x:c>
      <x:c r="R249" s="51" t="str">
        <x:v>SRC-234; SRC-235</x:v>
      </x:c>
      <x:c r="S249" s="51" t="str">
        <x:v>ISDA publishes master agreements and related documentation.</x:v>
      </x:c>
      <x:c r="T249" s="51" t="str">
        <x:v>Binding law, universal use or guaranteed enforceability.</x:v>
      </x:c>
      <x:c r="U249" s="51" t="str">
        <x:v>Parties negotiate schedules, confirmations and collateral terms.</x:v>
      </x:c>
      <x:c r="V249" s="51" t="str">
        <x:v>Active</x:v>
      </x:c>
      <x:c r="W249" s="51" t="str">
        <x:v>47;57</x:v>
      </x:c>
      <x:c r="X249" s="51" t="str">
        <x:v>2026-07-27</x:v>
      </x:c>
    </x:row>
    <x:row r="250">
      <x:c r="A250" s="51" t="str">
        <x:v>DNET-002</x:v>
      </x:c>
      <x:c r="B250" s="51" t="str">
        <x:v>Derivatives netting and insolvency</x:v>
      </x:c>
      <x:c r="C250" s="51" t="str">
        <x:v>ACT-ISDAMASTERAGREEMENT</x:v>
      </x:c>
      <x:c r="D250" s="51" t="str">
        <x:v>ISDA Master Agreement</x:v>
      </x:c>
      <x:c r="E250" s="51" t="str">
        <x:v>ACT-DERIVATIVESCOUNTERPARTIE</x:v>
      </x:c>
      <x:c r="F250" s="51" t="str">
        <x:v>Derivatives counterparties</x:v>
      </x:c>
      <x:c r="G250" s="51" t="str">
        <x:v>Contract framework → parties</x:v>
      </x:c>
      <x:c r="H250" s="51" t="str">
        <x:v>Ongoing</x:v>
      </x:c>
      <x:c r="I250" s="51" t="str">
        <x:v>Single-agreement and close-out structure</x:v>
      </x:c>
      <x:c r="J250" s="51" t="str">
        <x:v>INS-123</x:v>
      </x:c>
      <x:c r="K250" s="51" t="str">
        <x:v>Portfolio-specific</x:v>
      </x:c>
      <x:c r="L250" s="51" t="str">
        <x:v>Multiple derivatives transactions</x:v>
      </x:c>
      <x:c r="M250" s="51" t="str">
        <x:v>One net termination amount after defined events</x:v>
      </x:c>
      <x:c r="N250" s="51" t="str">
        <x:v>Contractual netting converts gross bilateral obligations into a single exposure at failure</x:v>
      </x:c>
      <x:c r="O250" s="51" t="str">
        <x:v>Financial; enforcement; informational</x:v>
      </x:c>
      <x:c r="P250" s="51" t="str">
        <x:v>E1</x:v>
      </x:c>
      <x:c r="Q250" s="51" t="str">
        <x:v>Very high</x:v>
      </x:c>
      <x:c r="R250" s="51" t="str">
        <x:v>SRC-234</x:v>
      </x:c>
      <x:c r="S250" s="51" t="str">
        <x:v>The master agreement supports termination and close-out netting across covered transactions.</x:v>
      </x:c>
      <x:c r="T250" s="51" t="str">
        <x:v>Zero counterparty risk or enforceability in every jurisdiction.</x:v>
      </x:c>
      <x:c r="U250" s="51" t="str">
        <x:v>Valuation disputes, collateral and local insolvency law remain important.</x:v>
      </x:c>
      <x:c r="V250" s="51" t="str">
        <x:v>Active</x:v>
      </x:c>
      <x:c r="W250" s="51" t="str">
        <x:v>47;57</x:v>
      </x:c>
      <x:c r="X250" s="51" t="str">
        <x:v>2026-07-27</x:v>
      </x:c>
    </x:row>
    <x:row r="251">
      <x:c r="A251" s="51" t="str">
        <x:v>DNET-003</x:v>
      </x:c>
      <x:c r="B251" s="51" t="str">
        <x:v>Derivatives netting and insolvency</x:v>
      </x:c>
      <x:c r="C251" s="51" t="str">
        <x:v>ACT-CLOSEOUTNETTINGOPINIONS</x:v>
      </x:c>
      <x:c r="D251" s="51" t="str">
        <x:v>Close-out netting opinions</x:v>
      </x:c>
      <x:c r="E251" s="51" t="str">
        <x:v>ACT-DERIVATIVESCOUNTERPARTIE</x:v>
      </x:c>
      <x:c r="F251" s="51" t="str">
        <x:v>Derivatives counterparties</x:v>
      </x:c>
      <x:c r="G251" s="51" t="str">
        <x:v>Legal opinions → market participants</x:v>
      </x:c>
      <x:c r="H251" s="51" t="str">
        <x:v>Annual / jurisdiction-specific</x:v>
      </x:c>
      <x:c r="I251" s="51" t="str">
        <x:v>Enforceability assessment</x:v>
      </x:c>
      <x:c r="J251" s="51" t="str">
        <x:v>INS-124</x:v>
      </x:c>
      <x:c r="K251" s="51" t="str">
        <x:v>Jurisdiction-specific</x:v>
      </x:c>
      <x:c r="L251" s="51" t="str">
        <x:v>Local insolvency, banking and contract law</x:v>
      </x:c>
      <x:c r="M251" s="51" t="str">
        <x:v>Legal basis for regulatory and credit-risk recognition</x:v>
      </x:c>
      <x:c r="N251" s="51" t="str">
        <x:v>Legal opinions convert uncertain insolvency treatment into a usable risk-management assumption</x:v>
      </x:c>
      <x:c r="O251" s="51" t="str">
        <x:v>Informational; financial; institutional</x:v>
      </x:c>
      <x:c r="P251" s="51" t="str">
        <x:v>E1</x:v>
      </x:c>
      <x:c r="Q251" s="51" t="str">
        <x:v>High</x:v>
      </x:c>
      <x:c r="R251" s="51" t="str">
        <x:v>SRC-235</x:v>
      </x:c>
      <x:c r="S251" s="51" t="str">
        <x:v>ISDA maintains jurisdictional netting opinions addressing termination and bilateral close-out.</x:v>
      </x:c>
      <x:c r="T251" s="51" t="str">
        <x:v>Court guarantee or absence of factual qualifications.</x:v>
      </x:c>
      <x:c r="U251" s="51" t="str">
        <x:v>Opinions depend on assumptions, entity types and annual legal updates.</x:v>
      </x:c>
      <x:c r="V251" s="51" t="str">
        <x:v>Active</x:v>
      </x:c>
      <x:c r="W251" s="51" t="str">
        <x:v>47;57</x:v>
      </x:c>
      <x:c r="X251" s="51" t="str">
        <x:v>2026-07-27</x:v>
      </x:c>
    </x:row>
    <x:row r="252">
      <x:c r="A252" s="51" t="str">
        <x:v>DNET-004</x:v>
      </x:c>
      <x:c r="B252" s="51" t="str">
        <x:v>Derivatives netting and insolvency</x:v>
      </x:c>
      <x:c r="C252" s="51" t="str">
        <x:v>ACT-DERIVATIVESCOUNTERPARTIE</x:v>
      </x:c>
      <x:c r="D252" s="51" t="str">
        <x:v>Derivatives counterparties</x:v>
      </x:c>
      <x:c r="E252" s="51" t="str">
        <x:v>ACT-BANKRUPTCYESTATE</x:v>
      </x:c>
      <x:c r="F252" s="51" t="str">
        <x:v>Bankruptcy estate</x:v>
      </x:c>
      <x:c r="G252" s="51" t="str">
        <x:v>Counterparty → insolvent estate</x:v>
      </x:c>
      <x:c r="H252" s="51" t="str">
        <x:v>Default event</x:v>
      </x:c>
      <x:c r="I252" s="51" t="str">
        <x:v>Close-out and set-off claim</x:v>
      </x:c>
      <x:c r="J252" s="51" t="str">
        <x:v>INS-123; INS-124</x:v>
      </x:c>
      <x:c r="K252" s="51" t="str">
        <x:v>Portfolio-specific</x:v>
      </x:c>
      <x:c r="L252" s="51" t="str">
        <x:v>Gross in-the-money and out-of-the-money contracts</x:v>
      </x:c>
      <x:c r="M252" s="51" t="str">
        <x:v>Single net claim or payment</x:v>
      </x:c>
      <x:c r="N252" s="51" t="str">
        <x:v>Safe-harboured netting can remove gross positions from ordinary collective insolvency treatment</x:v>
      </x:c>
      <x:c r="O252" s="51" t="str">
        <x:v>Financial; distributional; enforcement</x:v>
      </x:c>
      <x:c r="P252" s="51" t="str">
        <x:v>S1</x:v>
      </x:c>
      <x:c r="Q252" s="51" t="str">
        <x:v>High</x:v>
      </x:c>
      <x:c r="R252" s="51" t="str">
        <x:v>SRC-234; SRC-235</x:v>
      </x:c>
      <x:c r="S252" s="51" t="str">
        <x:v>Close-out netting is designed to reduce replacement and credit exposure on counterparty failure.</x:v>
      </x:c>
      <x:c r="T252" s="51" t="str">
        <x:v>Identical treatment in every insolvency or priority over all non-derivative claims.</x:v>
      </x:c>
      <x:c r="U252" s="51" t="str">
        <x:v>Jurisdiction and transaction type determine legal effect.</x:v>
      </x:c>
      <x:c r="V252" s="51" t="str">
        <x:v>Active mechanism</x:v>
      </x:c>
      <x:c r="W252" s="51" t="str">
        <x:v>47;57</x:v>
      </x:c>
      <x:c r="X252" s="51" t="str">
        <x:v>2026-07-27</x:v>
      </x:c>
    </x:row>
    <x:row r="253">
      <x:c r="A253" s="51" t="str">
        <x:v>ENER-001</x:v>
      </x:c>
      <x:c r="B253" s="51" t="str">
        <x:v>Sovereign production rights and coordination</x:v>
      </x:c>
      <x:c r="C253" s="51" t="str">
        <x:v>ACT-OPECMEMBERCOUNTRIES</x:v>
      </x:c>
      <x:c r="D253" s="51" t="str">
        <x:v>OPEC Member Countries</x:v>
      </x:c>
      <x:c r="E253" s="51" t="str">
        <x:v>ACT-OPECSECRETARIAT</x:v>
      </x:c>
      <x:c r="F253" s="51" t="str">
        <x:v>OPEC Secretariat</x:v>
      </x:c>
      <x:c r="G253" s="51" t="str">
        <x:v>Member states → secretariat</x:v>
      </x:c>
      <x:c r="H253" s="51" t="str">
        <x:v>Ongoing</x:v>
      </x:c>
      <x:c r="I253" s="51" t="str">
        <x:v>Membership, data reporting and policy coordination</x:v>
      </x:c>
      <x:c r="J253" s="51" t="str">
        <x:v>INS-187; INS-188</x:v>
      </x:c>
      <x:c r="K253" s="51" t="str">
        <x:v>Producer coalition</x:v>
      </x:c>
      <x:c r="L253" s="51" t="str">
        <x:v>National production data and policy positions</x:v>
      </x:c>
      <x:c r="M253" s="51" t="str">
        <x:v>Common analysis and ministerial process</x:v>
      </x:c>
      <x:c r="N253" s="51" t="str">
        <x:v>A permanent secretariat converts sovereign production information into a repeatable coordination architecture</x:v>
      </x:c>
      <x:c r="O253" s="51" t="str">
        <x:v>Institutional; informational; material</x:v>
      </x:c>
      <x:c r="P253" s="51" t="str">
        <x:v>E1</x:v>
      </x:c>
      <x:c r="Q253" s="51" t="str">
        <x:v>Very high</x:v>
      </x:c>
      <x:c r="R253" s="51" t="str">
        <x:v>SRC-333; SRC-334</x:v>
      </x:c>
      <x:c r="S253" s="51" t="str">
        <x:v>OPEC members coordinate through formal institutions and statistical reporting.</x:v>
      </x:c>
      <x:c r="T253" s="51" t="str">
        <x:v>Transfer of sovereign ownership of reserves to OPEC.</x:v>
      </x:c>
      <x:c r="U253" s="51" t="str">
        <x:v>Each state retains national legal control over production.</x:v>
      </x:c>
      <x:c r="V253" s="51" t="str">
        <x:v>Active</x:v>
      </x:c>
      <x:c r="W253" s="51" t="str">
        <x:v>32;57</x:v>
      </x:c>
      <x:c r="X253" s="51" t="str">
        <x:v>2026-07-27</x:v>
      </x:c>
    </x:row>
    <x:row r="254">
      <x:c r="A254" s="51" t="str">
        <x:v>ENER-002</x:v>
      </x:c>
      <x:c r="B254" s="51" t="str">
        <x:v>Sovereign production rights and coordination</x:v>
      </x:c>
      <x:c r="C254" s="51" t="str">
        <x:v>ACT-OPECANDNONOPECDECLARATIO</x:v>
      </x:c>
      <x:c r="D254" s="51" t="str">
        <x:v>OPEC and non-OPEC Declaration of Cooperation participants</x:v>
      </x:c>
      <x:c r="E254" s="51" t="str">
        <x:v>ACT-JOINTMINISTERIALMONITORI</x:v>
      </x:c>
      <x:c r="F254" s="51" t="str">
        <x:v>Joint Ministerial Monitoring Committee</x:v>
      </x:c>
      <x:c r="G254" s="51" t="str">
        <x:v>Producer coalition → monitoring body</x:v>
      </x:c>
      <x:c r="H254" s="51" t="str">
        <x:v>Ongoing</x:v>
      </x:c>
      <x:c r="I254" s="51" t="str">
        <x:v>Production-data review and conformity mandate</x:v>
      </x:c>
      <x:c r="J254" s="51" t="str">
        <x:v>INS-187; INS-188</x:v>
      </x:c>
      <x:c r="K254" s="51" t="str">
        <x:v>Coalition-wide</x:v>
      </x:c>
      <x:c r="L254" s="51" t="str">
        <x:v>Reported production and compensation plans</x:v>
      </x:c>
      <x:c r="M254" s="51" t="str">
        <x:v>Conformity findings and meeting recommendations</x:v>
      </x:c>
      <x:c r="N254" s="51" t="str">
        <x:v>Monitoring converts voluntary production commitments into reputational and diplomatic pressure</x:v>
      </x:c>
      <x:c r="O254" s="51" t="str">
        <x:v>Institutional; informational; relational</x:v>
      </x:c>
      <x:c r="P254" s="51" t="str">
        <x:v>E1</x:v>
      </x:c>
      <x:c r="Q254" s="51" t="str">
        <x:v>Very high</x:v>
      </x:c>
      <x:c r="R254" s="51" t="str">
        <x:v>SRC-335; SRC-336</x:v>
      </x:c>
      <x:c r="S254" s="51" t="str">
        <x:v>The JMMC reviews production data and conformity under the DoC.</x:v>
      </x:c>
      <x:c r="T254" s="51" t="str">
        <x:v>A supranational legal power to seize production assets or compel compliance.</x:v>
      </x:c>
      <x:c r="U254" s="51" t="str">
        <x:v>Implementation depends on participating governments.</x:v>
      </x:c>
      <x:c r="V254" s="51" t="str">
        <x:v>Active</x:v>
      </x:c>
      <x:c r="W254" s="51" t="str">
        <x:v>32;57</x:v>
      </x:c>
      <x:c r="X254" s="51" t="str">
        <x:v>2026-07-27</x:v>
      </x:c>
    </x:row>
    <x:row r="255">
      <x:c r="A255" s="51" t="str">
        <x:v>ENER-003</x:v>
      </x:c>
      <x:c r="B255" s="51" t="str">
        <x:v>Sovereign production rights and coordination</x:v>
      </x:c>
      <x:c r="C255" s="51" t="str">
        <x:v>ACT-JOINTMINISTERIALMONITORI</x:v>
      </x:c>
      <x:c r="D255" s="51" t="str">
        <x:v>Joint Ministerial Monitoring Committee</x:v>
      </x:c>
      <x:c r="E255" s="51" t="str">
        <x:v>ACT-OPECANDNONOPECDECLARATIO</x:v>
      </x:c>
      <x:c r="F255" s="51" t="str">
        <x:v>OPEC and non-OPEC Declaration of Cooperation participants</x:v>
      </x:c>
      <x:c r="G255" s="51" t="str">
        <x:v>Committee → producers</x:v>
      </x:c>
      <x:c r="H255" s="51" t="str">
        <x:v>Every two months and as needed</x:v>
      </x:c>
      <x:c r="I255" s="51" t="str">
        <x:v>Conformity review and compensation process</x:v>
      </x:c>
      <x:c r="J255" s="51" t="str">
        <x:v>INS-188</x:v>
      </x:c>
      <x:c r="K255" s="51" t="str">
        <x:v>2026 production framework</x:v>
      </x:c>
      <x:c r="L255" s="51" t="str">
        <x:v>Production deviations</x:v>
      </x:c>
      <x:c r="M255" s="51" t="str">
        <x:v>Pressure for future production adjustment</x:v>
      </x:c>
      <x:c r="N255" s="51" t="str">
        <x:v>The coalition can shift supply through coordinated expectations without one firm owning the global market</x:v>
      </x:c>
      <x:c r="O255" s="51" t="str">
        <x:v>Material; relational; institutional</x:v>
      </x:c>
      <x:c r="P255" s="51" t="str">
        <x:v>E1</x:v>
      </x:c>
      <x:c r="Q255" s="51" t="str">
        <x:v>High</x:v>
      </x:c>
      <x:c r="R255" s="51" t="str">
        <x:v>SRC-335; SRC-336</x:v>
      </x:c>
      <x:c r="S255" s="51" t="str">
        <x:v>OPEC+ reaffirmed monitoring, conformity and compensation mechanisms for 2026.</x:v>
      </x:c>
      <x:c r="T255" s="51" t="str">
        <x:v>Perfect compliance or complete control of world prices.</x:v>
      </x:c>
      <x:c r="U255" s="51" t="str">
        <x:v>Non-participating supply, demand and inventories also determine prices.</x:v>
      </x:c>
      <x:c r="V255" s="51" t="str">
        <x:v>Active</x:v>
      </x:c>
      <x:c r="W255" s="51" t="str">
        <x:v>32;57</x:v>
      </x:c>
      <x:c r="X255" s="51" t="str">
        <x:v>2026-07-27</x:v>
      </x:c>
    </x:row>
    <x:row r="256">
      <x:c r="A256" s="51" t="str">
        <x:v>ENER-004</x:v>
      </x:c>
      <x:c r="B256" s="51" t="str">
        <x:v>Sovereign production rights and coordination</x:v>
      </x:c>
      <x:c r="C256" s="51" t="str">
        <x:v>ACT-SAUDIARAMCO</x:v>
      </x:c>
      <x:c r="D256" s="51" t="str">
        <x:v>Saudi Aramco</x:v>
      </x:c>
      <x:c r="E256" s="51" t="str">
        <x:v>ACT-COMMODITYCONSUMERSREFINE</x:v>
      </x:c>
      <x:c r="F256" s="51" t="str">
        <x:v>Commodity consumers, refiners and utilities</x:v>
      </x:c>
      <x:c r="G256" s="51" t="str">
        <x:v>Producer-marketer → buyers</x:v>
      </x:c>
      <x:c r="H256" s="51" t="str">
        <x:v>Ongoing</x:v>
      </x:c>
      <x:c r="I256" s="51" t="str">
        <x:v>Crude, product and chemical sales</x:v>
      </x:c>
      <x:c r="J256" s="51" t="str"/>
      <x:c r="K256" s="51" t="str">
        <x:v>247.2 billion barrels of oil equivalent reserve base reported at end-2025</x:v>
      </x:c>
      <x:c r="L256" s="51" t="str">
        <x:v>Sovereign hydrocarbon reserves and production system</x:v>
      </x:c>
      <x:c r="M256" s="51" t="str">
        <x:v>Delivered energy and export revenue</x:v>
      </x:c>
      <x:c r="N256" s="51" t="str">
        <x:v>An integrated national company converts state resource control into global commercial cash flow</x:v>
      </x:c>
      <x:c r="O256" s="51" t="str">
        <x:v>Material; financial; geopolitical</x:v>
      </x:c>
      <x:c r="P256" s="51" t="str">
        <x:v>E1</x:v>
      </x:c>
      <x:c r="Q256" s="51" t="str">
        <x:v>High</x:v>
      </x:c>
      <x:c r="R256" s="51" t="str">
        <x:v>SRC-337</x:v>
      </x:c>
      <x:c r="S256" s="51" t="str">
        <x:v>Aramco manages and markets a very large hydrocarbon reserve and operating base.</x:v>
      </x:c>
      <x:c r="T256" s="51" t="str">
        <x:v>Independent ownership of Saudi resources outside the state legal framework.</x:v>
      </x:c>
      <x:c r="U256" s="51" t="str">
        <x:v>Production policy is shaped by national and OPEC+ decisions.</x:v>
      </x:c>
      <x:c r="V256" s="51" t="str">
        <x:v>Active</x:v>
      </x:c>
      <x:c r="W256" s="51" t="str">
        <x:v>32;57</x:v>
      </x:c>
      <x:c r="X256" s="51" t="str">
        <x:v>2026-07-27</x:v>
      </x:c>
    </x:row>
    <x:row r="257">
      <x:c r="A257" s="51" t="str">
        <x:v>ENER-005</x:v>
      </x:c>
      <x:c r="B257" s="51" t="str">
        <x:v>Sovereign production rights and coordination</x:v>
      </x:c>
      <x:c r="C257" s="51" t="str">
        <x:v>ACT-ADNOC</x:v>
      </x:c>
      <x:c r="D257" s="51" t="str">
        <x:v>ADNOC</x:v>
      </x:c>
      <x:c r="E257" s="51" t="str">
        <x:v>ACT-ADNOCMURBANRSC</x:v>
      </x:c>
      <x:c r="F257" s="51" t="str">
        <x:v>ADNOC Murban RSC</x:v>
      </x:c>
      <x:c r="G257" s="51" t="str">
        <x:v>Resource owner → structured company</x:v>
      </x:c>
      <x:c r="H257" s="51" t="str">
        <x:v>2022–2052</x:v>
      </x:c>
      <x:c r="I257" s="51" t="str">
        <x:v>Assignment of crude interests</x:v>
      </x:c>
      <x:c r="J257" s="51" t="str">
        <x:v>INS-189</x:v>
      </x:c>
      <x:c r="K257" s="51" t="str">
        <x:v>30-year assignment</x:v>
      </x:c>
      <x:c r="L257" s="51" t="str">
        <x:v>Assigned crude-oil rights</x:v>
      </x:c>
      <x:c r="M257" s="51" t="str">
        <x:v>Financial asset and cash-flow entitlement</x:v>
      </x:c>
      <x:c r="N257" s="51" t="str">
        <x:v>A national producer converts a portion of future crude flows into a separately financeable legal claim</x:v>
      </x:c>
      <x:c r="O257" s="51" t="str">
        <x:v>Ownership; financial; material</x:v>
      </x:c>
      <x:c r="P257" s="51" t="str">
        <x:v>E1</x:v>
      </x:c>
      <x:c r="Q257" s="51" t="str">
        <x:v>Very high</x:v>
      </x:c>
      <x:c r="R257" s="51" t="str">
        <x:v>SRC-338</x:v>
      </x:c>
      <x:c r="S257" s="51" t="str">
        <x:v>ADNOC entered a 30-year assignment agreement with ADNOC Murban RSC.</x:v>
      </x:c>
      <x:c r="T257" s="51" t="str">
        <x:v>Sale of Abu Dhabi's sovereign title to the underlying reserves.</x:v>
      </x:c>
      <x:c r="U257" s="51" t="str">
        <x:v>The assigned rights and contractual restrictions define the asset.</x:v>
      </x:c>
      <x:c r="V257" s="51" t="str">
        <x:v>Active</x:v>
      </x:c>
      <x:c r="W257" s="51" t="str">
        <x:v>32;47;57</x:v>
      </x:c>
      <x:c r="X257" s="51" t="str">
        <x:v>2026-07-27</x:v>
      </x:c>
    </x:row>
    <x:row r="258">
      <x:c r="A258" s="51" t="str">
        <x:v>ENER-006</x:v>
      </x:c>
      <x:c r="B258" s="51" t="str">
        <x:v>Sovereign production rights and coordination</x:v>
      </x:c>
      <x:c r="C258" s="51" t="str">
        <x:v>ACT-ADNOCMURBANRSC</x:v>
      </x:c>
      <x:c r="D258" s="51" t="str">
        <x:v>ADNOC Murban RSC</x:v>
      </x:c>
      <x:c r="E258" s="51" t="str">
        <x:v>ACT-ADNOCTRADING</x:v>
      </x:c>
      <x:c r="F258" s="51" t="str">
        <x:v>ADNOC Trading</x:v>
      </x:c>
      <x:c r="G258" s="51" t="str">
        <x:v>Structured company → offtaker</x:v>
      </x:c>
      <x:c r="H258" s="51" t="str">
        <x:v>Ongoing</x:v>
      </x:c>
      <x:c r="I258" s="51" t="str">
        <x:v>Crude offtake agreement</x:v>
      </x:c>
      <x:c r="J258" s="51" t="str">
        <x:v>INS-189</x:v>
      </x:c>
      <x:c r="K258" s="51" t="str">
        <x:v>Billions of dollars invoiced annually</x:v>
      </x:c>
      <x:c r="L258" s="51" t="str">
        <x:v>Assigned Murban crude interests</x:v>
      </x:c>
      <x:c r="M258" s="51" t="str">
        <x:v>Trade receivable and cash collection</x:v>
      </x:c>
      <x:c r="N258" s="51" t="str">
        <x:v>A long-term offtake contract turns physical crude allocation into predictable financial cash flows</x:v>
      </x:c>
      <x:c r="O258" s="51" t="str">
        <x:v>Financial; material; relational</x:v>
      </x:c>
      <x:c r="P258" s="51" t="str">
        <x:v>E1</x:v>
      </x:c>
      <x:c r="Q258" s="51" t="str">
        <x:v>Very high</x:v>
      </x:c>
      <x:c r="R258" s="51" t="str">
        <x:v>SRC-338</x:v>
      </x:c>
      <x:c r="S258" s="51" t="str">
        <x:v>ADNOC Murban sells assigned crude under material offtake contracts including ADNOC Trading.</x:v>
      </x:c>
      <x:c r="T258" s="51" t="str">
        <x:v>Independent market-price discovery for every cargo or absence of related-party risk.</x:v>
      </x:c>
      <x:c r="U258" s="51" t="str">
        <x:v>Contract terms and pricing mechanisms require transaction documents.</x:v>
      </x:c>
      <x:c r="V258" s="51" t="str">
        <x:v>Active</x:v>
      </x:c>
      <x:c r="W258" s="51" t="str">
        <x:v>32;47;57</x:v>
      </x:c>
      <x:c r="X258" s="51" t="str">
        <x:v>2026-07-27</x:v>
      </x:c>
    </x:row>
    <x:row r="259">
      <x:c r="A259" s="51" t="str">
        <x:v>ENER-007</x:v>
      </x:c>
      <x:c r="B259" s="51" t="str">
        <x:v>Sovereign production rights and coordination</x:v>
      </x:c>
      <x:c r="C259" s="51" t="str">
        <x:v>ACT-ADNOC</x:v>
      </x:c>
      <x:c r="D259" s="51" t="str">
        <x:v>ADNOC</x:v>
      </x:c>
      <x:c r="E259" s="51" t="str">
        <x:v>ACT-COMMODITYBORROWINGBASELE</x:v>
      </x:c>
      <x:c r="F259" s="51" t="str">
        <x:v>Commodity borrowing-base lenders</x:v>
      </x:c>
      <x:c r="G259" s="51" t="str">
        <x:v>Producer consortium → financiers</x:v>
      </x:c>
      <x:c r="H259" s="51" t="str">
        <x:v>2025</x:v>
      </x:c>
      <x:c r="I259" s="51" t="str">
        <x:v>Future-production structured financing</x:v>
      </x:c>
      <x:c r="J259" s="51" t="str">
        <x:v>INS-190</x:v>
      </x:c>
      <x:c r="K259" s="51" t="str">
        <x:v>Up to $11 billion</x:v>
      </x:c>
      <x:c r="L259" s="51" t="str">
        <x:v>Future Hail and Ghasha gas production and project contracts</x:v>
      </x:c>
      <x:c r="M259" s="51" t="str">
        <x:v>Present development finance</x:v>
      </x:c>
      <x:c r="N259" s="51" t="str">
        <x:v>Future resource output is converted into current capital without an outright asset sale</x:v>
      </x:c>
      <x:c r="O259" s="51" t="str">
        <x:v>Financial; material; ownership</x:v>
      </x:c>
      <x:c r="P259" s="51" t="str">
        <x:v>E1</x:v>
      </x:c>
      <x:c r="Q259" s="51" t="str">
        <x:v>High</x:v>
      </x:c>
      <x:c r="R259" s="51" t="str">
        <x:v>SRC-339</x:v>
      </x:c>
      <x:c r="S259" s="51" t="str">
        <x:v>ADNOC, Eni and PTTEP announced structured financing tied to future midstream gas production.</x:v>
      </x:c>
      <x:c r="T259" s="51" t="str">
        <x:v>A public guarantee of all debt or transfer of operating control to lenders.</x:v>
      </x:c>
      <x:c r="U259" s="51" t="str">
        <x:v>The financing structure and risk allocation depend on definitive documents.</x:v>
      </x:c>
      <x:c r="V259" s="51" t="str">
        <x:v>Signed</x:v>
      </x:c>
      <x:c r="W259" s="51" t="str">
        <x:v>32;47;57</x:v>
      </x:c>
      <x:c r="X259" s="51" t="str">
        <x:v>2026-07-27</x:v>
      </x:c>
    </x:row>
    <x:row r="260">
      <x:c r="A260" s="51" t="str">
        <x:v>ENER-008</x:v>
      </x:c>
      <x:c r="B260" s="51" t="str">
        <x:v>Sovereign production rights and coordination</x:v>
      </x:c>
      <x:c r="C260" s="51" t="str">
        <x:v>ACT-ENI</x:v>
      </x:c>
      <x:c r="D260" s="51" t="str">
        <x:v>Eni</x:v>
      </x:c>
      <x:c r="E260" s="51" t="str">
        <x:v>ACT-ADNOC</x:v>
      </x:c>
      <x:c r="F260" s="51" t="str">
        <x:v>ADNOC</x:v>
      </x:c>
      <x:c r="G260" s="51" t="str">
        <x:v>Project partner → operator system</x:v>
      </x:c>
      <x:c r="H260" s="51" t="str">
        <x:v>Ongoing</x:v>
      </x:c>
      <x:c r="I260" s="51" t="str">
        <x:v>Hail and Ghasha partnership</x:v>
      </x:c>
      <x:c r="J260" s="51" t="str">
        <x:v>INS-190</x:v>
      </x:c>
      <x:c r="K260" s="51" t="str">
        <x:v>Project-specific</x:v>
      </x:c>
      <x:c r="L260" s="51" t="str">
        <x:v>Capital, technology and project rights</x:v>
      </x:c>
      <x:c r="M260" s="51" t="str">
        <x:v>Share of gas-development economics</x:v>
      </x:c>
      <x:c r="N260" s="51" t="str">
        <x:v>Cross-border partnerships combine sovereign resource title with multinational operating and financing capacity</x:v>
      </x:c>
      <x:c r="O260" s="51" t="str">
        <x:v>Material; relational; technological</x:v>
      </x:c>
      <x:c r="P260" s="51" t="str">
        <x:v>E1</x:v>
      </x:c>
      <x:c r="Q260" s="51" t="str">
        <x:v>High</x:v>
      </x:c>
      <x:c r="R260" s="51" t="str">
        <x:v>SRC-339</x:v>
      </x:c>
      <x:c r="S260" s="51" t="str">
        <x:v>Eni is a partner in the Hail and Ghasha development and financing.</x:v>
      </x:c>
      <x:c r="T260" s="51" t="str">
        <x:v>Control of Abu Dhabi's overall gas policy.</x:v>
      </x:c>
      <x:c r="U260" s="51" t="str">
        <x:v>Project rights are limited to contractual participation.</x:v>
      </x:c>
      <x:c r="V260" s="51" t="str">
        <x:v>Active</x:v>
      </x:c>
      <x:c r="W260" s="51" t="str">
        <x:v>32;57</x:v>
      </x:c>
      <x:c r="X260" s="51" t="str">
        <x:v>2026-07-27</x:v>
      </x:c>
    </x:row>
    <x:row r="261">
      <x:c r="A261" s="51" t="str">
        <x:v>ENER-009</x:v>
      </x:c>
      <x:c r="B261" s="51" t="str">
        <x:v>Sovereign production rights and coordination</x:v>
      </x:c>
      <x:c r="C261" s="51" t="str">
        <x:v>ACT-PTTEXPLORATIONANDPRODUCT</x:v>
      </x:c>
      <x:c r="D261" s="51" t="str">
        <x:v>PTT Exploration and Production</x:v>
      </x:c>
      <x:c r="E261" s="51" t="str">
        <x:v>ACT-ADNOC</x:v>
      </x:c>
      <x:c r="F261" s="51" t="str">
        <x:v>ADNOC</x:v>
      </x:c>
      <x:c r="G261" s="51" t="str">
        <x:v>Project partner → operator system</x:v>
      </x:c>
      <x:c r="H261" s="51" t="str">
        <x:v>Ongoing</x:v>
      </x:c>
      <x:c r="I261" s="51" t="str">
        <x:v>Hail and Ghasha partnership</x:v>
      </x:c>
      <x:c r="J261" s="51" t="str">
        <x:v>INS-190</x:v>
      </x:c>
      <x:c r="K261" s="51" t="str">
        <x:v>Project-specific</x:v>
      </x:c>
      <x:c r="L261" s="51" t="str">
        <x:v>Capital and project rights</x:v>
      </x:c>
      <x:c r="M261" s="51" t="str">
        <x:v>Share of gas-development economics</x:v>
      </x:c>
      <x:c r="N261" s="51" t="str">
        <x:v>National and corporate capital networks can be combined within one resource project</x:v>
      </x:c>
      <x:c r="O261" s="51" t="str">
        <x:v>Material; relational; financial</x:v>
      </x:c>
      <x:c r="P261" s="51" t="str">
        <x:v>E1</x:v>
      </x:c>
      <x:c r="Q261" s="51" t="str">
        <x:v>High</x:v>
      </x:c>
      <x:c r="R261" s="51" t="str">
        <x:v>SRC-339</x:v>
      </x:c>
      <x:c r="S261" s="51" t="str">
        <x:v>PTTEP is a partner in the Hail and Ghasha project.</x:v>
      </x:c>
      <x:c r="T261" s="51" t="str">
        <x:v>Ownership of the host state's resource base.</x:v>
      </x:c>
      <x:c r="U261" s="51" t="str">
        <x:v>Rights are project specific.</x:v>
      </x:c>
      <x:c r="V261" s="51" t="str">
        <x:v>Active</x:v>
      </x:c>
      <x:c r="W261" s="51" t="str">
        <x:v>32;57</x:v>
      </x:c>
      <x:c r="X261" s="51" t="str">
        <x:v>2026-07-27</x:v>
      </x:c>
    </x:row>
    <x:row r="262">
      <x:c r="A262" s="51" t="str">
        <x:v>EPS-001</x:v>
      </x:c>
      <x:c r="B262" s="51" t="str">
        <x:v>Elite brokerage</x:v>
      </x:c>
      <x:c r="C262" s="51" t="str">
        <x:v>ACT-JEFFREYEPSTEIN</x:v>
      </x:c>
      <x:c r="D262" s="51" t="str">
        <x:v>Jeffrey Epstein</x:v>
      </x:c>
      <x:c r="E262" s="51" t="str">
        <x:v>ACT-EHUDBARAK</x:v>
      </x:c>
      <x:c r="F262" s="51" t="str">
        <x:v>Ehud Barak</x:v>
      </x:c>
      <x:c r="G262" s="51" t="str">
        <x:v>Bidirectional</x:v>
      </x:c>
      <x:c r="H262" s="51" t="str">
        <x:v>Years after 2008 conviction</x:v>
      </x:c>
      <x:c r="I262" s="51" t="str">
        <x:v>Social and business relationship</x:v>
      </x:c>
      <x:c r="J262" s="51" t="str"/>
      <x:c r="K262" s="51" t="str">
        <x:v>Repeated contacts</x:v>
      </x:c>
      <x:c r="L262" s="51" t="str">
        <x:v>Money, meetings and access</x:v>
      </x:c>
      <x:c r="M262" s="51" t="str">
        <x:v>Business discussions and introductions</x:v>
      </x:c>
      <x:c r="N262" s="51" t="str">
        <x:v>A broker connects private capital to former sovereign/security authority</x:v>
      </x:c>
      <x:c r="O262" s="51" t="str">
        <x:v>Relational; financial</x:v>
      </x:c>
      <x:c r="P262" s="51" t="str">
        <x:v>E2</x:v>
      </x:c>
      <x:c r="Q262" s="51" t="str">
        <x:v>High</x:v>
      </x:c>
      <x:c r="R262" s="51" t="str">
        <x:v>SRC-043; SRC-045; SRC-048</x:v>
      </x:c>
      <x:c r="S262" s="51" t="str">
        <x:v>A substantial relationship and business discussions existed.</x:v>
      </x:c>
      <x:c r="T262" s="51" t="str">
        <x:v>Barak's participation in Epstein's sexual offences or proven intelligence command.</x:v>
      </x:c>
      <x:c r="U262" s="51" t="str">
        <x:v>Elite contact may mix legitimate business, poor judgment and opportunism.</x:v>
      </x:c>
      <x:c r="V262" s="51" t="str">
        <x:v>Historical</x:v>
      </x:c>
      <x:c r="W262" s="51" t="str">
        <x:v>53;54;57</x:v>
      </x:c>
      <x:c r="X262" s="51" t="str">
        <x:v>2026-07-27</x:v>
      </x:c>
    </x:row>
    <x:row r="263">
      <x:c r="A263" s="51" t="str">
        <x:v>EPS-002</x:v>
      </x:c>
      <x:c r="B263" s="51" t="str">
        <x:v>Elite brokerage</x:v>
      </x:c>
      <x:c r="C263" s="51" t="str">
        <x:v>ACT-JEFFREYEPSTEIN</x:v>
      </x:c>
      <x:c r="D263" s="51" t="str">
        <x:v>Jeffrey Epstein</x:v>
      </x:c>
      <x:c r="E263" s="51" t="str">
        <x:v>ACT-CARBYNE</x:v>
      </x:c>
      <x:c r="F263" s="51" t="str">
        <x:v>Carbyne</x:v>
      </x:c>
      <x:c r="G263" s="51" t="str">
        <x:v>Person → company</x:v>
      </x:c>
      <x:c r="H263" s="51" t="str">
        <x:v>Reported 2015</x:v>
      </x:c>
      <x:c r="I263" s="51" t="str">
        <x:v>Indirect/private investment</x:v>
      </x:c>
      <x:c r="J263" s="51" t="str">
        <x:v>INS-020</x:v>
      </x:c>
      <x:c r="K263" s="51" t="str">
        <x:v>$1m reported</x:v>
      </x:c>
      <x:c r="L263" s="51" t="str">
        <x:v>Private capital</x:v>
      </x:c>
      <x:c r="M263" s="51" t="str">
        <x:v>Equity exposure</x:v>
      </x:c>
      <x:c r="N263" s="51" t="str">
        <x:v>Brokered capital enters security-adjacent technology through a former official</x:v>
      </x:c>
      <x:c r="O263" s="51" t="str">
        <x:v>Financial; relational; informational</x:v>
      </x:c>
      <x:c r="P263" s="51" t="str">
        <x:v>E2</x:v>
      </x:c>
      <x:c r="Q263" s="51" t="str">
        <x:v>Moderate</x:v>
      </x:c>
      <x:c r="R263" s="51" t="str">
        <x:v>SRC-048</x:v>
      </x:c>
      <x:c r="S263" s="51" t="str">
        <x:v>Investigative reporting describes an Epstein investment path.</x:v>
      </x:c>
      <x:c r="T263" s="51" t="str">
        <x:v>Operational control, intelligence-front status or knowledge by later investors.</x:v>
      </x:c>
      <x:c r="U263" s="51" t="str">
        <x:v>Private structures obscure beneficial ownership; seek primary records.</x:v>
      </x:c>
      <x:c r="V263" s="51" t="str">
        <x:v>Historical / reported</x:v>
      </x:c>
      <x:c r="W263" s="51" t="str">
        <x:v>53;54;57</x:v>
      </x:c>
      <x:c r="X263" s="51" t="str">
        <x:v>2026-07-27</x:v>
      </x:c>
    </x:row>
    <x:row r="264">
      <x:c r="A264" s="51" t="str">
        <x:v>EPS-003</x:v>
      </x:c>
      <x:c r="B264" s="51" t="str">
        <x:v>Elite brokerage</x:v>
      </x:c>
      <x:c r="C264" s="51" t="str">
        <x:v>ACT-EHUDBARAK</x:v>
      </x:c>
      <x:c r="D264" s="51" t="str">
        <x:v>Ehud Barak</x:v>
      </x:c>
      <x:c r="E264" s="51" t="str">
        <x:v>ACT-CARBYNE</x:v>
      </x:c>
      <x:c r="F264" s="51" t="str">
        <x:v>Carbyne</x:v>
      </x:c>
      <x:c r="G264" s="51" t="str">
        <x:v>Person → company</x:v>
      </x:c>
      <x:c r="H264" s="51" t="str">
        <x:v>2010s</x:v>
      </x:c>
      <x:c r="I264" s="51" t="str">
        <x:v>Investor / chairman / adviser relationship</x:v>
      </x:c>
      <x:c r="J264" s="51" t="str"/>
      <x:c r="K264" s="51" t="str">
        <x:v>Undisclosed</x:v>
      </x:c>
      <x:c r="L264" s="51" t="str">
        <x:v>Former authority and network</x:v>
      </x:c>
      <x:c r="M264" s="51" t="str">
        <x:v>Company governance and credibility</x:v>
      </x:c>
      <x:c r="N264" s="51" t="str">
        <x:v>Revolving-door status converts reputation/state knowledge into private technology value</x:v>
      </x:c>
      <x:c r="O264" s="51" t="str">
        <x:v>Relational; financial; institutional</x:v>
      </x:c>
      <x:c r="P264" s="51" t="str">
        <x:v>E2</x:v>
      </x:c>
      <x:c r="Q264" s="51" t="str">
        <x:v>High</x:v>
      </x:c>
      <x:c r="R264" s="51" t="str">
        <x:v>SRC-046; SRC-048</x:v>
      </x:c>
      <x:c r="S264" s="51" t="str">
        <x:v>Barak was publicly associated with and invested in the company.</x:v>
      </x:c>
      <x:c r="T264" s="51" t="str">
        <x:v>State sponsorship, intelligence direction or criminal purpose.</x:v>
      </x:c>
      <x:c r="U264" s="51" t="str">
        <x:v>Former officials commonly advise technology companies.</x:v>
      </x:c>
      <x:c r="V264" s="51" t="str">
        <x:v>Historical</x:v>
      </x:c>
      <x:c r="W264" s="51" t="str">
        <x:v>53;57</x:v>
      </x:c>
      <x:c r="X264" s="51" t="str">
        <x:v>2026-07-27</x:v>
      </x:c>
    </x:row>
    <x:row r="265">
      <x:c r="A265" s="51" t="str">
        <x:v>EPS-004</x:v>
      </x:c>
      <x:c r="B265" s="51" t="str">
        <x:v>Elite brokerage</x:v>
      </x:c>
      <x:c r="C265" s="51" t="str">
        <x:v>ACT-FOUNDERSFUND</x:v>
      </x:c>
      <x:c r="D265" s="51" t="str">
        <x:v>Founders Fund</x:v>
      </x:c>
      <x:c r="E265" s="51" t="str">
        <x:v>ACT-CARBYNE</x:v>
      </x:c>
      <x:c r="F265" s="51" t="str">
        <x:v>Carbyne</x:v>
      </x:c>
      <x:c r="G265" s="51" t="str">
        <x:v>Fund → company</x:v>
      </x:c>
      <x:c r="H265" s="51" t="str">
        <x:v>2018</x:v>
      </x:c>
      <x:c r="I265" s="51" t="str">
        <x:v>Venture investment</x:v>
      </x:c>
      <x:c r="J265" s="51" t="str">
        <x:v>INS-019</x:v>
      </x:c>
      <x:c r="K265" s="51" t="str">
        <x:v>Part of $15m round</x:v>
      </x:c>
      <x:c r="L265" s="51" t="str">
        <x:v>Venture capital and network</x:v>
      </x:c>
      <x:c r="M265" s="51" t="str">
        <x:v>Company expansion</x:v>
      </x:c>
      <x:c r="N265" s="51" t="str">
        <x:v>Thiel-linked capital entered the same company previously linked to Barak/Epstein</x:v>
      </x:c>
      <x:c r="O265" s="51" t="str">
        <x:v>Financial; relational; technological</x:v>
      </x:c>
      <x:c r="P265" s="51" t="str">
        <x:v>E1</x:v>
      </x:c>
      <x:c r="Q265" s="51" t="str">
        <x:v>Very high</x:v>
      </x:c>
      <x:c r="R265" s="51" t="str">
        <x:v>SRC-046; SRC-047</x:v>
      </x:c>
      <x:c r="S265" s="51" t="str">
        <x:v>Founders Fund participated in Carbyne's Series B.</x:v>
      </x:c>
      <x:c r="T265" s="51" t="str">
        <x:v>Knowledge of Epstein's earlier investment or a covert joint programme.</x:v>
      </x:c>
      <x:c r="U265" s="51" t="str">
        <x:v>Later investment can be commercially independent.</x:v>
      </x:c>
      <x:c r="V265" s="51" t="str">
        <x:v>Historical</x:v>
      </x:c>
      <x:c r="W265" s="51" t="str">
        <x:v>57</x:v>
      </x:c>
      <x:c r="X265" s="51" t="str">
        <x:v>2026-07-27</x:v>
      </x:c>
    </x:row>
    <x:row r="266">
      <x:c r="A266" s="51" t="str">
        <x:v>EPS-005</x:v>
      </x:c>
      <x:c r="B266" s="51" t="str">
        <x:v>Elite brokerage</x:v>
      </x:c>
      <x:c r="C266" s="51" t="str">
        <x:v>ACT-ELSTEDCAPITALPARTNERS</x:v>
      </x:c>
      <x:c r="D266" s="51" t="str">
        <x:v>Elsted Capital Partners</x:v>
      </x:c>
      <x:c r="E266" s="51" t="str">
        <x:v>ACT-CARBYNE</x:v>
      </x:c>
      <x:c r="F266" s="51" t="str">
        <x:v>Carbyne</x:v>
      </x:c>
      <x:c r="G266" s="51" t="str">
        <x:v>Fund → company</x:v>
      </x:c>
      <x:c r="H266" s="51" t="str">
        <x:v>2018</x:v>
      </x:c>
      <x:c r="I266" s="51" t="str">
        <x:v>Lead venture investment</x:v>
      </x:c>
      <x:c r="J266" s="51" t="str">
        <x:v>INS-019</x:v>
      </x:c>
      <x:c r="K266" s="51" t="str">
        <x:v>Led $15m round</x:v>
      </x:c>
      <x:c r="L266" s="51" t="str">
        <x:v>Venture capital</x:v>
      </x:c>
      <x:c r="M266" s="51" t="str">
        <x:v>Expansion and R&amp;D</x:v>
      </x:c>
      <x:c r="N266" s="51" t="str">
        <x:v>Lead investors organise syndicates and validation</x:v>
      </x:c>
      <x:c r="O266" s="51" t="str">
        <x:v>Financial; relational</x:v>
      </x:c>
      <x:c r="P266" s="51" t="str">
        <x:v>E1</x:v>
      </x:c>
      <x:c r="Q266" s="51" t="str">
        <x:v>Very high</x:v>
      </x:c>
      <x:c r="R266" s="51" t="str">
        <x:v>SRC-046; SRC-047</x:v>
      </x:c>
      <x:c r="S266" s="51" t="str">
        <x:v>Elsted led the Series B.</x:v>
      </x:c>
      <x:c r="T266" s="51" t="str">
        <x:v>Connection to Epstein beyond the same company.</x:v>
      </x:c>
      <x:c r="U266" s="51" t="str">
        <x:v>Syndicate membership does not imply knowledge of all prior financing.</x:v>
      </x:c>
      <x:c r="V266" s="51" t="str">
        <x:v>Historical</x:v>
      </x:c>
      <x:c r="W266" s="51" t="str">
        <x:v>57</x:v>
      </x:c>
      <x:c r="X266" s="51" t="str">
        <x:v>2026-07-27</x:v>
      </x:c>
    </x:row>
    <x:row r="267">
      <x:c r="A267" s="51" t="str">
        <x:v>EPS-006</x:v>
      </x:c>
      <x:c r="B267" s="51" t="str">
        <x:v>Elite brokerage</x:v>
      </x:c>
      <x:c r="C267" s="51" t="str">
        <x:v>ACT-PETERTHIEL</x:v>
      </x:c>
      <x:c r="D267" s="51" t="str">
        <x:v>Peter Thiel</x:v>
      </x:c>
      <x:c r="E267" s="51" t="str">
        <x:v>ACT-FOUNDERSFUND</x:v>
      </x:c>
      <x:c r="F267" s="51" t="str">
        <x:v>Founders Fund</x:v>
      </x:c>
      <x:c r="G267" s="51" t="str">
        <x:v>Person → fund</x:v>
      </x:c>
      <x:c r="H267" s="51" t="str">
        <x:v>Ongoing</x:v>
      </x:c>
      <x:c r="I267" s="51" t="str">
        <x:v>Founder / fund relationship</x:v>
      </x:c>
      <x:c r="J267" s="51" t="str"/>
      <x:c r="K267" s="51" t="str">
        <x:v>Institutional</x:v>
      </x:c>
      <x:c r="L267" s="51" t="str">
        <x:v>Personal capital and reputation</x:v>
      </x:c>
      <x:c r="M267" s="51" t="str">
        <x:v>Venture investment platform</x:v>
      </x:c>
      <x:c r="N267" s="51" t="str">
        <x:v>A founder converts personal networks into institutional investment capacity</x:v>
      </x:c>
      <x:c r="O267" s="51" t="str">
        <x:v>Financial; relational</x:v>
      </x:c>
      <x:c r="P267" s="51" t="str">
        <x:v>E1</x:v>
      </x:c>
      <x:c r="Q267" s="51" t="str">
        <x:v>Very high</x:v>
      </x:c>
      <x:c r="R267" s="51" t="str">
        <x:v>SRC-046</x:v>
      </x:c>
      <x:c r="S267" s="51" t="str">
        <x:v>Founders Fund is a Thiel-founded/linked firm.</x:v>
      </x:c>
      <x:c r="T267" s="51" t="str">
        <x:v>Thiel personally approved every investment or knew all prior counterparties.</x:v>
      </x:c>
      <x:c r="U267" s="51" t="str">
        <x:v>Funds are managed by teams and processes.</x:v>
      </x:c>
      <x:c r="V267" s="51" t="str">
        <x:v>Active</x:v>
      </x:c>
      <x:c r="W267" s="51" t="str">
        <x:v>52;57</x:v>
      </x:c>
      <x:c r="X267" s="51" t="str">
        <x:v>2026-07-27</x:v>
      </x:c>
    </x:row>
    <x:row r="268">
      <x:c r="A268" s="51" t="str">
        <x:v>EPS-007</x:v>
      </x:c>
      <x:c r="B268" s="51" t="str">
        <x:v>Elite brokerage</x:v>
      </x:c>
      <x:c r="C268" s="51" t="str">
        <x:v>ACT-PETERTHIEL</x:v>
      </x:c>
      <x:c r="D268" s="51" t="str">
        <x:v>Peter Thiel</x:v>
      </x:c>
      <x:c r="E268" s="51" t="str">
        <x:v>ACT-JEFFREYEPSTEIN</x:v>
      </x:c>
      <x:c r="F268" s="51" t="str">
        <x:v>Jeffrey Epstein</x:v>
      </x:c>
      <x:c r="G268" s="51" t="str">
        <x:v>Bidirectional</x:v>
      </x:c>
      <x:c r="H268" s="51" t="str">
        <x:v>2010s</x:v>
      </x:c>
      <x:c r="I268" s="51" t="str">
        <x:v>Planned meetings / correspondence / contact</x:v>
      </x:c>
      <x:c r="J268" s="51" t="str"/>
      <x:c r="K268" s="51" t="str">
        <x:v>Unknown</x:v>
      </x:c>
      <x:c r="L268" s="51" t="str">
        <x:v>Elite access and information</x:v>
      </x:c>
      <x:c r="M268" s="51" t="str">
        <x:v>Potential introductions/exchange</x:v>
      </x:c>
      <x:c r="N268" s="51" t="str">
        <x:v>Epstein maintained contact with technology investors after conviction</x:v>
      </x:c>
      <x:c r="O268" s="51" t="str">
        <x:v>Relational</x:v>
      </x:c>
      <x:c r="P268" s="51" t="str">
        <x:v>E2</x:v>
      </x:c>
      <x:c r="Q268" s="51" t="str">
        <x:v>Moderate</x:v>
      </x:c>
      <x:c r="R268" s="51" t="str">
        <x:v>SRC-044; SRC-045</x:v>
      </x:c>
      <x:c r="S268" s="51" t="str">
        <x:v>Released records show planned meetings and reported interactions.</x:v>
      </x:c>
      <x:c r="T268" s="51" t="str">
        <x:v>Every scheduled meeting occurred, a partnership existed or Thiel participated in crimes.</x:v>
      </x:c>
      <x:c r="U268" s="51" t="str">
        <x:v>Schedules require corroboration; contact establishes little beyond access.</x:v>
      </x:c>
      <x:c r="V268" s="51" t="str">
        <x:v>Historical / qualified</x:v>
      </x:c>
      <x:c r="W268" s="51" t="str">
        <x:v>53;57</x:v>
      </x:c>
      <x:c r="X268" s="51" t="str">
        <x:v>2026-07-27</x:v>
      </x:c>
    </x:row>
    <x:row r="269">
      <x:c r="A269" s="51" t="str">
        <x:v>EPS-008</x:v>
      </x:c>
      <x:c r="B269" s="51" t="str">
        <x:v>Elite brokerage</x:v>
      </x:c>
      <x:c r="C269" s="51" t="str">
        <x:v>ACT-JEFFREYEPSTEIN</x:v>
      </x:c>
      <x:c r="D269" s="51" t="str">
        <x:v>Jeffrey Epstein</x:v>
      </x:c>
      <x:c r="E269" s="51" t="str">
        <x:v>ACT-GOVERNINGINSTITUTIONALNE</x:v>
      </x:c>
      <x:c r="F269" s="51" t="str">
        <x:v>Governing institutional networks</x:v>
      </x:c>
      <x:c r="G269" s="51" t="str">
        <x:v>Broker → network</x:v>
      </x:c>
      <x:c r="H269" s="51" t="str">
        <x:v>2009–2019</x:v>
      </x:c>
      <x:c r="I269" s="51" t="str">
        <x:v>Correspondence, meetings and introductions</x:v>
      </x:c>
      <x:c r="J269" s="51" t="str"/>
      <x:c r="K269" s="51" t="str">
        <x:v>Broad network</x:v>
      </x:c>
      <x:c r="L269" s="51" t="str">
        <x:v>Residences, money and access</x:v>
      </x:c>
      <x:c r="M269" s="51" t="str">
        <x:v>Cross-domain elite connections</x:v>
      </x:c>
      <x:c r="N269" s="51" t="str">
        <x:v>A broker gains power by connecting separated elite communities</x:v>
      </x:c>
      <x:c r="O269" s="51" t="str">
        <x:v>Relational; informational; financial</x:v>
      </x:c>
      <x:c r="P269" s="51" t="str">
        <x:v>E2</x:v>
      </x:c>
      <x:c r="Q269" s="51" t="str">
        <x:v>High</x:v>
      </x:c>
      <x:c r="R269" s="51" t="str">
        <x:v>SRC-043; SRC-045</x:v>
      </x:c>
      <x:c r="S269" s="51" t="str">
        <x:v>Released records show a broad persistent network.</x:v>
      </x:c>
      <x:c r="T269" s="51" t="str">
        <x:v>Criminal knowledge/participation by every contact.</x:v>
      </x:c>
      <x:c r="U269" s="51" t="str">
        <x:v>Some links were superficial, scheduled only or self-serving.</x:v>
      </x:c>
      <x:c r="V269" s="51" t="str">
        <x:v>Historical</x:v>
      </x:c>
      <x:c r="W269" s="51" t="str">
        <x:v>52;53</x:v>
      </x:c>
      <x:c r="X269" s="51" t="str">
        <x:v>2026-07-27</x:v>
      </x:c>
    </x:row>
    <x:row r="270">
      <x:c r="A270" s="51" t="str">
        <x:v>EPS-009</x:v>
      </x:c>
      <x:c r="B270" s="51" t="str">
        <x:v>Elite brokerage</x:v>
      </x:c>
      <x:c r="C270" s="51" t="str">
        <x:v>ACT-JEFFREYEPSTEIN</x:v>
      </x:c>
      <x:c r="D270" s="51" t="str">
        <x:v>Jeffrey Epstein</x:v>
      </x:c>
      <x:c r="E270" s="51" t="str">
        <x:v>ACT-FBI</x:v>
      </x:c>
      <x:c r="F270" s="51" t="str">
        <x:v>FBI</x:v>
      </x:c>
      <x:c r="G270" s="51" t="str">
        <x:v>Informant claim about person</x:v>
      </x:c>
      <x:c r="H270" s="51" t="str">
        <x:v>Recorded in released material</x:v>
      </x:c>
      <x:c r="I270" s="51" t="str">
        <x:v>Alleged intelligence relationship</x:v>
      </x:c>
      <x:c r="J270" s="51" t="str"/>
      <x:c r="K270" s="51" t="str">
        <x:v>Unknown</x:v>
      </x:c>
      <x:c r="L270" s="51" t="str">
        <x:v>Informant allegation</x:v>
      </x:c>
      <x:c r="M270" s="51" t="str">
        <x:v>Possible intelligence relationship</x:v>
      </x:c>
      <x:c r="N270" s="51" t="str">
        <x:v>An allegation entered a government record and can justify investigation</x:v>
      </x:c>
      <x:c r="O270" s="51" t="str">
        <x:v>Relational; informational</x:v>
      </x:c>
      <x:c r="P270" s="51" t="str">
        <x:v>A1</x:v>
      </x:c>
      <x:c r="Q270" s="51" t="str">
        <x:v>Low</x:v>
      </x:c>
      <x:c r="R270" s="51" t="str">
        <x:v>SRC-049</x:v>
      </x:c>
      <x:c r="S270" s="51" t="str">
        <x:v>A confidential source reportedly alleged Epstein was co-opted by Mossad.</x:v>
      </x:c>
      <x:c r="T270" s="51" t="str">
        <x:v>Verified operative status, command chain or blackmail programme.</x:v>
      </x:c>
      <x:c r="U270" s="51" t="str">
        <x:v>Informants can be mistaken, deceptive or repeating hearsay.</x:v>
      </x:c>
      <x:c r="V270" s="51" t="str">
        <x:v>Unresolved</x:v>
      </x:c>
      <x:c r="W270" s="51" t="str">
        <x:v>54;57</x:v>
      </x:c>
      <x:c r="X270" s="51" t="str">
        <x:v>2026-07-27</x:v>
      </x:c>
    </x:row>
    <x:row r="271">
      <x:c r="A271" s="51" t="str">
        <x:v>EPS-010</x:v>
      </x:c>
      <x:c r="B271" s="51" t="str">
        <x:v>Elite brokerage</x:v>
      </x:c>
      <x:c r="C271" s="51" t="str">
        <x:v>ACT-NAFTALIBENNETT</x:v>
      </x:c>
      <x:c r="D271" s="51" t="str">
        <x:v>Naftali Bennett</x:v>
      </x:c>
      <x:c r="E271" s="51" t="str">
        <x:v>ACT-JEFFREYEPSTEIN</x:v>
      </x:c>
      <x:c r="F271" s="51" t="str">
        <x:v>Jeffrey Epstein</x:v>
      </x:c>
      <x:c r="G271" s="51" t="str">
        <x:v>Person → public claim</x:v>
      </x:c>
      <x:c r="H271" s="51" t="str">
        <x:v>Public denial</x:v>
      </x:c>
      <x:c r="I271" s="51" t="str">
        <x:v>Denial of alleged Mossad role</x:v>
      </x:c>
      <x:c r="J271" s="51" t="str"/>
      <x:c r="K271" s="51" t="str">
        <x:v>N/A</x:v>
      </x:c>
      <x:c r="L271" s="51" t="str">
        <x:v>Former official's statement</x:v>
      </x:c>
      <x:c r="M271" s="51" t="str">
        <x:v>Counter-claim</x:v>
      </x:c>
      <x:c r="N271" s="51" t="str">
        <x:v>A denial is evidence of the speaker's position, not definitive proof</x:v>
      </x:c>
      <x:c r="O271" s="51" t="str">
        <x:v>Narrative; relational</x:v>
      </x:c>
      <x:c r="P271" s="51" t="str">
        <x:v>E2</x:v>
      </x:c>
      <x:c r="Q271" s="51" t="str">
        <x:v>Moderate</x:v>
      </x:c>
      <x:c r="R271" s="51" t="str">
        <x:v>SRC-043</x:v>
      </x:c>
      <x:c r="S271" s="51" t="str">
        <x:v>A former Israeli prime minister publicly denied the Mossad claim.</x:v>
      </x:c>
      <x:c r="T271" s="51" t="str">
        <x:v>Definitive resolution of classified facts.</x:v>
      </x:c>
      <x:c r="U271" s="51" t="str">
        <x:v>Public denial and informant allegation both remain below proof.</x:v>
      </x:c>
      <x:c r="V271" s="51" t="str">
        <x:v>Public statement</x:v>
      </x:c>
      <x:c r="W271" s="51" t="str">
        <x:v>54</x:v>
      </x:c>
      <x:c r="X271" s="51" t="str">
        <x:v>2026-07-27</x:v>
      </x:c>
    </x:row>
    <x:row r="272">
      <x:c r="A272" s="51" t="str">
        <x:v>EPS-011</x:v>
      </x:c>
      <x:c r="B272" s="51" t="str">
        <x:v>Evidence boundary</x:v>
      </x:c>
      <x:c r="C272" s="51" t="str">
        <x:v>ACT-JEFFREYEPSTEIN</x:v>
      </x:c>
      <x:c r="D272" s="51" t="str">
        <x:v>Jeffrey Epstein</x:v>
      </x:c>
      <x:c r="E272" s="51" t="str">
        <x:v>ACT-PALANTIRTECHNOLOGIES</x:v>
      </x:c>
      <x:c r="F272" s="51" t="str">
        <x:v>Palantir Technologies</x:v>
      </x:c>
      <x:c r="G272" s="51" t="str">
        <x:v>Claim boundary</x:v>
      </x:c>
      <x:c r="H272" s="51" t="str">
        <x:v>Current review</x:v>
      </x:c>
      <x:c r="I272" s="51" t="str">
        <x:v>Unsupported alleged command</x:v>
      </x:c>
      <x:c r="J272" s="51" t="str"/>
      <x:c r="K272" s="51" t="str">
        <x:v>N/A</x:v>
      </x:c>
      <x:c r="L272" s="51" t="str">
        <x:v>Network adjacency</x:v>
      </x:c>
      <x:c r="M272" s="51" t="str">
        <x:v>Claimed corporate control</x:v>
      </x:c>
      <x:c r="N272" s="51" t="str">
        <x:v>Social contact and later investment are collapsed into a command chain</x:v>
      </x:c>
      <x:c r="O272" s="51" t="str">
        <x:v>Relational; informational</x:v>
      </x:c>
      <x:c r="P272" s="51" t="str">
        <x:v>U1</x:v>
      </x:c>
      <x:c r="Q272" s="51" t="str">
        <x:v>Very low</x:v>
      </x:c>
      <x:c r="R272" s="51" t="str">
        <x:v>SRC-030; SRC-043; SRC-046</x:v>
      </x:c>
      <x:c r="S272" s="51" t="str">
        <x:v>Only indirect overlaps and separate relationships are established.</x:v>
      </x:c>
      <x:c r="T272" s="51" t="str">
        <x:v>Epstein controlled Palantir, Maven or its Israel contract.</x:v>
      </x:c>
      <x:c r="U272" s="51" t="str">
        <x:v>No public documentary chain supports control.</x:v>
      </x:c>
      <x:c r="V272" s="51" t="str">
        <x:v>Unsupported</x:v>
      </x:c>
      <x:c r="W272" s="51" t="str">
        <x:v>54;57</x:v>
      </x:c>
      <x:c r="X272" s="51" t="str">
        <x:v>2026-07-27</x:v>
      </x:c>
    </x:row>
    <x:row r="273">
      <x:c r="A273" s="51" t="str">
        <x:v>EPS-012</x:v>
      </x:c>
      <x:c r="B273" s="51" t="str">
        <x:v>Evidence boundary</x:v>
      </x:c>
      <x:c r="C273" s="51" t="str">
        <x:v>ACT-PALANTIRTECHNOLOGIES</x:v>
      </x:c>
      <x:c r="D273" s="51" t="str">
        <x:v>Palantir Technologies</x:v>
      </x:c>
      <x:c r="E273" s="51" t="str">
        <x:v>ACT-CARBYNE</x:v>
      </x:c>
      <x:c r="F273" s="51" t="str">
        <x:v>Carbyne</x:v>
      </x:c>
      <x:c r="G273" s="51" t="str">
        <x:v>Claim boundary</x:v>
      </x:c>
      <x:c r="H273" s="51" t="str">
        <x:v>Current review</x:v>
      </x:c>
      <x:c r="I273" s="51" t="str">
        <x:v>Unsupported unified-programme claim</x:v>
      </x:c>
      <x:c r="J273" s="51" t="str"/>
      <x:c r="K273" s="51" t="str">
        <x:v>N/A</x:v>
      </x:c>
      <x:c r="L273" s="51" t="str">
        <x:v>Similar data/public-safety domains</x:v>
      </x:c>
      <x:c r="M273" s="51" t="str">
        <x:v>Claimed coordinated covert programme</x:v>
      </x:c>
      <x:c r="N273" s="51" t="str">
        <x:v>Functional similarity and overlapping networks are misread as unity</x:v>
      </x:c>
      <x:c r="O273" s="51" t="str">
        <x:v>Informational; relational</x:v>
      </x:c>
      <x:c r="P273" s="51" t="str">
        <x:v>U1</x:v>
      </x:c>
      <x:c r="Q273" s="51" t="str">
        <x:v>Very low</x:v>
      </x:c>
      <x:c r="R273" s="51" t="str">
        <x:v>SRC-030; SRC-046; SRC-048</x:v>
      </x:c>
      <x:c r="S273" s="51" t="str">
        <x:v>Separate corporate relationships and investments exist.</x:v>
      </x:c>
      <x:c r="T273" s="51" t="str">
        <x:v>A joint programme, shared command or shared data.</x:v>
      </x:c>
      <x:c r="U273" s="51" t="str">
        <x:v>Business-domain similarity is not evidence of coordination.</x:v>
      </x:c>
      <x:c r="V273" s="51" t="str">
        <x:v>Unsupported</x:v>
      </x:c>
      <x:c r="W273" s="51" t="str">
        <x:v>54;57</x:v>
      </x:c>
      <x:c r="X273" s="51" t="str">
        <x:v>2026-07-27</x:v>
      </x:c>
    </x:row>
    <x:row r="274">
      <x:c r="A274" s="51" t="str">
        <x:v>EPS-013</x:v>
      </x:c>
      <x:c r="B274" s="51" t="str">
        <x:v>Evidence boundary</x:v>
      </x:c>
      <x:c r="C274" s="51" t="str">
        <x:v>ACT-JEFFREYEPSTEIN</x:v>
      </x:c>
      <x:c r="D274" s="51" t="str">
        <x:v>Jeffrey Epstein</x:v>
      </x:c>
      <x:c r="E274" s="51" t="str">
        <x:v>ACT-FBI</x:v>
      </x:c>
      <x:c r="F274" s="51" t="str">
        <x:v>FBI</x:v>
      </x:c>
      <x:c r="G274" s="51" t="str">
        <x:v>Claim boundary</x:v>
      </x:c>
      <x:c r="H274" s="51" t="str">
        <x:v>Current review</x:v>
      </x:c>
      <x:c r="I274" s="51" t="str">
        <x:v>Unproven Mossad-agent conclusion</x:v>
      </x:c>
      <x:c r="J274" s="51" t="str"/>
      <x:c r="K274" s="51" t="str">
        <x:v>N/A</x:v>
      </x:c>
      <x:c r="L274" s="51" t="str">
        <x:v>Informant allegation</x:v>
      </x:c>
      <x:c r="M274" s="51" t="str">
        <x:v>Claimed proven operative status</x:v>
      </x:c>
      <x:c r="N274" s="51" t="str">
        <x:v>An allegation is misclassified as a verified intelligence finding</x:v>
      </x:c>
      <x:c r="O274" s="51" t="str">
        <x:v>Relational; epistemic</x:v>
      </x:c>
      <x:c r="P274" s="51" t="str">
        <x:v>U1</x:v>
      </x:c>
      <x:c r="Q274" s="51" t="str">
        <x:v>Very low</x:v>
      </x:c>
      <x:c r="R274" s="51" t="str">
        <x:v>SRC-049</x:v>
      </x:c>
      <x:c r="S274" s="51" t="str">
        <x:v>An informant allegation exists in a released record.</x:v>
      </x:c>
      <x:c r="T274" s="51" t="str">
        <x:v>Epstein was conclusively a Mossad operative.</x:v>
      </x:c>
      <x:c r="U274" s="51" t="str">
        <x:v>Independent corroboration or an official finding is absent.</x:v>
      </x:c>
      <x:c r="V274" s="51" t="str">
        <x:v>Unsupported</x:v>
      </x:c>
      <x:c r="W274" s="51" t="str">
        <x:v>54</x:v>
      </x:c>
      <x:c r="X274" s="51" t="str">
        <x:v>2026-07-27</x:v>
      </x:c>
    </x:row>
    <x:row r="275">
      <x:c r="A275" s="51" t="str">
        <x:v>EPS-014</x:v>
      </x:c>
      <x:c r="B275" s="51" t="str">
        <x:v>Evidence boundary</x:v>
      </x:c>
      <x:c r="C275" s="51" t="str">
        <x:v>ACT-JEFFREYEPSTEIN</x:v>
      </x:c>
      <x:c r="D275" s="51" t="str">
        <x:v>Jeffrey Epstein</x:v>
      </x:c>
      <x:c r="E275" s="51" t="str">
        <x:v>ACT-GOVERNINGINSTITUTIONALNE</x:v>
      </x:c>
      <x:c r="F275" s="51" t="str">
        <x:v>Governing institutional networks</x:v>
      </x:c>
      <x:c r="G275" s="51" t="str">
        <x:v>Claim boundary</x:v>
      </x:c>
      <x:c r="H275" s="51" t="str">
        <x:v>Current review</x:v>
      </x:c>
      <x:c r="I275" s="51" t="str">
        <x:v>Unsupported guilt-by-contact claim</x:v>
      </x:c>
      <x:c r="J275" s="51" t="str"/>
      <x:c r="K275" s="51" t="str">
        <x:v>N/A</x:v>
      </x:c>
      <x:c r="L275" s="51" t="str">
        <x:v>Schedules, emails and meetings</x:v>
      </x:c>
      <x:c r="M275" s="51" t="str">
        <x:v>Claimed criminal participation of every contact</x:v>
      </x:c>
      <x:c r="N275" s="51" t="str">
        <x:v>Adjacency is misread as knowledge or participation</x:v>
      </x:c>
      <x:c r="O275" s="51" t="str">
        <x:v>Relational; epistemic</x:v>
      </x:c>
      <x:c r="P275" s="51" t="str">
        <x:v>U1</x:v>
      </x:c>
      <x:c r="Q275" s="51" t="str">
        <x:v>Very low</x:v>
      </x:c>
      <x:c r="R275" s="51" t="str">
        <x:v>SRC-043; SRC-044; SRC-045</x:v>
      </x:c>
      <x:c r="S275" s="51" t="str">
        <x:v>Epstein maintained many elite contacts.</x:v>
      </x:c>
      <x:c r="T275" s="51" t="str">
        <x:v>Every named contact knew of or participated in his crimes.</x:v>
      </x:c>
      <x:c r="U275" s="51" t="str">
        <x:v>Each person requires separate evidence.</x:v>
      </x:c>
      <x:c r="V275" s="51" t="str">
        <x:v>Unsupported</x:v>
      </x:c>
      <x:c r="W275" s="51" t="str">
        <x:v>53;54</x:v>
      </x:c>
      <x:c r="X275" s="51" t="str">
        <x:v>2026-07-27</x:v>
      </x:c>
    </x:row>
    <x:row r="276">
      <x:c r="A276" s="51" t="str">
        <x:v>EPS-015</x:v>
      </x:c>
      <x:c r="B276" s="51" t="str">
        <x:v>Evidence boundary</x:v>
      </x:c>
      <x:c r="C276" s="51" t="str">
        <x:v>ACT-GOVERNINGINSTITUTIONALNE</x:v>
      </x:c>
      <x:c r="D276" s="51" t="str">
        <x:v>Governing institutional networks</x:v>
      </x:c>
      <x:c r="E276" s="51" t="str">
        <x:v>ACT-CITIZENSANDLABOUR</x:v>
      </x:c>
      <x:c r="F276" s="51" t="str">
        <x:v>Citizens and labour</x:v>
      </x:c>
      <x:c r="G276" s="51" t="str">
        <x:v>Claim boundary</x:v>
      </x:c>
      <x:c r="H276" s="51" t="str">
        <x:v>Current review</x:v>
      </x:c>
      <x:c r="I276" s="51" t="str">
        <x:v>Unsupported universal-cabal claim</x:v>
      </x:c>
      <x:c r="J276" s="51" t="str"/>
      <x:c r="K276" s="51" t="str">
        <x:v>N/A</x:v>
      </x:c>
      <x:c r="L276" s="51" t="str">
        <x:v>Dense elite relationships</x:v>
      </x:c>
      <x:c r="M276" s="51" t="str">
        <x:v>Claimed single hidden commander</x:v>
      </x:c>
      <x:c r="N276" s="51" t="str">
        <x:v>Network density and interdependence are misread as one command centre</x:v>
      </x:c>
      <x:c r="O276" s="51" t="str">
        <x:v>Relational; narrative</x:v>
      </x:c>
      <x:c r="P276" s="51" t="str">
        <x:v>U1</x:v>
      </x:c>
      <x:c r="Q276" s="51" t="str">
        <x:v>Very low</x:v>
      </x:c>
      <x:c r="R276" s="51" t="str">
        <x:v>SRC-043; SRC-045</x:v>
      </x:c>
      <x:c r="S276" s="51" t="str">
        <x:v>Elite networks and brokerage exist.</x:v>
      </x:c>
      <x:c r="T276" s="51" t="str">
        <x:v>One organisation directs all major global events.</x:v>
      </x:c>
      <x:c r="U276" s="51" t="str">
        <x:v>Actors cooperate, compete, fragment and fail.</x:v>
      </x:c>
      <x:c r="V276" s="51" t="str">
        <x:v>Unsupported</x:v>
      </x:c>
      <x:c r="W276" s="51" t="str">
        <x:v>9;57;59</x:v>
      </x:c>
      <x:c r="X276" s="51" t="str">
        <x:v>2026-07-27</x:v>
      </x:c>
    </x:row>
    <x:row r="277">
      <x:c r="A277" s="51" t="str">
        <x:v>EXEC-001</x:v>
      </x:c>
      <x:c r="B277" s="51" t="str">
        <x:v>Executive authority and evidence boundaries</x:v>
      </x:c>
      <x:c r="C277" s="51" t="str">
        <x:v>ACT-JENSENHUANG</x:v>
      </x:c>
      <x:c r="D277" s="51" t="str">
        <x:v>Jensen Huang</x:v>
      </x:c>
      <x:c r="E277" s="51" t="str">
        <x:v>ACT-NVIDIA</x:v>
      </x:c>
      <x:c r="F277" s="51" t="str">
        <x:v>NVIDIA</x:v>
      </x:c>
      <x:c r="G277" s="51" t="str">
        <x:v>Executive → company</x:v>
      </x:c>
      <x:c r="H277" s="51" t="str">
        <x:v>1993–present</x:v>
      </x:c>
      <x:c r="I277" s="51" t="str">
        <x:v>Founder, president and CEO role</x:v>
      </x:c>
      <x:c r="J277" s="51" t="str">
        <x:v>INS-213</x:v>
      </x:c>
      <x:c r="K277" s="51" t="str">
        <x:v>Formal corporate role</x:v>
      </x:c>
      <x:c r="L277" s="51" t="str">
        <x:v>Board and delegated managerial authority</x:v>
      </x:c>
      <x:c r="M277" s="51" t="str">
        <x:v>Strategic and operating leadership</x:v>
      </x:c>
      <x:c r="N277" s="51" t="str">
        <x:v>Founder-CEO authority coordinates product roadmap and ecosystem partnerships within corporate governance</x:v>
      </x:c>
      <x:c r="O277" s="51" t="str">
        <x:v>Relational; institutional; technological</x:v>
      </x:c>
      <x:c r="P277" s="51" t="str">
        <x:v>E1</x:v>
      </x:c>
      <x:c r="Q277" s="51" t="str">
        <x:v>Very high</x:v>
      </x:c>
      <x:c r="R277" s="51" t="str">
        <x:v>SRC-430</x:v>
      </x:c>
      <x:c r="S277" s="51" t="str">
        <x:v>Jensen Huang is NVIDIA's founder, president and CEO.</x:v>
      </x:c>
      <x:c r="T277" s="51" t="str">
        <x:v>Personal ownership of customer data centers, TSMC or global AI policy.</x:v>
      </x:c>
      <x:c r="U277" s="51" t="str">
        <x:v>Corporate contracts, board duties and law constrain authority.</x:v>
      </x:c>
      <x:c r="V277" s="51" t="str">
        <x:v>Active</x:v>
      </x:c>
      <x:c r="W277" s="51" t="str">
        <x:v>45;57</x:v>
      </x:c>
      <x:c r="X277" s="51" t="str">
        <x:v>2026-07-27</x:v>
      </x:c>
    </x:row>
    <x:row r="278">
      <x:c r="A278" s="51" t="str">
        <x:v>EXEC-002</x:v>
      </x:c>
      <x:c r="B278" s="51" t="str">
        <x:v>Executive authority and evidence boundaries</x:v>
      </x:c>
      <x:c r="C278" s="51" t="str">
        <x:v>ACT-SAMALTMAN</x:v>
      </x:c>
      <x:c r="D278" s="51" t="str">
        <x:v>Sam Altman</x:v>
      </x:c>
      <x:c r="E278" s="51" t="str">
        <x:v>ACT-OPENAI</x:v>
      </x:c>
      <x:c r="F278" s="51" t="str">
        <x:v>OpenAI</x:v>
      </x:c>
      <x:c r="G278" s="51" t="str">
        <x:v>Executive → company</x:v>
      </x:c>
      <x:c r="H278" s="51" t="str">
        <x:v>Current 2026</x:v>
      </x:c>
      <x:c r="I278" s="51" t="str">
        <x:v>Co-founder and CEO role</x:v>
      </x:c>
      <x:c r="J278" s="51" t="str">
        <x:v>INS-220; INS-222; INS-235</x:v>
      </x:c>
      <x:c r="K278" s="51" t="str">
        <x:v>Formal corporate role</x:v>
      </x:c>
      <x:c r="L278" s="51" t="str">
        <x:v>Delegated executive authority</x:v>
      </x:c>
      <x:c r="M278" s="51" t="str">
        <x:v>Leadership over OpenAI strategy and operations</x:v>
      </x:c>
      <x:c r="N278" s="51" t="str">
        <x:v>Executive authority links model strategy, infrastructure contracting and product direction</x:v>
      </x:c>
      <x:c r="O278" s="51" t="str">
        <x:v>Relational; institutional; technological</x:v>
      </x:c>
      <x:c r="P278" s="51" t="str">
        <x:v>E1</x:v>
      </x:c>
      <x:c r="Q278" s="51" t="str">
        <x:v>Very high</x:v>
      </x:c>
      <x:c r="R278" s="51" t="str">
        <x:v>SRC-431</x:v>
      </x:c>
      <x:c r="S278" s="51" t="str">
        <x:v>Sam Altman is OpenAI's co-founder and CEO.</x:v>
      </x:c>
      <x:c r="T278" s="51" t="str">
        <x:v>Sole control of OpenAI governance, Microsoft, SoftBank or Stargate partners.</x:v>
      </x:c>
      <x:c r="U278" s="51" t="str">
        <x:v>OpenAI has separate boards, investors, executives and contractual partners.</x:v>
      </x:c>
      <x:c r="V278" s="51" t="str">
        <x:v>Active</x:v>
      </x:c>
      <x:c r="W278" s="51" t="str">
        <x:v>45;57</x:v>
      </x:c>
      <x:c r="X278" s="51" t="str">
        <x:v>2026-07-27</x:v>
      </x:c>
    </x:row>
    <x:row r="279">
      <x:c r="A279" s="51" t="str">
        <x:v>EXEC-003</x:v>
      </x:c>
      <x:c r="B279" s="51" t="str">
        <x:v>Executive authority and evidence boundaries</x:v>
      </x:c>
      <x:c r="C279" s="51" t="str">
        <x:v>ACT-SATYANADELLA</x:v>
      </x:c>
      <x:c r="D279" s="51" t="str">
        <x:v>Satya Nadella</x:v>
      </x:c>
      <x:c r="E279" s="51" t="str">
        <x:v>ACT-MICROSOFT</x:v>
      </x:c>
      <x:c r="F279" s="51" t="str">
        <x:v>Microsoft</x:v>
      </x:c>
      <x:c r="G279" s="51" t="str">
        <x:v>Executive → company</x:v>
      </x:c>
      <x:c r="H279" s="51" t="str">
        <x:v>Current 2026</x:v>
      </x:c>
      <x:c r="I279" s="51" t="str">
        <x:v>Chairman and CEO role</x:v>
      </x:c>
      <x:c r="J279" s="51" t="str">
        <x:v>INS-222; INS-232</x:v>
      </x:c>
      <x:c r="K279" s="51" t="str">
        <x:v>Formal corporate role</x:v>
      </x:c>
      <x:c r="L279" s="51" t="str">
        <x:v>Board and managerial authority</x:v>
      </x:c>
      <x:c r="M279" s="51" t="str">
        <x:v>Leadership over Microsoft cloud and AI strategy</x:v>
      </x:c>
      <x:c r="N279" s="51" t="str">
        <x:v>CEO authority coordinates capital allocation and partnerships while remaining inside a public-company governance system</x:v>
      </x:c>
      <x:c r="O279" s="51" t="str">
        <x:v>Relational; institutional; financial</x:v>
      </x:c>
      <x:c r="P279" s="51" t="str">
        <x:v>E1</x:v>
      </x:c>
      <x:c r="Q279" s="51" t="str">
        <x:v>Very high</x:v>
      </x:c>
      <x:c r="R279" s="51" t="str">
        <x:v>SRC-432</x:v>
      </x:c>
      <x:c r="S279" s="51" t="str">
        <x:v>Satya Nadella is Microsoft chairman and CEO.</x:v>
      </x:c>
      <x:c r="T279" s="51" t="str">
        <x:v>Personal ownership of OpenAI or unilateral authority over every Azure contract.</x:v>
      </x:c>
      <x:c r="U279" s="51" t="str">
        <x:v>Board, shareholders, law and management processes constrain decisions.</x:v>
      </x:c>
      <x:c r="V279" s="51" t="str">
        <x:v>Active</x:v>
      </x:c>
      <x:c r="W279" s="51" t="str">
        <x:v>45;57</x:v>
      </x:c>
      <x:c r="X279" s="51" t="str">
        <x:v>2026-07-27</x:v>
      </x:c>
    </x:row>
    <x:row r="280">
      <x:c r="A280" s="51" t="str">
        <x:v>EXEC-004</x:v>
      </x:c>
      <x:c r="B280" s="51" t="str">
        <x:v>Executive authority and evidence boundaries</x:v>
      </x:c>
      <x:c r="C280" s="51" t="str">
        <x:v>ACT-MASAYOSHISON</x:v>
      </x:c>
      <x:c r="D280" s="51" t="str">
        <x:v>Masayoshi Son</x:v>
      </x:c>
      <x:c r="E280" s="51" t="str">
        <x:v>ACT-SOFTBANKGROUP</x:v>
      </x:c>
      <x:c r="F280" s="51" t="str">
        <x:v>SoftBank Group</x:v>
      </x:c>
      <x:c r="G280" s="51" t="str">
        <x:v>Executive → company</x:v>
      </x:c>
      <x:c r="H280" s="51" t="str">
        <x:v>Current 2026</x:v>
      </x:c>
      <x:c r="I280" s="51" t="str">
        <x:v>Founder, chairman and CEO role</x:v>
      </x:c>
      <x:c r="J280" s="51" t="str">
        <x:v>INS-223; INS-224; INS-225</x:v>
      </x:c>
      <x:c r="K280" s="51" t="str">
        <x:v>Formal corporate role</x:v>
      </x:c>
      <x:c r="L280" s="51" t="str">
        <x:v>Corporate and investment authority</x:v>
      </x:c>
      <x:c r="M280" s="51" t="str">
        <x:v>Leadership over SoftBank AI investment strategy</x:v>
      </x:c>
      <x:c r="N280" s="51" t="str">
        <x:v>Founder-led capital allocation can connect telecom, funds, debt and AI infrastructure within one group</x:v>
      </x:c>
      <x:c r="O280" s="51" t="str">
        <x:v>Relational; financial; ownership</x:v>
      </x:c>
      <x:c r="P280" s="51" t="str">
        <x:v>E1</x:v>
      </x:c>
      <x:c r="Q280" s="51" t="str">
        <x:v>Very high</x:v>
      </x:c>
      <x:c r="R280" s="51" t="str">
        <x:v>SRC-433</x:v>
      </x:c>
      <x:c r="S280" s="51" t="str">
        <x:v>Masayoshi Son is SoftBank Group chairman and CEO.</x:v>
      </x:c>
      <x:c r="T280" s="51" t="str">
        <x:v>Operational control of OpenAI or all Stargate projects.</x:v>
      </x:c>
      <x:c r="U280" s="51" t="str">
        <x:v>SoftBank's holdings are minority and contract-specific.</x:v>
      </x:c>
      <x:c r="V280" s="51" t="str">
        <x:v>Active</x:v>
      </x:c>
      <x:c r="W280" s="51" t="str">
        <x:v>45;57</x:v>
      </x:c>
      <x:c r="X280" s="51" t="str">
        <x:v>2026-07-27</x:v>
      </x:c>
    </x:row>
    <x:row r="281">
      <x:c r="A281" s="51" t="str">
        <x:v>EXEC-005</x:v>
      </x:c>
      <x:c r="B281" s="51" t="str">
        <x:v>Executive authority and evidence boundaries</x:v>
      </x:c>
      <x:c r="C281" s="51" t="str">
        <x:v>ACT-CCWEI</x:v>
      </x:c>
      <x:c r="D281" s="51" t="str">
        <x:v>C.C. Wei</x:v>
      </x:c>
      <x:c r="E281" s="51" t="str">
        <x:v>ACT-TSMC</x:v>
      </x:c>
      <x:c r="F281" s="51" t="str">
        <x:v>TSMC</x:v>
      </x:c>
      <x:c r="G281" s="51" t="str">
        <x:v>Executive → company</x:v>
      </x:c>
      <x:c r="H281" s="51" t="str">
        <x:v>Current 2026</x:v>
      </x:c>
      <x:c r="I281" s="51" t="str">
        <x:v>Chairman and CEO role</x:v>
      </x:c>
      <x:c r="J281" s="51" t="str">
        <x:v>INS-214; INS-215</x:v>
      </x:c>
      <x:c r="K281" s="51" t="str">
        <x:v>Formal corporate role</x:v>
      </x:c>
      <x:c r="L281" s="51" t="str">
        <x:v>Board and managerial authority</x:v>
      </x:c>
      <x:c r="M281" s="51" t="str">
        <x:v>Leadership over foundry capacity and geographic investment</x:v>
      </x:c>
      <x:c r="N281" s="51" t="str">
        <x:v>Executive strategy coordinates one of the most important manufacturing bottlenecks in AI</x:v>
      </x:c>
      <x:c r="O281" s="51" t="str">
        <x:v>Relational; institutional; material</x:v>
      </x:c>
      <x:c r="P281" s="51" t="str">
        <x:v>E1</x:v>
      </x:c>
      <x:c r="Q281" s="51" t="str">
        <x:v>Very high</x:v>
      </x:c>
      <x:c r="R281" s="51" t="str">
        <x:v>SRC-434</x:v>
      </x:c>
      <x:c r="S281" s="51" t="str">
        <x:v>C.C. Wei is TSMC chairman and CEO.</x:v>
      </x:c>
      <x:c r="T281" s="51" t="str">
        <x:v>Personal control over customer chip designs or Taiwan policy.</x:v>
      </x:c>
      <x:c r="U281" s="51" t="str">
        <x:v>TSMC governance, contracts and state regulation remain separate.</x:v>
      </x:c>
      <x:c r="V281" s="51" t="str">
        <x:v>Active</x:v>
      </x:c>
      <x:c r="W281" s="51" t="str">
        <x:v>45;57</x:v>
      </x:c>
      <x:c r="X281" s="51" t="str">
        <x:v>2026-07-27</x:v>
      </x:c>
    </x:row>
    <x:row r="282">
      <x:c r="A282" s="51" t="str">
        <x:v>EXEC-006</x:v>
      </x:c>
      <x:c r="B282" s="51" t="str">
        <x:v>Executive authority and evidence boundaries</x:v>
      </x:c>
      <x:c r="C282" s="51" t="str">
        <x:v>ACT-CHRISTOPHEFOUQUET</x:v>
      </x:c>
      <x:c r="D282" s="51" t="str">
        <x:v>Christophe Fouquet</x:v>
      </x:c>
      <x:c r="E282" s="51" t="str">
        <x:v>ACT-ASML</x:v>
      </x:c>
      <x:c r="F282" s="51" t="str">
        <x:v>ASML</x:v>
      </x:c>
      <x:c r="G282" s="51" t="str">
        <x:v>Executive → company</x:v>
      </x:c>
      <x:c r="H282" s="51" t="str">
        <x:v>Current 2026</x:v>
      </x:c>
      <x:c r="I282" s="51" t="str">
        <x:v>President and CEO role</x:v>
      </x:c>
      <x:c r="J282" s="51" t="str">
        <x:v>INS-216</x:v>
      </x:c>
      <x:c r="K282" s="51" t="str">
        <x:v>Formal corporate role</x:v>
      </x:c>
      <x:c r="L282" s="51" t="str">
        <x:v>Board and managerial authority</x:v>
      </x:c>
      <x:c r="M282" s="51" t="str">
        <x:v>Leadership over lithography strategy and supply</x:v>
      </x:c>
      <x:c r="N282" s="51" t="str">
        <x:v>Executive decisions affect capacity and roadmap at a unique equipment chokepoint</x:v>
      </x:c>
      <x:c r="O282" s="51" t="str">
        <x:v>Relational; institutional; technological</x:v>
      </x:c>
      <x:c r="P282" s="51" t="str">
        <x:v>E1</x:v>
      </x:c>
      <x:c r="Q282" s="51" t="str">
        <x:v>Very high</x:v>
      </x:c>
      <x:c r="R282" s="51" t="str">
        <x:v>SRC-435</x:v>
      </x:c>
      <x:c r="S282" s="51" t="str">
        <x:v>Christophe Fouquet is ASML president and CEO.</x:v>
      </x:c>
      <x:c r="T282" s="51" t="str">
        <x:v>Personal control over export licences or customer national policy.</x:v>
      </x:c>
      <x:c r="U282" s="51" t="str">
        <x:v>Government export rules and corporate governance constrain sales.</x:v>
      </x:c>
      <x:c r="V282" s="51" t="str">
        <x:v>Active</x:v>
      </x:c>
      <x:c r="W282" s="51" t="str">
        <x:v>45;57</x:v>
      </x:c>
      <x:c r="X282" s="51" t="str">
        <x:v>2026-07-27</x:v>
      </x:c>
    </x:row>
    <x:row r="283">
      <x:c r="A283" s="51" t="str">
        <x:v>EXEC-007</x:v>
      </x:c>
      <x:c r="B283" s="51" t="str">
        <x:v>Executive authority and evidence boundaries</x:v>
      </x:c>
      <x:c r="C283" s="51" t="str">
        <x:v>ACT-DARIOAMODEI</x:v>
      </x:c>
      <x:c r="D283" s="51" t="str">
        <x:v>Dario Amodei</x:v>
      </x:c>
      <x:c r="E283" s="51" t="str">
        <x:v>ACT-ANTHROPIC</x:v>
      </x:c>
      <x:c r="F283" s="51" t="str">
        <x:v>Anthropic</x:v>
      </x:c>
      <x:c r="G283" s="51" t="str">
        <x:v>Executive → company</x:v>
      </x:c>
      <x:c r="H283" s="51" t="str">
        <x:v>Current 2026</x:v>
      </x:c>
      <x:c r="I283" s="51" t="str">
        <x:v>Co-founder and CEO role</x:v>
      </x:c>
      <x:c r="J283" s="51" t="str">
        <x:v>INS-228; INS-229</x:v>
      </x:c>
      <x:c r="K283" s="51" t="str">
        <x:v>Formal corporate role</x:v>
      </x:c>
      <x:c r="L283" s="51" t="str">
        <x:v>Delegated executive authority</x:v>
      </x:c>
      <x:c r="M283" s="51" t="str">
        <x:v>Leadership over model and compute strategy</x:v>
      </x:c>
      <x:c r="N283" s="51" t="str">
        <x:v>A model CEO negotiates across multiple clouds to reduce single-provider dependence while scaling capacity</x:v>
      </x:c>
      <x:c r="O283" s="51" t="str">
        <x:v>Relational; technological; financial</x:v>
      </x:c>
      <x:c r="P283" s="51" t="str">
        <x:v>E1</x:v>
      </x:c>
      <x:c r="Q283" s="51" t="str">
        <x:v>Very high</x:v>
      </x:c>
      <x:c r="R283" s="51" t="str">
        <x:v>SRC-436; SRC-412; SRC-413</x:v>
      </x:c>
      <x:c r="S283" s="51" t="str">
        <x:v>Dario Amodei is Anthropic's CEO and co-founder and comments on its infrastructure strategy.</x:v>
      </x:c>
      <x:c r="T283" s="51" t="str">
        <x:v>Sole ownership or control of Amazon, Google or Broadcom resources.</x:v>
      </x:c>
      <x:c r="U283" s="51" t="str">
        <x:v>Contracts and Anthropic governance remain distinct.</x:v>
      </x:c>
      <x:c r="V283" s="51" t="str">
        <x:v>Active</x:v>
      </x:c>
      <x:c r="W283" s="51" t="str">
        <x:v>45;57</x:v>
      </x:c>
      <x:c r="X283" s="51" t="str">
        <x:v>2026-07-27</x:v>
      </x:c>
    </x:row>
    <x:row r="284">
      <x:c r="A284" s="51" t="str">
        <x:v>EXEC-008</x:v>
      </x:c>
      <x:c r="B284" s="51" t="str">
        <x:v>Executive authority and evidence boundaries</x:v>
      </x:c>
      <x:c r="C284" s="51" t="str">
        <x:v>ACT-MICHAELINTRATOR</x:v>
      </x:c>
      <x:c r="D284" s="51" t="str">
        <x:v>Michael Intrator</x:v>
      </x:c>
      <x:c r="E284" s="51" t="str">
        <x:v>ACT-COREWEAVE</x:v>
      </x:c>
      <x:c r="F284" s="51" t="str">
        <x:v>CoreWeave</x:v>
      </x:c>
      <x:c r="G284" s="51" t="str">
        <x:v>Executive → company</x:v>
      </x:c>
      <x:c r="H284" s="51" t="str">
        <x:v>Current 2026</x:v>
      </x:c>
      <x:c r="I284" s="51" t="str">
        <x:v>Co-founder, chairman and CEO role</x:v>
      </x:c>
      <x:c r="J284" s="51" t="str">
        <x:v>INS-226; INS-227</x:v>
      </x:c>
      <x:c r="K284" s="51" t="str">
        <x:v>Formal corporate role</x:v>
      </x:c>
      <x:c r="L284" s="51" t="str">
        <x:v>Voting, board and managerial authority</x:v>
      </x:c>
      <x:c r="M284" s="51" t="str">
        <x:v>Leadership over neocloud expansion and financing</x:v>
      </x:c>
      <x:c r="N284" s="51" t="str">
        <x:v>Founder control can accelerate infrastructure buildout while customer and debt concentration create countervailing constraints</x:v>
      </x:c>
      <x:c r="O284" s="51" t="str">
        <x:v>Relational; financial; institutional</x:v>
      </x:c>
      <x:c r="P284" s="51" t="str">
        <x:v>E1</x:v>
      </x:c>
      <x:c r="Q284" s="51" t="str">
        <x:v>Very high</x:v>
      </x:c>
      <x:c r="R284" s="51" t="str">
        <x:v>SRC-437; SRC-408</x:v>
      </x:c>
      <x:c r="S284" s="51" t="str">
        <x:v>Michael Intrator is CoreWeave co-founder, chairman and CEO.</x:v>
      </x:c>
      <x:c r="T284" s="51" t="str">
        <x:v>Personal ownership of customer GPUs or immunity from lender and supplier constraints.</x:v>
      </x:c>
      <x:c r="U284" s="51" t="str">
        <x:v>Public-company, debt and contract obligations constrain authority.</x:v>
      </x:c>
      <x:c r="V284" s="51" t="str">
        <x:v>Active</x:v>
      </x:c>
      <x:c r="W284" s="51" t="str">
        <x:v>45;57</x:v>
      </x:c>
      <x:c r="X284" s="51" t="str">
        <x:v>2026-07-27</x:v>
      </x:c>
    </x:row>
    <x:row r="285">
      <x:c r="A285" s="51" t="str">
        <x:v>EXEC-009</x:v>
      </x:c>
      <x:c r="B285" s="51" t="str">
        <x:v>Executive authority and evidence boundaries</x:v>
      </x:c>
      <x:c r="C285" s="51" t="str">
        <x:v>ACT-SUNDARPICHAI</x:v>
      </x:c>
      <x:c r="D285" s="51" t="str">
        <x:v>Sundar Pichai</x:v>
      </x:c>
      <x:c r="E285" s="51" t="str">
        <x:v>ACT-GOOGLEGOOGLECLOUD</x:v>
      </x:c>
      <x:c r="F285" s="51" t="str">
        <x:v>Google / Google Cloud</x:v>
      </x:c>
      <x:c r="G285" s="51" t="str">
        <x:v>Executive → company</x:v>
      </x:c>
      <x:c r="H285" s="51" t="str">
        <x:v>Current 2026</x:v>
      </x:c>
      <x:c r="I285" s="51" t="str">
        <x:v>CEO of Google and Alphabet</x:v>
      </x:c>
      <x:c r="J285" s="51" t="str">
        <x:v>INS-229; INS-236</x:v>
      </x:c>
      <x:c r="K285" s="51" t="str">
        <x:v>Formal corporate role</x:v>
      </x:c>
      <x:c r="L285" s="51" t="str">
        <x:v>Board and managerial authority</x:v>
      </x:c>
      <x:c r="M285" s="51" t="str">
        <x:v>Leadership over integrated model, TPU and cloud strategy</x:v>
      </x:c>
      <x:c r="N285" s="51" t="str">
        <x:v>One corporate hierarchy can coordinate custom silicon, cloud and models more tightly than arm's-length partnerships</x:v>
      </x:c>
      <x:c r="O285" s="51" t="str">
        <x:v>Relational; institutional; technological</x:v>
      </x:c>
      <x:c r="P285" s="51" t="str">
        <x:v>E1</x:v>
      </x:c>
      <x:c r="Q285" s="51" t="str">
        <x:v>Very high</x:v>
      </x:c>
      <x:c r="R285" s="51" t="str">
        <x:v>SRC-438</x:v>
      </x:c>
      <x:c r="S285" s="51" t="str">
        <x:v>Sundar Pichai is CEO of Google and Alphabet.</x:v>
      </x:c>
      <x:c r="T285" s="51" t="str">
        <x:v>Personal ownership of TPU capacity or Anthropic.</x:v>
      </x:c>
      <x:c r="U285" s="51" t="str">
        <x:v>Corporate governance and contracts constrain deployment.</x:v>
      </x:c>
      <x:c r="V285" s="51" t="str">
        <x:v>Active</x:v>
      </x:c>
      <x:c r="W285" s="51" t="str">
        <x:v>45;57</x:v>
      </x:c>
      <x:c r="X285" s="51" t="str">
        <x:v>2026-07-27</x:v>
      </x:c>
    </x:row>
    <x:row r="286">
      <x:c r="A286" s="51" t="str">
        <x:v>EXEC-010</x:v>
      </x:c>
      <x:c r="B286" s="51" t="str">
        <x:v>Executive authority and evidence boundaries</x:v>
      </x:c>
      <x:c r="C286" s="51" t="str">
        <x:v>ACT-SASSINEGHAZI</x:v>
      </x:c>
      <x:c r="D286" s="51" t="str">
        <x:v>Sassine Ghazi</x:v>
      </x:c>
      <x:c r="E286" s="51" t="str">
        <x:v>ACT-SYNOPSYS</x:v>
      </x:c>
      <x:c r="F286" s="51" t="str">
        <x:v>Synopsys</x:v>
      </x:c>
      <x:c r="G286" s="51" t="str">
        <x:v>Executive → company</x:v>
      </x:c>
      <x:c r="H286" s="51" t="str">
        <x:v>Current 2026</x:v>
      </x:c>
      <x:c r="I286" s="51" t="str">
        <x:v>President and CEO role</x:v>
      </x:c>
      <x:c r="J286" s="51" t="str">
        <x:v>INS-217</x:v>
      </x:c>
      <x:c r="K286" s="51" t="str">
        <x:v>Formal corporate role</x:v>
      </x:c>
      <x:c r="L286" s="51" t="str">
        <x:v>Managerial authority</x:v>
      </x:c>
      <x:c r="M286" s="51" t="str">
        <x:v>Leadership over EDA and engineering-software strategy</x:v>
      </x:c>
      <x:c r="N286" s="51" t="str">
        <x:v>Executive authority at an upstream design-tool company can influence ecosystem standards without owning customer chips</x:v>
      </x:c>
      <x:c r="O286" s="51" t="str">
        <x:v>Relational; informational; technological</x:v>
      </x:c>
      <x:c r="P286" s="51" t="str">
        <x:v>E1</x:v>
      </x:c>
      <x:c r="Q286" s="51" t="str">
        <x:v>Very high</x:v>
      </x:c>
      <x:c r="R286" s="51" t="str">
        <x:v>SRC-439</x:v>
      </x:c>
      <x:c r="S286" s="51" t="str">
        <x:v>Sassine Ghazi is Synopsys president and CEO.</x:v>
      </x:c>
      <x:c r="T286" s="51" t="str">
        <x:v>Control over customer designs, TSMC or NVIDIA decisions.</x:v>
      </x:c>
      <x:c r="U286" s="51" t="str">
        <x:v>Customers and partners retain independent governance.</x:v>
      </x:c>
      <x:c r="V286" s="51" t="str">
        <x:v>Active</x:v>
      </x:c>
      <x:c r="W286" s="51" t="str">
        <x:v>45;57</x:v>
      </x:c>
      <x:c r="X286" s="51" t="str">
        <x:v>2026-07-27</x:v>
      </x:c>
    </x:row>
    <x:row r="287">
      <x:c r="A287" s="51" t="str">
        <x:v>EXEC-011</x:v>
      </x:c>
      <x:c r="B287" s="51" t="str">
        <x:v>Executive authority and evidence boundaries</x:v>
      </x:c>
      <x:c r="C287" s="51" t="str">
        <x:v>ACT-ANIRUDHDEVGAN</x:v>
      </x:c>
      <x:c r="D287" s="51" t="str">
        <x:v>Anirudh Devgan</x:v>
      </x:c>
      <x:c r="E287" s="51" t="str">
        <x:v>ACT-CADENCEDESIGNSYSTEMS</x:v>
      </x:c>
      <x:c r="F287" s="51" t="str">
        <x:v>Cadence Design Systems</x:v>
      </x:c>
      <x:c r="G287" s="51" t="str">
        <x:v>Executive → company</x:v>
      </x:c>
      <x:c r="H287" s="51" t="str">
        <x:v>Current 2026</x:v>
      </x:c>
      <x:c r="I287" s="51" t="str">
        <x:v>President and CEO role</x:v>
      </x:c>
      <x:c r="J287" s="51" t="str">
        <x:v>INS-218</x:v>
      </x:c>
      <x:c r="K287" s="51" t="str">
        <x:v>Formal corporate role</x:v>
      </x:c>
      <x:c r="L287" s="51" t="str">
        <x:v>Managerial authority</x:v>
      </x:c>
      <x:c r="M287" s="51" t="str">
        <x:v>Leadership over AI-driven chip and system design tools</x:v>
      </x:c>
      <x:c r="N287" s="51" t="str">
        <x:v>Engineering-software leadership shapes design workflows upstream of fabrication</x:v>
      </x:c>
      <x:c r="O287" s="51" t="str">
        <x:v>Relational; informational; technological</x:v>
      </x:c>
      <x:c r="P287" s="51" t="str">
        <x:v>E1</x:v>
      </x:c>
      <x:c r="Q287" s="51" t="str">
        <x:v>Very high</x:v>
      </x:c>
      <x:c r="R287" s="51" t="str">
        <x:v>SRC-440</x:v>
      </x:c>
      <x:c r="S287" s="51" t="str">
        <x:v>Anirudh Devgan is Cadence president and CEO.</x:v>
      </x:c>
      <x:c r="T287" s="51" t="str">
        <x:v>Ownership of customers' designs or final systems.</x:v>
      </x:c>
      <x:c r="U287" s="51" t="str">
        <x:v>Licence and confidentiality boundaries remain.</x:v>
      </x:c>
      <x:c r="V287" s="51" t="str">
        <x:v>Active</x:v>
      </x:c>
      <x:c r="W287" s="51" t="str">
        <x:v>45;57</x:v>
      </x:c>
      <x:c r="X287" s="51" t="str">
        <x:v>2026-07-27</x:v>
      </x:c>
    </x:row>
    <x:row r="288">
      <x:c r="A288" s="51" t="str">
        <x:v>EXEC-012</x:v>
      </x:c>
      <x:c r="B288" s="51" t="str">
        <x:v>Executive authority and evidence boundaries</x:v>
      </x:c>
      <x:c r="C288" s="51" t="str">
        <x:v>ACT-BILLGATES</x:v>
      </x:c>
      <x:c r="D288" s="51" t="str">
        <x:v>Bill Gates</x:v>
      </x:c>
      <x:c r="E288" s="51" t="str">
        <x:v>ACT-MICROSOFT</x:v>
      </x:c>
      <x:c r="F288" s="51" t="str">
        <x:v>Microsoft</x:v>
      </x:c>
      <x:c r="G288" s="51" t="str">
        <x:v>Founder → company history</x:v>
      </x:c>
      <x:c r="H288" s="51" t="str">
        <x:v>1975–2008 full-time role; later relationship distinct</x:v>
      </x:c>
      <x:c r="I288" s="51" t="str">
        <x:v>Historical co-founder relationship</x:v>
      </x:c>
      <x:c r="J288" s="51" t="str"/>
      <x:c r="K288" s="51" t="str">
        <x:v>Historical</x:v>
      </x:c>
      <x:c r="L288" s="51" t="str">
        <x:v>Co-founding, software strategy and accumulated reputation</x:v>
      </x:c>
      <x:c r="M288" s="51" t="str">
        <x:v>Historical institutional influence</x:v>
      </x:c>
      <x:c r="N288" s="51" t="str">
        <x:v>Bill Gates helped create Microsoft but no longer exercises the current CEO role governing Azure and OpenAI infrastructure contracts</x:v>
      </x:c>
      <x:c r="O288" s="51" t="str">
        <x:v>Relational; historical; narrative</x:v>
      </x:c>
      <x:c r="P288" s="51" t="str">
        <x:v>E1</x:v>
      </x:c>
      <x:c r="Q288" s="51" t="str">
        <x:v>Very high</x:v>
      </x:c>
      <x:c r="R288" s="51" t="str">
        <x:v>SRC-441; SRC-432</x:v>
      </x:c>
      <x:c r="S288" s="51" t="str">
        <x:v>Bill Gates co-founded Microsoft and now chairs the Gates Foundation.</x:v>
      </x:c>
      <x:c r="T288" s="51" t="str">
        <x:v>Current operational control of Microsoft, OpenAI, Azure or Stargate.</x:v>
      </x:c>
      <x:c r="U288" s="51" t="str">
        <x:v>Satya Nadella is the current Microsoft chairman and CEO.</x:v>
      </x:c>
      <x:c r="V288" s="51" t="str">
        <x:v>Historical relationship / boundary</x:v>
      </x:c>
      <x:c r="W288" s="51" t="str">
        <x:v>45;57</x:v>
      </x:c>
      <x:c r="X288" s="51" t="str">
        <x:v>2026-07-27</x:v>
      </x:c>
    </x:row>
    <x:row r="289">
      <x:c r="A289" s="51" t="str">
        <x:v>FCR-001</x:v>
      </x:c>
      <x:c r="B289" s="51" t="str">
        <x:v>Federal credit and contingent liabilities</x:v>
      </x:c>
      <x:c r="C289" s="51" t="str">
        <x:v>ACT-FEDERALCREDITREFORMACTFR</x:v>
      </x:c>
      <x:c r="D289" s="51" t="str">
        <x:v>Federal Credit Reform Act framework</x:v>
      </x:c>
      <x:c r="E289" s="51" t="str">
        <x:v>ACT-FEDERALDIRECTLOANANDLOAN</x:v>
      </x:c>
      <x:c r="F289" s="51" t="str">
        <x:v>Federal direct loan and loan guarantee programmes</x:v>
      </x:c>
      <x:c r="G289" s="51" t="str">
        <x:v>Legal framework → programmes</x:v>
      </x:c>
      <x:c r="H289" s="51" t="str">
        <x:v>1992–present</x:v>
      </x:c>
      <x:c r="I289" s="51" t="str">
        <x:v>Present-value subsidy accounting</x:v>
      </x:c>
      <x:c r="J289" s="51" t="str">
        <x:v>INS-149</x:v>
      </x:c>
      <x:c r="K289" s="51" t="str">
        <x:v>Governmentwide</x:v>
      </x:c>
      <x:c r="L289" s="51" t="str">
        <x:v>Expected disbursements, repayments, defaults, fees and recoveries</x:v>
      </x:c>
      <x:c r="M289" s="51" t="str">
        <x:v>Budget subsidy cost and financing-account structure</x:v>
      </x:c>
      <x:c r="N289" s="51" t="str">
        <x:v>Credit reform converts a large face-value commitment into an estimated present-value public cost</x:v>
      </x:c>
      <x:c r="O289" s="51" t="str">
        <x:v>Financial; informational; institutional</x:v>
      </x:c>
      <x:c r="P289" s="51" t="str">
        <x:v>E1</x:v>
      </x:c>
      <x:c r="Q289" s="51" t="str">
        <x:v>Very high</x:v>
      </x:c>
      <x:c r="R289" s="51" t="str">
        <x:v>SRC-272; SRC-274; SRC-275</x:v>
      </x:c>
      <x:c r="S289" s="51" t="str">
        <x:v>Federal credit programmes must estimate subsidy cost under the FCRA framework.</x:v>
      </x:c>
      <x:c r="T289" s="51" t="str">
        <x:v>The market value of risk or certainty about future defaults.</x:v>
      </x:c>
      <x:c r="U289" s="51" t="str">
        <x:v>Estimates are re-estimated as performance and economic conditions change.</x:v>
      </x:c>
      <x:c r="V289" s="51" t="str">
        <x:v>Active</x:v>
      </x:c>
      <x:c r="W289" s="51" t="str">
        <x:v>47;57</x:v>
      </x:c>
      <x:c r="X289" s="51" t="str">
        <x:v>2026-07-27</x:v>
      </x:c>
    </x:row>
    <x:row r="290">
      <x:c r="A290" s="51" t="str">
        <x:v>FCR-002</x:v>
      </x:c>
      <x:c r="B290" s="51" t="str">
        <x:v>Federal credit and contingent liabilities</x:v>
      </x:c>
      <x:c r="C290" s="51" t="str">
        <x:v>ACT-OFFICEOFMANAGEMENTANDBUD</x:v>
      </x:c>
      <x:c r="D290" s="51" t="str">
        <x:v>Office of Management and Budget</x:v>
      </x:c>
      <x:c r="E290" s="51" t="str">
        <x:v>ACT-FEDERALCREDITSUBSIDYCOST</x:v>
      </x:c>
      <x:c r="F290" s="51" t="str">
        <x:v>Federal credit subsidy cost</x:v>
      </x:c>
      <x:c r="G290" s="51" t="str">
        <x:v>Budget authority → estimate</x:v>
      </x:c>
      <x:c r="H290" s="51" t="str">
        <x:v>Annual budget cycle</x:v>
      </x:c>
      <x:c r="I290" s="51" t="str">
        <x:v>Review, guidance and budget presentation</x:v>
      </x:c>
      <x:c r="J290" s="51" t="str">
        <x:v>INS-149</x:v>
      </x:c>
      <x:c r="K290" s="51" t="str">
        <x:v>Programme-specific</x:v>
      </x:c>
      <x:c r="L290" s="51" t="str">
        <x:v>Agency cash-flow models and policy assumptions</x:v>
      </x:c>
      <x:c r="M290" s="51" t="str">
        <x:v>Recorded subsidy rate and appropriation need</x:v>
      </x:c>
      <x:c r="N290" s="51" t="str">
        <x:v>OMB converts uncertain future credit losses into a budget number that governs programme volume</x:v>
      </x:c>
      <x:c r="O290" s="51" t="str">
        <x:v>Financial; informational; institutional</x:v>
      </x:c>
      <x:c r="P290" s="51" t="str">
        <x:v>E1</x:v>
      </x:c>
      <x:c r="Q290" s="51" t="str">
        <x:v>High</x:v>
      </x:c>
      <x:c r="R290" s="51" t="str">
        <x:v>SRC-272; SRC-273; SRC-276</x:v>
      </x:c>
      <x:c r="S290" s="51" t="str">
        <x:v>OMB publishes federal credit materials and policy guidance.</x:v>
      </x:c>
      <x:c r="T290" s="51" t="str">
        <x:v>An independent market price or elimination of model risk.</x:v>
      </x:c>
      <x:c r="U290" s="51" t="str">
        <x:v>Subsidy estimates depend on discount rates, defaults, recoveries and programme design.</x:v>
      </x:c>
      <x:c r="V290" s="51" t="str">
        <x:v>Active</x:v>
      </x:c>
      <x:c r="W290" s="51" t="str">
        <x:v>47;57</x:v>
      </x:c>
      <x:c r="X290" s="51" t="str">
        <x:v>2026-07-27</x:v>
      </x:c>
    </x:row>
    <x:row r="291">
      <x:c r="A291" s="51" t="str">
        <x:v>FCR-003</x:v>
      </x:c>
      <x:c r="B291" s="51" t="str">
        <x:v>Federal credit and contingent liabilities</x:v>
      </x:c>
      <x:c r="C291" s="51" t="str">
        <x:v>ACT-USDEPARTMENTOFTHETREASU2</x:v>
      </x:c>
      <x:c r="D291" s="51" t="str">
        <x:v>US Department of the Treasury</x:v>
      </x:c>
      <x:c r="E291" s="51" t="str">
        <x:v>ACT-FEDERALDIRECTLOANANDLOAN</x:v>
      </x:c>
      <x:c r="F291" s="51" t="str">
        <x:v>Federal direct loan and loan guarantee programmes</x:v>
      </x:c>
      <x:c r="G291" s="51" t="str">
        <x:v>Treasury → programmes</x:v>
      </x:c>
      <x:c r="H291" s="51" t="str">
        <x:v>Ongoing</x:v>
      </x:c>
      <x:c r="I291" s="51" t="str">
        <x:v>Financing and credit reform accounting</x:v>
      </x:c>
      <x:c r="J291" s="51" t="str">
        <x:v>INS-149</x:v>
      </x:c>
      <x:c r="K291" s="51" t="str">
        <x:v>Governmentwide</x:v>
      </x:c>
      <x:c r="L291" s="51" t="str">
        <x:v>Financing-account borrowing and cash flows</x:v>
      </x:c>
      <x:c r="M291" s="51" t="str">
        <x:v>Funds for direct loans and guarantee claim payments</x:v>
      </x:c>
      <x:c r="N291" s="51" t="str">
        <x:v>Treasury financing separates programme cash operations from the subsidy cost recorded in the budget</x:v>
      </x:c>
      <x:c r="O291" s="51" t="str">
        <x:v>Financial; institutional</x:v>
      </x:c>
      <x:c r="P291" s="51" t="str">
        <x:v>E1</x:v>
      </x:c>
      <x:c r="Q291" s="51" t="str">
        <x:v>High</x:v>
      </x:c>
      <x:c r="R291" s="51" t="str">
        <x:v>SRC-274; SRC-275</x:v>
      </x:c>
      <x:c r="S291" s="51" t="str">
        <x:v>Treasury provides accounting and financing infrastructure for federal credit programmes.</x:v>
      </x:c>
      <x:c r="T291" s="51" t="str">
        <x:v>That every programme is profitable or self-financing.</x:v>
      </x:c>
      <x:c r="U291" s="51" t="str">
        <x:v>Administrative cost and broader fiscal effects are accounted for separately.</x:v>
      </x:c>
      <x:c r="V291" s="51" t="str">
        <x:v>Active</x:v>
      </x:c>
      <x:c r="W291" s="51" t="str">
        <x:v>47;57</x:v>
      </x:c>
      <x:c r="X291" s="51" t="str">
        <x:v>2026-07-27</x:v>
      </x:c>
    </x:row>
    <x:row r="292">
      <x:c r="A292" s="51" t="str">
        <x:v>FCR-004</x:v>
      </x:c>
      <x:c r="B292" s="51" t="str">
        <x:v>Federal credit and contingent liabilities</x:v>
      </x:c>
      <x:c r="C292" s="51" t="str">
        <x:v>ACT-DOELOANPROGRAMSOFFICE</x:v>
      </x:c>
      <x:c r="D292" s="51" t="str">
        <x:v>DOE Loan Programs Office</x:v>
      </x:c>
      <x:c r="E292" s="51" t="str">
        <x:v>ACT-PRIVATELENDERSANDPROJECT</x:v>
      </x:c>
      <x:c r="F292" s="51" t="str">
        <x:v>Private lenders and project sponsors</x:v>
      </x:c>
      <x:c r="G292" s="51" t="str">
        <x:v>Programme → borrowers and lenders</x:v>
      </x:c>
      <x:c r="H292" s="51" t="str">
        <x:v>Current</x:v>
      </x:c>
      <x:c r="I292" s="51" t="str">
        <x:v>Direct loan, guarantee and conditional commitment</x:v>
      </x:c>
      <x:c r="J292" s="51" t="str">
        <x:v>INS-148</x:v>
      </x:c>
      <x:c r="K292" s="51" t="str">
        <x:v>Project-specific</x:v>
      </x:c>
      <x:c r="L292" s="51" t="str">
        <x:v>Technical proposal, sponsor equity, collateral and public policy eligibility</x:v>
      </x:c>
      <x:c r="M292" s="51" t="str">
        <x:v>Lower-cost or longer-tenor project finance</x:v>
      </x:c>
      <x:c r="N292" s="51" t="str">
        <x:v>A public credit programme assumes specified technology and default risk that private capital may not accept alone</x:v>
      </x:c>
      <x:c r="O292" s="51" t="str">
        <x:v>Financial; material; institutional</x:v>
      </x:c>
      <x:c r="P292" s="51" t="str">
        <x:v>E1</x:v>
      </x:c>
      <x:c r="Q292" s="51" t="str">
        <x:v>High</x:v>
      </x:c>
      <x:c r="R292" s="51" t="str">
        <x:v>SRC-270; SRC-271</x:v>
      </x:c>
      <x:c r="S292" s="51" t="str">
        <x:v>LPO offers loans and guarantees and issues conditional commitments subject to terms.</x:v>
      </x:c>
      <x:c r="T292" s="51" t="str">
        <x:v>Guaranteed closing, project success or full government loss absorption.</x:v>
      </x:c>
      <x:c r="U292" s="51" t="str">
        <x:v>Sponsors retain equity risk and commitments require conditions and approvals.</x:v>
      </x:c>
      <x:c r="V292" s="51" t="str">
        <x:v>Active</x:v>
      </x:c>
      <x:c r="W292" s="51" t="str">
        <x:v>47;57</x:v>
      </x:c>
      <x:c r="X292" s="51" t="str">
        <x:v>2026-07-27</x:v>
      </x:c>
    </x:row>
    <x:row r="293">
      <x:c r="A293" s="51" t="str">
        <x:v>FCR-005</x:v>
      </x:c>
      <x:c r="B293" s="51" t="str">
        <x:v>Federal credit and contingent liabilities</x:v>
      </x:c>
      <x:c r="C293" s="51" t="str">
        <x:v>ACT-DOECREDITREVIEWBOARD</x:v>
      </x:c>
      <x:c r="D293" s="51" t="str">
        <x:v>DOE Credit Review Board</x:v>
      </x:c>
      <x:c r="E293" s="51" t="str">
        <x:v>ACT-DOELOANPROGRAMSOFFICE</x:v>
      </x:c>
      <x:c r="F293" s="51" t="str">
        <x:v>DOE Loan Programs Office</x:v>
      </x:c>
      <x:c r="G293" s="51" t="str">
        <x:v>Review body → programme office</x:v>
      </x:c>
      <x:c r="H293" s="51" t="str">
        <x:v>Application-specific</x:v>
      </x:c>
      <x:c r="I293" s="51" t="str">
        <x:v>Credit review and recommendation</x:v>
      </x:c>
      <x:c r="J293" s="51" t="str">
        <x:v>INS-148</x:v>
      </x:c>
      <x:c r="K293" s="51" t="str">
        <x:v>Project-specific</x:v>
      </x:c>
      <x:c r="L293" s="51" t="str">
        <x:v>Technical, financial and legal diligence</x:v>
      </x:c>
      <x:c r="M293" s="51" t="str">
        <x:v>Approval path or rejection before commitment</x:v>
      </x:c>
      <x:c r="N293" s="51" t="str">
        <x:v>Internal review converts project information into a sovereign credit decision</x:v>
      </x:c>
      <x:c r="O293" s="51" t="str">
        <x:v>Informational; institutional; financial</x:v>
      </x:c>
      <x:c r="P293" s="51" t="str">
        <x:v>E1</x:v>
      </x:c>
      <x:c r="Q293" s="51" t="str">
        <x:v>High</x:v>
      </x:c>
      <x:c r="R293" s="51" t="str">
        <x:v>SRC-271</x:v>
      </x:c>
      <x:c r="S293" s="51" t="str">
        <x:v>GAO describes DOE Credit Review Board review in the LPO process.</x:v>
      </x:c>
      <x:c r="T293" s="51" t="str">
        <x:v>A mechanical approval or independence from departmental policy.</x:v>
      </x:c>
      <x:c r="U293" s="51" t="str">
        <x:v>The Secretary, OMB and Treasury also participate in review.</x:v>
      </x:c>
      <x:c r="V293" s="51" t="str">
        <x:v>Active</x:v>
      </x:c>
      <x:c r="W293" s="51" t="str">
        <x:v>47;57</x:v>
      </x:c>
      <x:c r="X293" s="51" t="str">
        <x:v>2026-07-27</x:v>
      </x:c>
    </x:row>
    <x:row r="294">
      <x:c r="A294" s="51" t="str">
        <x:v>FCR-006</x:v>
      </x:c>
      <x:c r="B294" s="51" t="str">
        <x:v>Federal credit and contingent liabilities</x:v>
      </x:c>
      <x:c r="C294" s="51" t="str">
        <x:v>ACT-OFFICEOFMANAGEMENTANDBUD</x:v>
      </x:c>
      <x:c r="D294" s="51" t="str">
        <x:v>Office of Management and Budget</x:v>
      </x:c>
      <x:c r="E294" s="51" t="str">
        <x:v>ACT-DOELOANPROGRAMSOFFICE</x:v>
      </x:c>
      <x:c r="F294" s="51" t="str">
        <x:v>DOE Loan Programs Office</x:v>
      </x:c>
      <x:c r="G294" s="51" t="str">
        <x:v>Budget authority → programme</x:v>
      </x:c>
      <x:c r="H294" s="51" t="str">
        <x:v>Application-specific</x:v>
      </x:c>
      <x:c r="I294" s="51" t="str">
        <x:v>Credit subsidy and programme review</x:v>
      </x:c>
      <x:c r="J294" s="51" t="str">
        <x:v>INS-148; INS-149</x:v>
      </x:c>
      <x:c r="K294" s="51" t="str">
        <x:v>Project-specific</x:v>
      </x:c>
      <x:c r="L294" s="51" t="str">
        <x:v>Subsidy estimate and programme terms</x:v>
      </x:c>
      <x:c r="M294" s="51" t="str">
        <x:v>Approval or conditions before commitment</x:v>
      </x:c>
      <x:c r="N294" s="51" t="str">
        <x:v>Central budget review limits how an agency converts statutory loan authority into actual sovereign exposure</x:v>
      </x:c>
      <x:c r="O294" s="51" t="str">
        <x:v>Financial; institutional; informational</x:v>
      </x:c>
      <x:c r="P294" s="51" t="str">
        <x:v>E1</x:v>
      </x:c>
      <x:c r="Q294" s="51" t="str">
        <x:v>High</x:v>
      </x:c>
      <x:c r="R294" s="51" t="str">
        <x:v>SRC-271; SRC-272; SRC-276</x:v>
      </x:c>
      <x:c r="S294" s="51" t="str">
        <x:v>GAO reports OMB review of proposed DOE credit assistance.</x:v>
      </x:c>
      <x:c r="T294" s="51" t="str">
        <x:v>Direct project management or sole authority over final approval.</x:v>
      </x:c>
      <x:c r="U294" s="51" t="str">
        <x:v>Treasury, DOE boards and the Secretary have separate roles.</x:v>
      </x:c>
      <x:c r="V294" s="51" t="str">
        <x:v>Active</x:v>
      </x:c>
      <x:c r="W294" s="51" t="str">
        <x:v>47;57</x:v>
      </x:c>
      <x:c r="X294" s="51" t="str">
        <x:v>2026-07-27</x:v>
      </x:c>
    </x:row>
    <x:row r="295">
      <x:c r="A295" s="51" t="str">
        <x:v>FCR-007</x:v>
      </x:c>
      <x:c r="B295" s="51" t="str">
        <x:v>Federal credit and contingent liabilities</x:v>
      </x:c>
      <x:c r="C295" s="51" t="str">
        <x:v>ACT-FEDERALDIRECTLOANANDLOAN</x:v>
      </x:c>
      <x:c r="D295" s="51" t="str">
        <x:v>Federal direct loan and loan guarantee programmes</x:v>
      </x:c>
      <x:c r="E295" s="51" t="str">
        <x:v>ACT-PUBLICTAXPAYERSANDBUDGET</x:v>
      </x:c>
      <x:c r="F295" s="51" t="str">
        <x:v>Public taxpayers and budget</x:v>
      </x:c>
      <x:c r="G295" s="51" t="str">
        <x:v>Programme → public balance sheet</x:v>
      </x:c>
      <x:c r="H295" s="51" t="str">
        <x:v>Loan life</x:v>
      </x:c>
      <x:c r="I295" s="51" t="str">
        <x:v>Contingent claim and recovery relationship</x:v>
      </x:c>
      <x:c r="J295" s="51" t="str">
        <x:v>INS-149</x:v>
      </x:c>
      <x:c r="K295" s="51" t="str">
        <x:v>Face value may greatly exceed recorded subsidy cost</x:v>
      </x:c>
      <x:c r="L295" s="51" t="str">
        <x:v>Borrower repayments, fees, defaults and recoveries</x:v>
      </x:c>
      <x:c r="M295" s="51" t="str">
        <x:v>Realised fiscal gain or loss</x:v>
      </x:c>
      <x:c r="N295" s="51" t="str">
        <x:v>A guarantee creates a contingent liability whose fiscal cost appears only as future defaults differ from fees and recoveries</x:v>
      </x:c>
      <x:c r="O295" s="51" t="str">
        <x:v>Financial; distributional; institutional</x:v>
      </x:c>
      <x:c r="P295" s="51" t="str">
        <x:v>S1</x:v>
      </x:c>
      <x:c r="Q295" s="51" t="str">
        <x:v>Very high</x:v>
      </x:c>
      <x:c r="R295" s="51" t="str">
        <x:v>SRC-274; SRC-275</x:v>
      </x:c>
      <x:c r="S295" s="51" t="str">
        <x:v>FCRA measures expected net cash-flow cost of direct loans and guarantees.</x:v>
      </x:c>
      <x:c r="T295" s="51" t="str">
        <x:v>That the government will lose the full guaranteed principal.</x:v>
      </x:c>
      <x:c r="U295" s="51" t="str">
        <x:v>Many programmes collect fees and recover collateral.</x:v>
      </x:c>
      <x:c r="V295" s="51" t="str">
        <x:v>Active mechanism</x:v>
      </x:c>
      <x:c r="W295" s="51" t="str">
        <x:v>47;57</x:v>
      </x:c>
      <x:c r="X295" s="51" t="str">
        <x:v>2026-07-27</x:v>
      </x:c>
    </x:row>
    <x:row r="296">
      <x:c r="A296" s="51" t="str">
        <x:v>FCR-008</x:v>
      </x:c>
      <x:c r="B296" s="51" t="str">
        <x:v>Federal credit and contingent liabilities</x:v>
      </x:c>
      <x:c r="C296" s="51" t="str">
        <x:v>ACT-FEDERALCREDITSUBSIDYCOST</x:v>
      </x:c>
      <x:c r="D296" s="51" t="str">
        <x:v>Federal credit subsidy cost</x:v>
      </x:c>
      <x:c r="E296" s="51" t="str">
        <x:v>ACT-PUBLICTAXPAYERSANDBUDGET</x:v>
      </x:c>
      <x:c r="F296" s="51" t="str">
        <x:v>Public taxpayers and budget</x:v>
      </x:c>
      <x:c r="G296" s="51" t="str">
        <x:v>Estimate → budget</x:v>
      </x:c>
      <x:c r="H296" s="51" t="str">
        <x:v>Annual and re-estimate cycles</x:v>
      </x:c>
      <x:c r="I296" s="51" t="str">
        <x:v>Budget recognition</x:v>
      </x:c>
      <x:c r="J296" s="51" t="str">
        <x:v>INS-149</x:v>
      </x:c>
      <x:c r="K296" s="51" t="str">
        <x:v>Present-value estimate</x:v>
      </x:c>
      <x:c r="L296" s="51" t="str">
        <x:v>Modelled expected programme cash flows</x:v>
      </x:c>
      <x:c r="M296" s="51" t="str">
        <x:v>Appropriated cost, asset or liability and later re-estimates</x:v>
      </x:c>
      <x:c r="N296" s="51" t="str">
        <x:v>Fiscal risk becomes politically visible through accounting assumptions rather than face-value exposure alone</x:v>
      </x:c>
      <x:c r="O296" s="51" t="str">
        <x:v>Informational; financial; narrative</x:v>
      </x:c>
      <x:c r="P296" s="51" t="str">
        <x:v>S1</x:v>
      </x:c>
      <x:c r="Q296" s="51" t="str">
        <x:v>High</x:v>
      </x:c>
      <x:c r="R296" s="51" t="str">
        <x:v>SRC-272; SRC-273; SRC-275</x:v>
      </x:c>
      <x:c r="S296" s="51" t="str">
        <x:v>Federal budgeting reports credit subsidy and re-estimates.</x:v>
      </x:c>
      <x:c r="T296" s="51" t="str">
        <x:v>A complete measure of systemic, distributional or climate risk.</x:v>
      </x:c>
      <x:c r="U296" s="51" t="str">
        <x:v>Budget scoring excludes some incidental effects and depends on modelling choices.</x:v>
      </x:c>
      <x:c r="V296" s="51" t="str">
        <x:v>Active</x:v>
      </x:c>
      <x:c r="W296" s="51" t="str">
        <x:v>47;57</x:v>
      </x:c>
      <x:c r="X296" s="51" t="str">
        <x:v>2026-07-27</x:v>
      </x:c>
    </x:row>
    <x:row r="297">
      <x:c r="A297" s="51" t="str">
        <x:v>FIN-001</x:v>
      </x:c>
      <x:c r="B297" s="51" t="str">
        <x:v>Epstein financial infrastructure</x:v>
      </x:c>
      <x:c r="C297" s="51" t="str">
        <x:v>ACT-JPMORGANCHASE</x:v>
      </x:c>
      <x:c r="D297" s="51" t="str">
        <x:v>JPMorgan Chase</x:v>
      </x:c>
      <x:c r="E297" s="51" t="str">
        <x:v>ACT-JEFFREYEPSTEIN</x:v>
      </x:c>
      <x:c r="F297" s="51" t="str">
        <x:v>Jeffrey Epstein</x:v>
      </x:c>
      <x:c r="G297" s="51" t="str">
        <x:v>Bank → client</x:v>
      </x:c>
      <x:c r="H297" s="51" t="str">
        <x:v>1998–2013</x:v>
      </x:c>
      <x:c r="I297" s="51" t="str">
        <x:v>Banking relationship</x:v>
      </x:c>
      <x:c r="J297" s="51" t="str">
        <x:v>INS-039</x:v>
      </x:c>
      <x:c r="K297" s="51" t="str">
        <x:v>Long-term private banking relationship</x:v>
      </x:c>
      <x:c r="L297" s="51" t="str">
        <x:v>Accounts, payments and financial services</x:v>
      </x:c>
      <x:c r="M297" s="51" t="str">
        <x:v>Capacity to transact and maintain elite financial network</x:v>
      </x:c>
      <x:c r="N297" s="51" t="str">
        <x:v>A regulated bank provides the payment infrastructure through which a high-risk client operates</x:v>
      </x:c>
      <x:c r="O297" s="51" t="str">
        <x:v>Financial; informational; institutional</x:v>
      </x:c>
      <x:c r="P297" s="51" t="str">
        <x:v>E1</x:v>
      </x:c>
      <x:c r="Q297" s="51" t="str">
        <x:v>Very high</x:v>
      </x:c>
      <x:c r="R297" s="51" t="str">
        <x:v>SRC-063</x:v>
      </x:c>
      <x:c r="S297" s="51" t="str">
        <x:v>Epstein was a JPMorgan client until 2013 and the bank settled accuser claims.</x:v>
      </x:c>
      <x:c r="T297" s="51" t="str">
        <x:v>An admission of wrongdoing in the settlement or knowledge by every employee.</x:v>
      </x:c>
      <x:c r="U297" s="51" t="str">
        <x:v>Settlement resolved claims without a trial finding against all alleged conduct.</x:v>
      </x:c>
      <x:c r="V297" s="51" t="str">
        <x:v>Historical</x:v>
      </x:c>
      <x:c r="W297" s="51" t="str">
        <x:v>53;55;57</x:v>
      </x:c>
      <x:c r="X297" s="51" t="str">
        <x:v>2026-07-27</x:v>
      </x:c>
    </x:row>
    <x:row r="298">
      <x:c r="A298" s="51" t="str">
        <x:v>FIN-002</x:v>
      </x:c>
      <x:c r="B298" s="51" t="str">
        <x:v>Epstein financial infrastructure</x:v>
      </x:c>
      <x:c r="C298" s="51" t="str">
        <x:v>ACT-DEUTSCHEBANK</x:v>
      </x:c>
      <x:c r="D298" s="51" t="str">
        <x:v>Deutsche Bank</x:v>
      </x:c>
      <x:c r="E298" s="51" t="str">
        <x:v>ACT-JEFFREYEPSTEIN</x:v>
      </x:c>
      <x:c r="F298" s="51" t="str">
        <x:v>Jeffrey Epstein</x:v>
      </x:c>
      <x:c r="G298" s="51" t="str">
        <x:v>Bank → client</x:v>
      </x:c>
      <x:c r="H298" s="51" t="str">
        <x:v>2013–2019</x:v>
      </x:c>
      <x:c r="I298" s="51" t="str">
        <x:v>Banking relationship</x:v>
      </x:c>
      <x:c r="J298" s="51" t="str">
        <x:v>INS-040</x:v>
      </x:c>
      <x:c r="K298" s="51" t="str">
        <x:v>Post-JPMorgan client relationship</x:v>
      </x:c>
      <x:c r="L298" s="51" t="str">
        <x:v>Accounts, cash access and financial services</x:v>
      </x:c>
      <x:c r="M298" s="51" t="str">
        <x:v>Continued transaction capacity after conviction</x:v>
      </x:c>
      <x:c r="N298" s="51" t="str">
        <x:v>A new institution can restore financial infrastructure after another exits a high-risk client</x:v>
      </x:c>
      <x:c r="O298" s="51" t="str">
        <x:v>Financial; informational; institutional</x:v>
      </x:c>
      <x:c r="P298" s="51" t="str">
        <x:v>E1</x:v>
      </x:c>
      <x:c r="Q298" s="51" t="str">
        <x:v>Very high</x:v>
      </x:c>
      <x:c r="R298" s="51" t="str">
        <x:v>SRC-064; SRC-068</x:v>
      </x:c>
      <x:c r="S298" s="51" t="str">
        <x:v>Deutsche Bank took Epstein as a client in 2013 and later settled accuser claims.</x:v>
      </x:c>
      <x:c r="T298" s="51" t="str">
        <x:v>An admission of liability or knowledge by every employee.</x:v>
      </x:c>
      <x:c r="U298" s="51" t="str">
        <x:v>The settlement and regulatory history demonstrate control failure, not a unified bank conspiracy.</x:v>
      </x:c>
      <x:c r="V298" s="51" t="str">
        <x:v>Historical</x:v>
      </x:c>
      <x:c r="W298" s="51" t="str">
        <x:v>53;55;57</x:v>
      </x:c>
      <x:c r="X298" s="51" t="str">
        <x:v>2026-07-27</x:v>
      </x:c>
    </x:row>
    <x:row r="299">
      <x:c r="A299" s="51" t="str">
        <x:v>FIN-003</x:v>
      </x:c>
      <x:c r="B299" s="51" t="str">
        <x:v>Epstein financial infrastructure</x:v>
      </x:c>
      <x:c r="C299" s="51" t="str">
        <x:v>ACT-BANKOFAMERICA</x:v>
      </x:c>
      <x:c r="D299" s="51" t="str">
        <x:v>Bank of America</x:v>
      </x:c>
      <x:c r="E299" s="51" t="str">
        <x:v>ACT-JEFFREYEPSTEIN</x:v>
      </x:c>
      <x:c r="F299" s="51" t="str">
        <x:v>Jeffrey Epstein</x:v>
      </x:c>
      <x:c r="G299" s="51" t="str">
        <x:v>Bank → client/network</x:v>
      </x:c>
      <x:c r="H299" s="51" t="str">
        <x:v>Period alleged in litigation</x:v>
      </x:c>
      <x:c r="I299" s="51" t="str">
        <x:v>Financial-services relationship / litigation</x:v>
      </x:c>
      <x:c r="J299" s="51" t="str">
        <x:v>INS-041</x:v>
      </x:c>
      <x:c r="K299" s="51" t="str">
        <x:v>$72.5 million settlement</x:v>
      </x:c>
      <x:c r="L299" s="51" t="str">
        <x:v>Banking transactions</x:v>
      </x:c>
      <x:c r="M299" s="51" t="str">
        <x:v>Alleged facilitation through financial infrastructure</x:v>
      </x:c>
      <x:c r="N299" s="51" t="str">
        <x:v>Civil litigation can expose whether compliance systems detected and acted on suspicious flows</x:v>
      </x:c>
      <x:c r="O299" s="51" t="str">
        <x:v>Financial; legal; informational</x:v>
      </x:c>
      <x:c r="P299" s="51" t="str">
        <x:v>E1</x:v>
      </x:c>
      <x:c r="Q299" s="51" t="str">
        <x:v>High</x:v>
      </x:c>
      <x:c r="R299" s="51" t="str">
        <x:v>SRC-065</x:v>
      </x:c>
      <x:c r="S299" s="51" t="str">
        <x:v>A court preliminarily approved the settlement resolving accuser claims.</x:v>
      </x:c>
      <x:c r="T299" s="51" t="str">
        <x:v>An admission of wrongdoing or a final factual finding on every allegation.</x:v>
      </x:c>
      <x:c r="U299" s="51" t="str">
        <x:v>Bank of America denied facilitating crimes while supporting closure for accusers.</x:v>
      </x:c>
      <x:c r="V299" s="51" t="str">
        <x:v>Settlement pending final status at source</x:v>
      </x:c>
      <x:c r="W299" s="51" t="str">
        <x:v>53;55</x:v>
      </x:c>
      <x:c r="X299" s="51" t="str">
        <x:v>2026-07-27</x:v>
      </x:c>
    </x:row>
    <x:row r="300">
      <x:c r="A300" s="51" t="str">
        <x:v>FIN-004</x:v>
      </x:c>
      <x:c r="B300" s="51" t="str">
        <x:v>Epstein financial infrastructure</x:v>
      </x:c>
      <x:c r="C300" s="51" t="str">
        <x:v>ACT-JESSTALEY</x:v>
      </x:c>
      <x:c r="D300" s="51" t="str">
        <x:v>Jes Staley</x:v>
      </x:c>
      <x:c r="E300" s="51" t="str">
        <x:v>ACT-JEFFREYEPSTEIN</x:v>
      </x:c>
      <x:c r="F300" s="51" t="str">
        <x:v>Jeffrey Epstein</x:v>
      </x:c>
      <x:c r="G300" s="51" t="str">
        <x:v>Bidirectional</x:v>
      </x:c>
      <x:c r="H300" s="51" t="str">
        <x:v>2000s–2010s</x:v>
      </x:c>
      <x:c r="I300" s="51" t="str">
        <x:v>Extensive professional and personal correspondence</x:v>
      </x:c>
      <x:c r="J300" s="51" t="str"/>
      <x:c r="K300" s="51" t="str">
        <x:v>More than 1,000 communications reported</x:v>
      </x:c>
      <x:c r="L300" s="51" t="str">
        <x:v>Senior banking access and personal trust</x:v>
      </x:c>
      <x:c r="M300" s="51" t="str">
        <x:v>Client retention and institutional advocacy</x:v>
      </x:c>
      <x:c r="N300" s="51" t="str">
        <x:v>A relationship manager converts personal trust into continued access to a systemically important bank</x:v>
      </x:c>
      <x:c r="O300" s="51" t="str">
        <x:v>Relational; financial; institutional</x:v>
      </x:c>
      <x:c r="P300" s="51" t="str">
        <x:v>E2</x:v>
      </x:c>
      <x:c r="Q300" s="51" t="str">
        <x:v>Very high</x:v>
      </x:c>
      <x:c r="R300" s="51" t="str">
        <x:v>SRC-054; SRC-063</x:v>
      </x:c>
      <x:c r="S300" s="51" t="str">
        <x:v>Staley had an extensive documented relationship with Epstein.</x:v>
      </x:c>
      <x:c r="T300" s="51" t="str">
        <x:v>Criminal participation absent separate proof or knowledge by JPMorgan's entire leadership.</x:v>
      </x:c>
      <x:c r="U300" s="51" t="str">
        <x:v>Regulators later disputed how Staley described the relationship.</x:v>
      </x:c>
      <x:c r="V300" s="51" t="str">
        <x:v>Historical</x:v>
      </x:c>
      <x:c r="W300" s="51" t="str">
        <x:v>53;55;57</x:v>
      </x:c>
      <x:c r="X300" s="51" t="str">
        <x:v>2026-07-27</x:v>
      </x:c>
    </x:row>
    <x:row r="301">
      <x:c r="A301" s="51" t="str">
        <x:v>FIN-005</x:v>
      </x:c>
      <x:c r="B301" s="51" t="str">
        <x:v>Epstein financial infrastructure</x:v>
      </x:c>
      <x:c r="C301" s="51" t="str">
        <x:v>ACT-JESSTALEY</x:v>
      </x:c>
      <x:c r="D301" s="51" t="str">
        <x:v>Jes Staley</x:v>
      </x:c>
      <x:c r="E301" s="51" t="str">
        <x:v>ACT-JPMORGANCHASE</x:v>
      </x:c>
      <x:c r="F301" s="51" t="str">
        <x:v>JPMorgan Chase</x:v>
      </x:c>
      <x:c r="G301" s="51" t="str">
        <x:v>Executive → bank</x:v>
      </x:c>
      <x:c r="H301" s="51" t="str">
        <x:v>1990s–2013</x:v>
      </x:c>
      <x:c r="I301" s="51" t="str">
        <x:v>Senior executive and client-manager role</x:v>
      </x:c>
      <x:c r="J301" s="51" t="str"/>
      <x:c r="K301" s="51" t="str">
        <x:v>Institutional</x:v>
      </x:c>
      <x:c r="L301" s="51" t="str">
        <x:v>Personal client relationship</x:v>
      </x:c>
      <x:c r="M301" s="51" t="str">
        <x:v>Internal influence over client treatment</x:v>
      </x:c>
      <x:c r="N301" s="51" t="str">
        <x:v>A powerful employee can translate private trust into institutional forbearance</x:v>
      </x:c>
      <x:c r="O301" s="51" t="str">
        <x:v>Relational; institutional; financial</x:v>
      </x:c>
      <x:c r="P301" s="51" t="str">
        <x:v>E2</x:v>
      </x:c>
      <x:c r="Q301" s="51" t="str">
        <x:v>High</x:v>
      </x:c>
      <x:c r="R301" s="51" t="str">
        <x:v>SRC-063; SRC-054</x:v>
      </x:c>
      <x:c r="S301" s="51" t="str">
        <x:v>Staley was a senior JPMorgan executive connected to Epstein's client relationship.</x:v>
      </x:c>
      <x:c r="T301" s="51" t="str">
        <x:v>Sole responsibility for the bank's conduct or knowledge of all criminal activity.</x:v>
      </x:c>
      <x:c r="U301" s="51" t="str">
        <x:v>Compliance, management and control functions had separate duties.</x:v>
      </x:c>
      <x:c r="V301" s="51" t="str">
        <x:v>Historical</x:v>
      </x:c>
      <x:c r="W301" s="51" t="str">
        <x:v>55;57</x:v>
      </x:c>
      <x:c r="X301" s="51" t="str">
        <x:v>2026-07-27</x:v>
      </x:c>
    </x:row>
    <x:row r="302">
      <x:c r="A302" s="51" t="str">
        <x:v>FIN-006</x:v>
      </x:c>
      <x:c r="B302" s="51" t="str">
        <x:v>Epstein financial infrastructure</x:v>
      </x:c>
      <x:c r="C302" s="51" t="str">
        <x:v>ACT-LEONBLACK</x:v>
      </x:c>
      <x:c r="D302" s="51" t="str">
        <x:v>Leon Black</x:v>
      </x:c>
      <x:c r="E302" s="51" t="str">
        <x:v>ACT-JEFFREYEPSTEIN</x:v>
      </x:c>
      <x:c r="F302" s="51" t="str">
        <x:v>Jeffrey Epstein</x:v>
      </x:c>
      <x:c r="G302" s="51" t="str">
        <x:v>Client → adviser</x:v>
      </x:c>
      <x:c r="H302" s="51" t="str">
        <x:v>2012–2017</x:v>
      </x:c>
      <x:c r="I302" s="51" t="str">
        <x:v>Tax and estate-planning services</x:v>
      </x:c>
      <x:c r="J302" s="51" t="str">
        <x:v>INS-042</x:v>
      </x:c>
      <x:c r="K302" s="51" t="str">
        <x:v>$158 million</x:v>
      </x:c>
      <x:c r="L302" s="51" t="str">
        <x:v>Private wealth and complex tax/estate needs</x:v>
      </x:c>
      <x:c r="M302" s="51" t="str">
        <x:v>Professional services and payment to Epstein</x:v>
      </x:c>
      <x:c r="N302" s="51" t="str">
        <x:v>Elite advisory work converts technical and relational claims into unusually large private fees</x:v>
      </x:c>
      <x:c r="O302" s="51" t="str">
        <x:v>Financial; relational; informational</x:v>
      </x:c>
      <x:c r="P302" s="51" t="str">
        <x:v>E1</x:v>
      </x:c>
      <x:c r="Q302" s="51" t="str">
        <x:v>Very high</x:v>
      </x:c>
      <x:c r="R302" s="51" t="str">
        <x:v>SRC-066; SRC-067</x:v>
      </x:c>
      <x:c r="S302" s="51" t="str">
        <x:v>An outside review documented $158 million in payments for stated services.</x:v>
      </x:c>
      <x:c r="T302" s="51" t="str">
        <x:v>Criminal involvement by Black or proof the services were fictitious.</x:v>
      </x:c>
      <x:c r="U302" s="51" t="str">
        <x:v>The review found no involvement by Black in Epstein's crimes; later allegations must be separately graded.</x:v>
      </x:c>
      <x:c r="V302" s="51" t="str">
        <x:v>Historical</x:v>
      </x:c>
      <x:c r="W302" s="51" t="str">
        <x:v>53;55;57</x:v>
      </x:c>
      <x:c r="X302" s="51" t="str">
        <x:v>2026-07-27</x:v>
      </x:c>
    </x:row>
    <x:row r="303">
      <x:c r="A303" s="51" t="str">
        <x:v>FIN-007</x:v>
      </x:c>
      <x:c r="B303" s="51" t="str">
        <x:v>Institutional accountability</x:v>
      </x:c>
      <x:c r="C303" s="51" t="str">
        <x:v>ACT-APOLLOGLOBALMANAGEMENT</x:v>
      </x:c>
      <x:c r="D303" s="51" t="str">
        <x:v>Apollo Global Management</x:v>
      </x:c>
      <x:c r="E303" s="51" t="str">
        <x:v>ACT-DECHERT</x:v>
      </x:c>
      <x:c r="F303" s="51" t="str">
        <x:v>Dechert</x:v>
      </x:c>
      <x:c r="G303" s="51" t="str">
        <x:v>Institution → reviewer</x:v>
      </x:c>
      <x:c r="H303" s="51" t="str">
        <x:v>2020–2021</x:v>
      </x:c>
      <x:c r="I303" s="51" t="str">
        <x:v>Outside governance review</x:v>
      </x:c>
      <x:c r="J303" s="51" t="str"/>
      <x:c r="K303" s="51" t="str">
        <x:v>Firm-wide reputational response</x:v>
      </x:c>
      <x:c r="L303" s="51" t="str">
        <x:v>Relationship controversy and investor pressure</x:v>
      </x:c>
      <x:c r="M303" s="51" t="str">
        <x:v>Findings, leadership transition and governance change</x:v>
      </x:c>
      <x:c r="N303" s="51" t="str">
        <x:v>Private institutions use external legal review to restore legitimacy after elite-network exposure</x:v>
      </x:c>
      <x:c r="O303" s="51" t="str">
        <x:v>Legal; institutional; narrative</x:v>
      </x:c>
      <x:c r="P303" s="51" t="str">
        <x:v>E1</x:v>
      </x:c>
      <x:c r="Q303" s="51" t="str">
        <x:v>High</x:v>
      </x:c>
      <x:c r="R303" s="51" t="str">
        <x:v>SRC-067</x:v>
      </x:c>
      <x:c r="S303" s="51" t="str">
        <x:v>Dechert reviewed Black's relationship and Apollo implemented leadership changes.</x:v>
      </x:c>
      <x:c r="T303" s="51" t="str">
        <x:v>Proof that Apollo itself hired Epstein or that the review resolved every later allegation.</x:v>
      </x:c>
      <x:c r="U303" s="51" t="str">
        <x:v>Apollo said no employee other than Black seriously considered hiring Epstein.</x:v>
      </x:c>
      <x:c r="V303" s="51" t="str">
        <x:v>Historical</x:v>
      </x:c>
      <x:c r="W303" s="51" t="str">
        <x:v>55;57;82</x:v>
      </x:c>
      <x:c r="X303" s="51" t="str">
        <x:v>2026-07-27</x:v>
      </x:c>
    </x:row>
    <x:row r="304">
      <x:c r="A304" s="51" t="str">
        <x:v>FIN-008</x:v>
      </x:c>
      <x:c r="B304" s="51" t="str">
        <x:v>Epstein financial infrastructure</x:v>
      </x:c>
      <x:c r="C304" s="51" t="str">
        <x:v>ACT-GOLDMANSACHS</x:v>
      </x:c>
      <x:c r="D304" s="51" t="str">
        <x:v>Goldman Sachs</x:v>
      </x:c>
      <x:c r="E304" s="51" t="str">
        <x:v>ACT-JEFFREYEPSTEIN</x:v>
      </x:c>
      <x:c r="F304" s="51" t="str">
        <x:v>Jeffrey Epstein</x:v>
      </x:c>
      <x:c r="G304" s="51" t="str">
        <x:v>Bank → account holder</x:v>
      </x:c>
      <x:c r="H304" s="51" t="str">
        <x:v>Historical</x:v>
      </x:c>
      <x:c r="I304" s="51" t="str">
        <x:v>Reported account relationship</x:v>
      </x:c>
      <x:c r="J304" s="51" t="str"/>
      <x:c r="K304" s="51" t="str">
        <x:v>Unspecified</x:v>
      </x:c>
      <x:c r="L304" s="51" t="str">
        <x:v>Financial accounts</x:v>
      </x:c>
      <x:c r="M304" s="51" t="str">
        <x:v>Banking and transaction capacity</x:v>
      </x:c>
      <x:c r="N304" s="51" t="str">
        <x:v>Multiple-bank relationships diversify access and complicate compliance visibility</x:v>
      </x:c>
      <x:c r="O304" s="51" t="str">
        <x:v>Financial; informational</x:v>
      </x:c>
      <x:c r="P304" s="51" t="str">
        <x:v>E2</x:v>
      </x:c>
      <x:c r="Q304" s="51" t="str">
        <x:v>High</x:v>
      </x:c>
      <x:c r="R304" s="51" t="str">
        <x:v>SRC-069</x:v>
      </x:c>
      <x:c r="S304" s="51" t="str">
        <x:v>Unsealed documents reportedly showed Epstein held Goldman accounts; Goldman said it ended the relationship in 2010.</x:v>
      </x:c>
      <x:c r="T304" s="51" t="str">
        <x:v>Knowledge of crimes or continued relationship after the stated exit.</x:v>
      </x:c>
      <x:c r="U304" s="51" t="str">
        <x:v>Account type, activity and internal knowledge require primary records.</x:v>
      </x:c>
      <x:c r="V304" s="51" t="str">
        <x:v>Historical</x:v>
      </x:c>
      <x:c r="W304" s="51" t="str">
        <x:v>55;57</x:v>
      </x:c>
      <x:c r="X304" s="51" t="str">
        <x:v>2026-07-27</x:v>
      </x:c>
    </x:row>
    <x:row r="305">
      <x:c r="A305" s="51" t="str">
        <x:v>FIN-009</x:v>
      </x:c>
      <x:c r="B305" s="51" t="str">
        <x:v>Epstein financial infrastructure</x:v>
      </x:c>
      <x:c r="C305" s="51" t="str">
        <x:v>ACT-HSBC</x:v>
      </x:c>
      <x:c r="D305" s="51" t="str">
        <x:v>HSBC</x:v>
      </x:c>
      <x:c r="E305" s="51" t="str">
        <x:v>ACT-JEFFREYEPSTEIN</x:v>
      </x:c>
      <x:c r="F305" s="51" t="str">
        <x:v>Jeffrey Epstein</x:v>
      </x:c>
      <x:c r="G305" s="51" t="str">
        <x:v>Bank → account holder</x:v>
      </x:c>
      <x:c r="H305" s="51" t="str">
        <x:v>Historical</x:v>
      </x:c>
      <x:c r="I305" s="51" t="str">
        <x:v>Reported account relationship</x:v>
      </x:c>
      <x:c r="J305" s="51" t="str"/>
      <x:c r="K305" s="51" t="str">
        <x:v>Unspecified</x:v>
      </x:c>
      <x:c r="L305" s="51" t="str">
        <x:v>Financial accounts</x:v>
      </x:c>
      <x:c r="M305" s="51" t="str">
        <x:v>Banking and transaction capacity</x:v>
      </x:c>
      <x:c r="N305" s="51" t="str">
        <x:v>Cross-institutional accounts can fragment visibility of a client's complete financial pattern</x:v>
      </x:c>
      <x:c r="O305" s="51" t="str">
        <x:v>Financial; informational</x:v>
      </x:c>
      <x:c r="P305" s="51" t="str">
        <x:v>E2</x:v>
      </x:c>
      <x:c r="Q305" s="51" t="str">
        <x:v>Moderate</x:v>
      </x:c>
      <x:c r="R305" s="51" t="str">
        <x:v>SRC-069</x:v>
      </x:c>
      <x:c r="S305" s="51" t="str">
        <x:v>Unsealed documents reportedly showed HSBC accounts.</x:v>
      </x:c>
      <x:c r="T305" s="51" t="str">
        <x:v>Knowledge of crimes, duration or transaction scope.</x:v>
      </x:c>
      <x:c r="U305" s="51" t="str">
        <x:v>HSBC declined comment in the cited report; underlying records remain important.</x:v>
      </x:c>
      <x:c r="V305" s="51" t="str">
        <x:v>Historical / investigate</x:v>
      </x:c>
      <x:c r="W305" s="51" t="str">
        <x:v>55;57</x:v>
      </x:c>
      <x:c r="X305" s="51" t="str">
        <x:v>2026-07-27</x:v>
      </x:c>
    </x:row>
    <x:row r="306">
      <x:c r="A306" s="51" t="str">
        <x:v>FINAI-001</x:v>
      </x:c>
      <x:c r="B306" s="51" t="str">
        <x:v>AI infrastructure finance and ownership</x:v>
      </x:c>
      <x:c r="C306" s="51" t="str">
        <x:v>ACT-SOFTBANKGROUP</x:v>
      </x:c>
      <x:c r="D306" s="51" t="str">
        <x:v>SoftBank Group</x:v>
      </x:c>
      <x:c r="E306" s="51" t="str">
        <x:v>ACT-OPENAI</x:v>
      </x:c>
      <x:c r="F306" s="51" t="str">
        <x:v>OpenAI</x:v>
      </x:c>
      <x:c r="G306" s="51" t="str">
        <x:v>Investor → model company</x:v>
      </x:c>
      <x:c r="H306" s="51" t="str">
        <x:v>2025–2026</x:v>
      </x:c>
      <x:c r="I306" s="51" t="str">
        <x:v>Preferred equity investment</x:v>
      </x:c>
      <x:c r="J306" s="51" t="str">
        <x:v>INS-223</x:v>
      </x:c>
      <x:c r="K306" s="51" t="str">
        <x:v>Cumulative investment expected $64.6 billion after completion; approximately 13% ownership expected</x:v>
      </x:c>
      <x:c r="L306" s="51" t="str">
        <x:v>Investment capital</x:v>
      </x:c>
      <x:c r="M306" s="51" t="str">
        <x:v>Ownership interest and OpenAI growth funding</x:v>
      </x:c>
      <x:c r="N306" s="51" t="str">
        <x:v>A conglomerate converts its balance sheet and borrowing capacity into a strategic minority position in a frontier-model company</x:v>
      </x:c>
      <x:c r="O306" s="51" t="str">
        <x:v>Financial; ownership; relational</x:v>
      </x:c>
      <x:c r="P306" s="51" t="str">
        <x:v>E1</x:v>
      </x:c>
      <x:c r="Q306" s="51" t="str">
        <x:v>Very high</x:v>
      </x:c>
      <x:c r="R306" s="51" t="str">
        <x:v>SRC-403; SRC-405</x:v>
      </x:c>
      <x:c r="S306" s="51" t="str">
        <x:v>SoftBank disclosed its investment amounts and expected ownership interest.</x:v>
      </x:c>
      <x:c r="T306" s="51" t="str">
        <x:v>Operational control of OpenAI or sole governance authority.</x:v>
      </x:c>
      <x:c r="U306" s="51" t="str">
        <x:v>OpenAI governance and other investors remain distinct.</x:v>
      </x:c>
      <x:c r="V306" s="51" t="str">
        <x:v>Two 2026 tranches executed</x:v>
      </x:c>
      <x:c r="W306" s="51" t="str">
        <x:v>45;57</x:v>
      </x:c>
      <x:c r="X306" s="51" t="str">
        <x:v>2026-07-27</x:v>
      </x:c>
    </x:row>
    <x:row r="307">
      <x:c r="A307" s="51" t="str">
        <x:v>FINAI-002</x:v>
      </x:c>
      <x:c r="B307" s="51" t="str">
        <x:v>AI infrastructure finance and ownership</x:v>
      </x:c>
      <x:c r="C307" s="51" t="str">
        <x:v>ACT-AIINFRASTRUCTUREBRIDGELO</x:v>
      </x:c>
      <x:c r="D307" s="51" t="str">
        <x:v>AI infrastructure bridge loans</x:v>
      </x:c>
      <x:c r="E307" s="51" t="str">
        <x:v>ACT-SOFTBANKGROUP</x:v>
      </x:c>
      <x:c r="F307" s="51" t="str">
        <x:v>SoftBank Group</x:v>
      </x:c>
      <x:c r="G307" s="51" t="str">
        <x:v>Banks → investor</x:v>
      </x:c>
      <x:c r="H307" s="51" t="str">
        <x:v>2026–2027</x:v>
      </x:c>
      <x:c r="I307" s="51" t="str">
        <x:v>Unsecured bridge facility</x:v>
      </x:c>
      <x:c r="J307" s="51" t="str">
        <x:v>INS-224</x:v>
      </x:c>
      <x:c r="K307" s="51" t="str">
        <x:v>$40 billion</x:v>
      </x:c>
      <x:c r="L307" s="51" t="str">
        <x:v>Bank balance sheets and SoftBank credit</x:v>
      </x:c>
      <x:c r="M307" s="51" t="str">
        <x:v>Immediate investment liquidity</x:v>
      </x:c>
      <x:c r="N307" s="51" t="str">
        <x:v>Corporate debt finances AI equity exposure before asset sales or long-term refinancing</x:v>
      </x:c>
      <x:c r="O307" s="51" t="str">
        <x:v>Financial; relational; ownership</x:v>
      </x:c>
      <x:c r="P307" s="51" t="str">
        <x:v>E1</x:v>
      </x:c>
      <x:c r="Q307" s="51" t="str">
        <x:v>Very high</x:v>
      </x:c>
      <x:c r="R307" s="51" t="str">
        <x:v>SRC-404</x:v>
      </x:c>
      <x:c r="S307" s="51" t="str">
        <x:v>SoftBank entered a $40 billion bridge facility with major banks.</x:v>
      </x:c>
      <x:c r="T307" s="51" t="str">
        <x:v>Project-level security over OpenAI assets or permanent financing structure.</x:v>
      </x:c>
      <x:c r="U307" s="51" t="str">
        <x:v>Facility was unsecured and intended for later refinancing.</x:v>
      </x:c>
      <x:c r="V307" s="51" t="str">
        <x:v>Active</x:v>
      </x:c>
      <x:c r="W307" s="51" t="str">
        <x:v>45;57</x:v>
      </x:c>
      <x:c r="X307" s="51" t="str">
        <x:v>2026-07-27</x:v>
      </x:c>
    </x:row>
    <x:row r="308">
      <x:c r="A308" s="51" t="str">
        <x:v>FINAI-003</x:v>
      </x:c>
      <x:c r="B308" s="51" t="str">
        <x:v>AI infrastructure finance and ownership</x:v>
      </x:c>
      <x:c r="C308" s="51" t="str">
        <x:v>ACT-COREWEAVE</x:v>
      </x:c>
      <x:c r="D308" s="51" t="str">
        <x:v>CoreWeave</x:v>
      </x:c>
      <x:c r="E308" s="51" t="str">
        <x:v>ACT-GPUBACKEDPROJECTFINANCE</x:v>
      </x:c>
      <x:c r="F308" s="51" t="str">
        <x:v>GPU-backed project finance</x:v>
      </x:c>
      <x:c r="G308" s="51" t="str">
        <x:v>Borrower → financing structure</x:v>
      </x:c>
      <x:c r="H308" s="51" t="str">
        <x:v>2026</x:v>
      </x:c>
      <x:c r="I308" s="51" t="str">
        <x:v>HPC infrastructure and customer-contract-backed facility</x:v>
      </x:c>
      <x:c r="J308" s="51" t="str">
        <x:v>INS-227</x:v>
      </x:c>
      <x:c r="K308" s="51" t="str">
        <x:v>$8.5 billion</x:v>
      </x:c>
      <x:c r="L308" s="51" t="str">
        <x:v>GPU servers, data-center infrastructure and customer contract</x:v>
      </x:c>
      <x:c r="M308" s="51" t="str">
        <x:v>Expansion capital</x:v>
      </x:c>
      <x:c r="N308" s="51" t="str">
        <x:v>Compute hardware and contracted demand become collateral for investment-grade infrastructure debt</x:v>
      </x:c>
      <x:c r="O308" s="51" t="str">
        <x:v>Financial; ownership; material</x:v>
      </x:c>
      <x:c r="P308" s="51" t="str">
        <x:v>E1</x:v>
      </x:c>
      <x:c r="Q308" s="51" t="str">
        <x:v>Very high</x:v>
      </x:c>
      <x:c r="R308" s="51" t="str">
        <x:v>SRC-409</x:v>
      </x:c>
      <x:c r="S308" s="51" t="str">
        <x:v>CoreWeave closed an $8.5 billion financing secured by HPC infrastructure and an associated customer contract.</x:v>
      </x:c>
      <x:c r="T308" s="51" t="str">
        <x:v>Risk-free debt or general investment-grade status for all CoreWeave obligations.</x:v>
      </x:c>
      <x:c r="U308" s="51" t="str">
        <x:v>The rating and security apply to the specified facility.</x:v>
      </x:c>
      <x:c r="V308" s="51" t="str">
        <x:v>Closed</x:v>
      </x:c>
      <x:c r="W308" s="51" t="str">
        <x:v>45;57</x:v>
      </x:c>
      <x:c r="X308" s="51" t="str">
        <x:v>2026-07-27</x:v>
      </x:c>
    </x:row>
    <x:row r="309">
      <x:c r="A309" s="51" t="str">
        <x:v>FINAI-004</x:v>
      </x:c>
      <x:c r="B309" s="51" t="str">
        <x:v>AI infrastructure finance and ownership</x:v>
      </x:c>
      <x:c r="C309" s="51" t="str">
        <x:v>ACT-AIINFRASTRUCTUREPARTNERS</x:v>
      </x:c>
      <x:c r="D309" s="51" t="str">
        <x:v>AI Infrastructure Partnership</x:v>
      </x:c>
      <x:c r="E309" s="51" t="str">
        <x:v>ACT-DATACENTERDEVELOPERSANDO</x:v>
      </x:c>
      <x:c r="F309" s="51" t="str">
        <x:v>Data center developers and operators</x:v>
      </x:c>
      <x:c r="G309" s="51" t="str">
        <x:v>Investment partnership → infrastructure</x:v>
      </x:c>
      <x:c r="H309" s="51" t="str">
        <x:v>2024 onward</x:v>
      </x:c>
      <x:c r="I309" s="51" t="str">
        <x:v>Equity and debt mobilisation</x:v>
      </x:c>
      <x:c r="J309" s="51" t="str">
        <x:v>INS-232</x:v>
      </x:c>
      <x:c r="K309" s="51" t="str">
        <x:v>Up to $100 billion potential</x:v>
      </x:c>
      <x:c r="L309" s="51" t="str">
        <x:v>Institutional and sovereign capital</x:v>
      </x:c>
      <x:c r="M309" s="51" t="str">
        <x:v>Data centers and enabling power assets</x:v>
      </x:c>
      <x:c r="N309" s="51" t="str">
        <x:v>Long-duration compute contracts are converted into infrastructure investment and leverage capacity</x:v>
      </x:c>
      <x:c r="O309" s="51" t="str">
        <x:v>Financial; material; ownership</x:v>
      </x:c>
      <x:c r="P309" s="51" t="str">
        <x:v>E1</x:v>
      </x:c>
      <x:c r="Q309" s="51" t="str">
        <x:v>High</x:v>
      </x:c>
      <x:c r="R309" s="51" t="str">
        <x:v>SRC-418; SRC-419; SRC-420</x:v>
      </x:c>
      <x:c r="S309" s="51" t="str">
        <x:v>The partnership seeks to invest in data centers and power infrastructure.</x:v>
      </x:c>
      <x:c r="T309" s="51" t="str">
        <x:v>Deployment of the full $100 billion or ownership of all partner projects.</x:v>
      </x:c>
      <x:c r="U309" s="51" t="str">
        <x:v>The stated figure is investment potential, not completed deployment.</x:v>
      </x:c>
      <x:c r="V309" s="51" t="str">
        <x:v>Active</x:v>
      </x:c>
      <x:c r="W309" s="51" t="str">
        <x:v>45;57</x:v>
      </x:c>
      <x:c r="X309" s="51" t="str">
        <x:v>2026-07-27</x:v>
      </x:c>
    </x:row>
    <x:row r="310">
      <x:c r="A310" s="51" t="str">
        <x:v>FINAI-005</x:v>
      </x:c>
      <x:c r="B310" s="51" t="str">
        <x:v>AI infrastructure finance and ownership</x:v>
      </x:c>
      <x:c r="C310" s="51" t="str">
        <x:v>ACT-BLACKROCK</x:v>
      </x:c>
      <x:c r="D310" s="51" t="str">
        <x:v>BlackRock</x:v>
      </x:c>
      <x:c r="E310" s="51" t="str">
        <x:v>ACT-AIINFRASTRUCTUREPARTNERS</x:v>
      </x:c>
      <x:c r="F310" s="51" t="str">
        <x:v>AI Infrastructure Partnership</x:v>
      </x:c>
      <x:c r="G310" s="51" t="str">
        <x:v>Asset manager → partnership</x:v>
      </x:c>
      <x:c r="H310" s="51" t="str">
        <x:v>2024 onward</x:v>
      </x:c>
      <x:c r="I310" s="51" t="str">
        <x:v>Sponsor and capital mobilisation role</x:v>
      </x:c>
      <x:c r="J310" s="51" t="str">
        <x:v>INS-232</x:v>
      </x:c>
      <x:c r="K310" s="51" t="str">
        <x:v>Partnership-scale</x:v>
      </x:c>
      <x:c r="L310" s="51" t="str">
        <x:v>Infrastructure investment capability and investor network</x:v>
      </x:c>
      <x:c r="M310" s="51" t="str">
        <x:v>Equity capital and debt mobilisation platform</x:v>
      </x:c>
      <x:c r="N310" s="51" t="str">
        <x:v>Asset-management distribution connects pension, sovereign and institutional capital to AI infrastructure</x:v>
      </x:c>
      <x:c r="O310" s="51" t="str">
        <x:v>Financial; relational; ownership</x:v>
      </x:c>
      <x:c r="P310" s="51" t="str">
        <x:v>E1</x:v>
      </x:c>
      <x:c r="Q310" s="51" t="str">
        <x:v>Very high</x:v>
      </x:c>
      <x:c r="R310" s="51" t="str">
        <x:v>SRC-418; SRC-419</x:v>
      </x:c>
      <x:c r="S310" s="51" t="str">
        <x:v>BlackRock and GIP are founding partners in AIP.</x:v>
      </x:c>
      <x:c r="T310" s="51" t="str">
        <x:v>BlackRock unilateral control of Microsoft, NVIDIA, xAI or MGX.</x:v>
      </x:c>
      <x:c r="U310" s="51" t="str">
        <x:v>Partners retain separate governance and commercial interests.</x:v>
      </x:c>
      <x:c r="V310" s="51" t="str">
        <x:v>Active</x:v>
      </x:c>
      <x:c r="W310" s="51" t="str">
        <x:v>45;57</x:v>
      </x:c>
      <x:c r="X310" s="51" t="str">
        <x:v>2026-07-27</x:v>
      </x:c>
    </x:row>
    <x:row r="311">
      <x:c r="A311" s="51" t="str">
        <x:v>FINAI-006</x:v>
      </x:c>
      <x:c r="B311" s="51" t="str">
        <x:v>AI infrastructure finance and ownership</x:v>
      </x:c>
      <x:c r="C311" s="51" t="str">
        <x:v>ACT-MGX</x:v>
      </x:c>
      <x:c r="D311" s="51" t="str">
        <x:v>MGX</x:v>
      </x:c>
      <x:c r="E311" s="51" t="str">
        <x:v>ACT-AIINFRASTRUCTUREPARTNERS</x:v>
      </x:c>
      <x:c r="F311" s="51" t="str">
        <x:v>AI Infrastructure Partnership</x:v>
      </x:c>
      <x:c r="G311" s="51" t="str">
        <x:v>Sovereign-linked investor → partnership</x:v>
      </x:c>
      <x:c r="H311" s="51" t="str">
        <x:v>2024 onward</x:v>
      </x:c>
      <x:c r="I311" s="51" t="str">
        <x:v>Founding investment and strategic role</x:v>
      </x:c>
      <x:c r="J311" s="51" t="str">
        <x:v>INS-232</x:v>
      </x:c>
      <x:c r="K311" s="51" t="str">
        <x:v>Partnership-scale</x:v>
      </x:c>
      <x:c r="L311" s="51" t="str">
        <x:v>Abu Dhabi capital and AI strategy</x:v>
      </x:c>
      <x:c r="M311" s="51" t="str">
        <x:v>Global data-center and power investment capacity</x:v>
      </x:c>
      <x:c r="N311" s="51" t="str">
        <x:v>Sovereign capital participates directly in the financing layer of foreign AI infrastructure</x:v>
      </x:c>
      <x:c r="O311" s="51" t="str">
        <x:v>Financial; geopolitical; relational</x:v>
      </x:c>
      <x:c r="P311" s="51" t="str">
        <x:v>E1</x:v>
      </x:c>
      <x:c r="Q311" s="51" t="str">
        <x:v>Very high</x:v>
      </x:c>
      <x:c r="R311" s="51" t="str">
        <x:v>SRC-418; SRC-419; SRC-420</x:v>
      </x:c>
      <x:c r="S311" s="51" t="str">
        <x:v>MGX is a founding partner in AIP.</x:v>
      </x:c>
      <x:c r="T311" s="51" t="str">
        <x:v>UAE control of partner companies or US AI policy.</x:v>
      </x:c>
      <x:c r="U311" s="51" t="str">
        <x:v>AIP is a multi-party investment platform.</x:v>
      </x:c>
      <x:c r="V311" s="51" t="str">
        <x:v>Active</x:v>
      </x:c>
      <x:c r="W311" s="51" t="str">
        <x:v>45;57</x:v>
      </x:c>
      <x:c r="X311" s="51" t="str">
        <x:v>2026-07-27</x:v>
      </x:c>
    </x:row>
    <x:row r="312">
      <x:c r="A312" s="51" t="str">
        <x:v>FINAI-007</x:v>
      </x:c>
      <x:c r="B312" s="51" t="str">
        <x:v>AI infrastructure finance and ownership</x:v>
      </x:c>
      <x:c r="C312" s="51" t="str">
        <x:v>ACT-KUWAITINVESTMENTAUTHORIT</x:v>
      </x:c>
      <x:c r="D312" s="51" t="str">
        <x:v>Kuwait Investment Authority</x:v>
      </x:c>
      <x:c r="E312" s="51" t="str">
        <x:v>ACT-AIINFRASTRUCTUREPARTNERS</x:v>
      </x:c>
      <x:c r="F312" s="51" t="str">
        <x:v>AI Infrastructure Partnership</x:v>
      </x:c>
      <x:c r="G312" s="51" t="str">
        <x:v>Sovereign fund → partnership</x:v>
      </x:c>
      <x:c r="H312" s="51" t="str">
        <x:v>2025 onward</x:v>
      </x:c>
      <x:c r="I312" s="51" t="str">
        <x:v>Strategic investment participation</x:v>
      </x:c>
      <x:c r="J312" s="51" t="str">
        <x:v>INS-232</x:v>
      </x:c>
      <x:c r="K312" s="51" t="str">
        <x:v>Not publicly quantified</x:v>
      </x:c>
      <x:c r="L312" s="51" t="str">
        <x:v>Sovereign investment capital</x:v>
      </x:c>
      <x:c r="M312" s="51" t="str">
        <x:v>Expanded infrastructure fund capacity</x:v>
      </x:c>
      <x:c r="N312" s="51" t="str">
        <x:v>Multiple sovereign funds can gain exposure to AI power and data-center assets without directly operating models</x:v>
      </x:c>
      <x:c r="O312" s="51" t="str">
        <x:v>Financial; geopolitical; ownership</x:v>
      </x:c>
      <x:c r="P312" s="51" t="str">
        <x:v>E1</x:v>
      </x:c>
      <x:c r="Q312" s="51" t="str">
        <x:v>High</x:v>
      </x:c>
      <x:c r="R312" s="51" t="str">
        <x:v>SRC-420</x:v>
      </x:c>
      <x:c r="S312" s="51" t="str">
        <x:v>KIA joined AIP.</x:v>
      </x:c>
      <x:c r="T312" s="51" t="str">
        <x:v>Operational control of projects or model companies.</x:v>
      </x:c>
      <x:c r="U312" s="51" t="str">
        <x:v>Investment terms were not fully disclosed.</x:v>
      </x:c>
      <x:c r="V312" s="51" t="str">
        <x:v>Active</x:v>
      </x:c>
      <x:c r="W312" s="51" t="str">
        <x:v>45;57</x:v>
      </x:c>
      <x:c r="X312" s="51" t="str">
        <x:v>2026-07-27</x:v>
      </x:c>
    </x:row>
    <x:row r="313">
      <x:c r="A313" s="51" t="str">
        <x:v>FINAI-008</x:v>
      </x:c>
      <x:c r="B313" s="51" t="str">
        <x:v>AI infrastructure finance and ownership</x:v>
      </x:c>
      <x:c r="C313" s="51" t="str">
        <x:v>ACT-NVIDIA</x:v>
      </x:c>
      <x:c r="D313" s="51" t="str">
        <x:v>NVIDIA</x:v>
      </x:c>
      <x:c r="E313" s="51" t="str">
        <x:v>ACT-AIINFRASTRUCTUREPARTNERS</x:v>
      </x:c>
      <x:c r="F313" s="51" t="str">
        <x:v>AI Infrastructure Partnership</x:v>
      </x:c>
      <x:c r="G313" s="51" t="str">
        <x:v>Technology supplier → investment partnership</x:v>
      </x:c>
      <x:c r="H313" s="51" t="str">
        <x:v>2025 onward</x:v>
      </x:c>
      <x:c r="I313" s="51" t="str">
        <x:v>Technical partner and member</x:v>
      </x:c>
      <x:c r="J313" s="51" t="str">
        <x:v>INS-232</x:v>
      </x:c>
      <x:c r="K313" s="51" t="str">
        <x:v>Partnership-scale</x:v>
      </x:c>
      <x:c r="L313" s="51" t="str">
        <x:v>AI-factory architecture and ecosystem expertise</x:v>
      </x:c>
      <x:c r="M313" s="51" t="str">
        <x:v>Project design and technology alignment</x:v>
      </x:c>
      <x:c r="N313" s="51" t="str">
        <x:v>A dominant supplier can influence infrastructure standards through advisory and partnership roles without financing every asset</x:v>
      </x:c>
      <x:c r="O313" s="51" t="str">
        <x:v>Technological; relational; informational</x:v>
      </x:c>
      <x:c r="P313" s="51" t="str">
        <x:v>E1</x:v>
      </x:c>
      <x:c r="Q313" s="51" t="str">
        <x:v>High</x:v>
      </x:c>
      <x:c r="R313" s="51" t="str">
        <x:v>SRC-419</x:v>
      </x:c>
      <x:c r="S313" s="51" t="str">
        <x:v>NVIDIA joined AIP and provides technology expertise.</x:v>
      </x:c>
      <x:c r="T313" s="51" t="str">
        <x:v>Exclusive supply rights or ownership of all funded facilities.</x:v>
      </x:c>
      <x:c r="U313" s="51" t="str">
        <x:v>The partnership states an open architecture and broad ecosystem.</x:v>
      </x:c>
      <x:c r="V313" s="51" t="str">
        <x:v>Active</x:v>
      </x:c>
      <x:c r="W313" s="51" t="str">
        <x:v>45;57</x:v>
      </x:c>
      <x:c r="X313" s="51" t="str">
        <x:v>2026-07-27</x:v>
      </x:c>
    </x:row>
    <x:row r="314">
      <x:c r="A314" s="51" t="str">
        <x:v>FINAI-009</x:v>
      </x:c>
      <x:c r="B314" s="51" t="str">
        <x:v>AI infrastructure finance and ownership</x:v>
      </x:c>
      <x:c r="C314" s="51" t="str">
        <x:v>ACT-XAI</x:v>
      </x:c>
      <x:c r="D314" s="51" t="str">
        <x:v>xAI</x:v>
      </x:c>
      <x:c r="E314" s="51" t="str">
        <x:v>ACT-AIINFRASTRUCTUREPARTNERS</x:v>
      </x:c>
      <x:c r="F314" s="51" t="str">
        <x:v>AI Infrastructure Partnership</x:v>
      </x:c>
      <x:c r="G314" s="51" t="str">
        <x:v>Model/data-center company → partnership</x:v>
      </x:c>
      <x:c r="H314" s="51" t="str">
        <x:v>2025 onward</x:v>
      </x:c>
      <x:c r="I314" s="51" t="str">
        <x:v>Member and prospective infrastructure user</x:v>
      </x:c>
      <x:c r="J314" s="51" t="str">
        <x:v>INS-232</x:v>
      </x:c>
      <x:c r="K314" s="51" t="str">
        <x:v>Not publicly quantified</x:v>
      </x:c>
      <x:c r="L314" s="51" t="str">
        <x:v>Compute demand and operating experience</x:v>
      </x:c>
      <x:c r="M314" s="51" t="str">
        <x:v>Potential contracted demand and project pipeline</x:v>
      </x:c>
      <x:c r="N314" s="51" t="str">
        <x:v>A large model customer can improve infrastructure bankability by providing future tenancy demand</x:v>
      </x:c>
      <x:c r="O314" s="51" t="str">
        <x:v>Financial; technological; relational</x:v>
      </x:c>
      <x:c r="P314" s="51" t="str">
        <x:v>S1</x:v>
      </x:c>
      <x:c r="Q314" s="51" t="str">
        <x:v>Moderate</x:v>
      </x:c>
      <x:c r="R314" s="51" t="str">
        <x:v>SRC-419</x:v>
      </x:c>
      <x:c r="S314" s="51" t="str">
        <x:v>xAI joined AIP.</x:v>
      </x:c>
      <x:c r="T314" s="51" t="str">
        <x:v>A disclosed binding offtake contract with AIP projects.</x:v>
      </x:c>
      <x:c r="U314" s="51" t="str">
        <x:v>Specific project commitments were not disclosed.</x:v>
      </x:c>
      <x:c r="V314" s="51" t="str">
        <x:v>Active membership</x:v>
      </x:c>
      <x:c r="W314" s="51" t="str">
        <x:v>45;57</x:v>
      </x:c>
      <x:c r="X314" s="51" t="str">
        <x:v>2026-07-27</x:v>
      </x:c>
    </x:row>
    <x:row r="315">
      <x:c r="A315" s="51" t="str">
        <x:v>FTX-001</x:v>
      </x:c>
      <x:c r="B315" s="51" t="str">
        <x:v>Tax architecture and profit allocation</x:v>
      </x:c>
      <x:c r="C315" s="51" t="str">
        <x:v>ACT-OECDG20INCLUSIVEFRAMEWOR</x:v>
      </x:c>
      <x:c r="D315" s="51" t="str">
        <x:v>OECD/G20 Inclusive Framework on BEPS</x:v>
      </x:c>
      <x:c r="E315" s="51" t="str">
        <x:v>ACT-GLOBALANTIBASEEROSIONRUL</x:v>
      </x:c>
      <x:c r="F315" s="51" t="str">
        <x:v>Global Anti-Base Erosion Rules</x:v>
      </x:c>
      <x:c r="G315" s="51" t="str">
        <x:v>Coordination body → framework</x:v>
      </x:c>
      <x:c r="H315" s="51" t="str">
        <x:v>2021–present</x:v>
      </x:c>
      <x:c r="I315" s="51" t="str">
        <x:v>Model rules, guidance and peer implementation</x:v>
      </x:c>
      <x:c r="J315" s="51" t="str">
        <x:v>INS-133</x:v>
      </x:c>
      <x:c r="K315" s="51" t="str">
        <x:v>15% minimum effective tax framework</x:v>
      </x:c>
      <x:c r="L315" s="51" t="str">
        <x:v>Jurisdictional tax-base concerns and member consensus</x:v>
      </x:c>
      <x:c r="M315" s="51" t="str">
        <x:v>Common top-up tax architecture</x:v>
      </x:c>
      <x:c r="N315" s="51" t="str">
        <x:v>International coordination converts separate national tax systems into a partially harmonised minimum-tax layer</x:v>
      </x:c>
      <x:c r="O315" s="51" t="str">
        <x:v>Institutional; financial; informational</x:v>
      </x:c>
      <x:c r="P315" s="51" t="str">
        <x:v>E1</x:v>
      </x:c>
      <x:c r="Q315" s="51" t="str">
        <x:v>Very high</x:v>
      </x:c>
      <x:c r="R315" s="51" t="str">
        <x:v>SRC-250; SRC-251</x:v>
      </x:c>
      <x:c r="S315" s="51" t="str">
        <x:v>The Inclusive Framework developed and updates Pillar Two rules and implementation guidance.</x:v>
      </x:c>
      <x:c r="T315" s="51" t="str">
        <x:v>Uniform domestic law, universal participation or identical enforcement.</x:v>
      </x:c>
      <x:c r="U315" s="51" t="str">
        <x:v>Implementation dates, safe harbours and qualified status vary by jurisdiction.</x:v>
      </x:c>
      <x:c r="V315" s="51" t="str">
        <x:v>Active implementation</x:v>
      </x:c>
      <x:c r="W315" s="51" t="str">
        <x:v>38;57</x:v>
      </x:c>
      <x:c r="X315" s="51" t="str">
        <x:v>2026-07-27</x:v>
      </x:c>
    </x:row>
    <x:row r="316">
      <x:c r="A316" s="51" t="str">
        <x:v>FTX-002</x:v>
      </x:c>
      <x:c r="B316" s="51" t="str">
        <x:v>Tax architecture and profit allocation</x:v>
      </x:c>
      <x:c r="C316" s="51" t="str">
        <x:v>ACT-GLOBALANTIBASEEROSIONRUL</x:v>
      </x:c>
      <x:c r="D316" s="51" t="str">
        <x:v>Global Anti-Base Erosion Rules</x:v>
      </x:c>
      <x:c r="E316" s="51" t="str">
        <x:v>ACT-LARGEMULTINATIONALENTERP</x:v>
      </x:c>
      <x:c r="F316" s="51" t="str">
        <x:v>Large multinational enterprise groups</x:v>
      </x:c>
      <x:c r="G316" s="51" t="str">
        <x:v>Framework → corporate groups</x:v>
      </x:c>
      <x:c r="H316" s="51" t="str">
        <x:v>Jurisdiction-specific implementation</x:v>
      </x:c>
      <x:c r="I316" s="51" t="str">
        <x:v>Top-up tax and compliance obligations</x:v>
      </x:c>
      <x:c r="J316" s="51" t="str">
        <x:v>INS-133</x:v>
      </x:c>
      <x:c r="K316" s="51" t="str">
        <x:v>In-scope groups under domestic implementing law</x:v>
      </x:c>
      <x:c r="L316" s="51" t="str">
        <x:v>Low-taxed jurisdictional income</x:v>
      </x:c>
      <x:c r="M316" s="51" t="str">
        <x:v>Additional tax liability or restructuring of profit location</x:v>
      </x:c>
      <x:c r="N316" s="51" t="str">
        <x:v>A minimum-tax rule changes the after-tax return to locating income in low-tax jurisdictions</x:v>
      </x:c>
      <x:c r="O316" s="51" t="str">
        <x:v>Financial; institutional; enforcement</x:v>
      </x:c>
      <x:c r="P316" s="51" t="str">
        <x:v>E1</x:v>
      </x:c>
      <x:c r="Q316" s="51" t="str">
        <x:v>High</x:v>
      </x:c>
      <x:c r="R316" s="51" t="str">
        <x:v>SRC-250; SRC-252</x:v>
      </x:c>
      <x:c r="S316" s="51" t="str">
        <x:v>Pillar Two is designed to apply a minimum effective tax framework to in-scope groups.</x:v>
      </x:c>
      <x:c r="T316" s="51" t="str">
        <x:v>A single global tax collector or elimination of all tax competition.</x:v>
      </x:c>
      <x:c r="U316" s="51" t="str">
        <x:v>Substance carve-outs, credits, elections and local implementation affect outcomes.</x:v>
      </x:c>
      <x:c r="V316" s="51" t="str">
        <x:v>Implementation varies</x:v>
      </x:c>
      <x:c r="W316" s="51" t="str">
        <x:v>38;57</x:v>
      </x:c>
      <x:c r="X316" s="51" t="str">
        <x:v>2026-07-27</x:v>
      </x:c>
    </x:row>
    <x:row r="317">
      <x:c r="A317" s="51" t="str">
        <x:v>FTX-003</x:v>
      </x:c>
      <x:c r="B317" s="51" t="str">
        <x:v>Tax architecture and profit allocation</x:v>
      </x:c>
      <x:c r="C317" s="51" t="str">
        <x:v>ACT-GLOBALMINIMUMTAXCENTRALR</x:v>
      </x:c>
      <x:c r="D317" s="51" t="str">
        <x:v>Global Minimum Tax Central Record</x:v>
      </x:c>
      <x:c r="E317" s="51" t="str">
        <x:v>ACT-TAXADMINISTRATIONS</x:v>
      </x:c>
      <x:c r="F317" s="51" t="str">
        <x:v>Tax administrations</x:v>
      </x:c>
      <x:c r="G317" s="51" t="str">
        <x:v>Registry → authorities</x:v>
      </x:c>
      <x:c r="H317" s="51" t="str">
        <x:v>Current 2026</x:v>
      </x:c>
      <x:c r="I317" s="51" t="str">
        <x:v>Qualified-status information</x:v>
      </x:c>
      <x:c r="J317" s="51" t="str">
        <x:v>INS-133</x:v>
      </x:c>
      <x:c r="K317" s="51" t="str">
        <x:v>Jurisdiction-specific</x:v>
      </x:c>
      <x:c r="L317" s="51" t="str">
        <x:v>Domestic implementing legislation</x:v>
      </x:c>
      <x:c r="M317" s="51" t="str">
        <x:v>Comparable status information for rule coordination</x:v>
      </x:c>
      <x:c r="N317" s="51" t="str">
        <x:v>A central record lowers uncertainty about whether another jurisdiction's rules receive recognised treatment</x:v>
      </x:c>
      <x:c r="O317" s="51" t="str">
        <x:v>Informational; institutional</x:v>
      </x:c>
      <x:c r="P317" s="51" t="str">
        <x:v>E1</x:v>
      </x:c>
      <x:c r="Q317" s="51" t="str">
        <x:v>High</x:v>
      </x:c>
      <x:c r="R317" s="51" t="str">
        <x:v>SRC-252</x:v>
      </x:c>
      <x:c r="S317" s="51" t="str">
        <x:v>OECD maintains a central implementation record for Pillar Two purposes.</x:v>
      </x:c>
      <x:c r="T317" s="51" t="str">
        <x:v>Binding adjudication of domestic tax disputes.</x:v>
      </x:c>
      <x:c r="U317" s="51" t="str">
        <x:v>The record applies transitional qualified status under defined processes.</x:v>
      </x:c>
      <x:c r="V317" s="51" t="str">
        <x:v>Active</x:v>
      </x:c>
      <x:c r="W317" s="51" t="str">
        <x:v>38;57</x:v>
      </x:c>
      <x:c r="X317" s="51" t="str">
        <x:v>2026-07-27</x:v>
      </x:c>
    </x:row>
    <x:row r="318">
      <x:c r="A318" s="51" t="str">
        <x:v>FTX-004</x:v>
      </x:c>
      <x:c r="B318" s="51" t="str">
        <x:v>Tax architecture and profit allocation</x:v>
      </x:c>
      <x:c r="C318" s="51" t="str">
        <x:v>ACT-INTERNALREVENUESERVICE</x:v>
      </x:c>
      <x:c r="D318" s="51" t="str">
        <x:v>Internal Revenue Service</x:v>
      </x:c>
      <x:c r="E318" s="51" t="str">
        <x:v>ACT-FORM8975COUNTRYBYCOUNTRY</x:v>
      </x:c>
      <x:c r="F318" s="51" t="str">
        <x:v>Form 8975 Country-by-Country Report</x:v>
      </x:c>
      <x:c r="G318" s="51" t="str">
        <x:v>Authority → reporting instrument</x:v>
      </x:c>
      <x:c r="H318" s="51" t="str">
        <x:v>Current 2026</x:v>
      </x:c>
      <x:c r="I318" s="51" t="str">
        <x:v>Tax form administration</x:v>
      </x:c>
      <x:c r="J318" s="51" t="str">
        <x:v>INS-134</x:v>
      </x:c>
      <x:c r="K318" s="51" t="str">
        <x:v>$850 million prior-period revenue threshold</x:v>
      </x:c>
      <x:c r="L318" s="51" t="str">
        <x:v>US multinational reporting authority</x:v>
      </x:c>
      <x:c r="M318" s="51" t="str">
        <x:v>Standardised jurisdiction-by-jurisdiction report</x:v>
      </x:c>
      <x:c r="N318" s="51" t="str">
        <x:v>The tax authority converts multinational accounts into a comparable geographic risk dataset</x:v>
      </x:c>
      <x:c r="O318" s="51" t="str">
        <x:v>Informational; institutional; enforcement</x:v>
      </x:c>
      <x:c r="P318" s="51" t="str">
        <x:v>E1</x:v>
      </x:c>
      <x:c r="Q318" s="51" t="str">
        <x:v>Very high</x:v>
      </x:c>
      <x:c r="R318" s="51" t="str">
        <x:v>SRC-253; SRC-254</x:v>
      </x:c>
      <x:c r="S318" s="51" t="str">
        <x:v>The IRS requires qualifying US ultimate parent entities to file Form 8975.</x:v>
      </x:c>
      <x:c r="T318" s="51" t="str">
        <x:v>Public disclosure of company-level reports or proof of tax avoidance.</x:v>
      </x:c>
      <x:c r="U318" s="51" t="str">
        <x:v>CbC reports are primarily exchanged among tax administrations and used for risk assessment.</x:v>
      </x:c>
      <x:c r="V318" s="51" t="str">
        <x:v>Active</x:v>
      </x:c>
      <x:c r="W318" s="51" t="str">
        <x:v>38;57</x:v>
      </x:c>
      <x:c r="X318" s="51" t="str">
        <x:v>2026-07-27</x:v>
      </x:c>
    </x:row>
    <x:row r="319">
      <x:c r="A319" s="51" t="str">
        <x:v>FTX-005</x:v>
      </x:c>
      <x:c r="B319" s="51" t="str">
        <x:v>Tax architecture and profit allocation</x:v>
      </x:c>
      <x:c r="C319" s="51" t="str">
        <x:v>ACT-LARGEMULTINATIONALENTERP</x:v>
      </x:c>
      <x:c r="D319" s="51" t="str">
        <x:v>Large multinational enterprise groups</x:v>
      </x:c>
      <x:c r="E319" s="51" t="str">
        <x:v>ACT-FORM8975COUNTRYBYCOUNTRY</x:v>
      </x:c>
      <x:c r="F319" s="51" t="str">
        <x:v>Form 8975 Country-by-Country Report</x:v>
      </x:c>
      <x:c r="G319" s="51" t="str">
        <x:v>Corporate group → report</x:v>
      </x:c>
      <x:c r="H319" s="51" t="str">
        <x:v>Annual</x:v>
      </x:c>
      <x:c r="I319" s="51" t="str">
        <x:v>Mandatory tax information filing</x:v>
      </x:c>
      <x:c r="J319" s="51" t="str">
        <x:v>INS-134</x:v>
      </x:c>
      <x:c r="K319" s="51" t="str">
        <x:v>Qualifying US-headed groups</x:v>
      </x:c>
      <x:c r="L319" s="51" t="str">
        <x:v>Revenue, profit, tax, employees and tangible assets</x:v>
      </x:c>
      <x:c r="M319" s="51" t="str">
        <x:v>Jurisdiction-level reporting package</x:v>
      </x:c>
      <x:c r="N319" s="51" t="str">
        <x:v>Country reporting makes the geography of accounting profit and economic indicators more legible to tax authorities</x:v>
      </x:c>
      <x:c r="O319" s="51" t="str">
        <x:v>Informational; financial</x:v>
      </x:c>
      <x:c r="P319" s="51" t="str">
        <x:v>E1</x:v>
      </x:c>
      <x:c r="Q319" s="51" t="str">
        <x:v>Very high</x:v>
      </x:c>
      <x:c r="R319" s="51" t="str">
        <x:v>SRC-253; SRC-258</x:v>
      </x:c>
      <x:c r="S319" s="51" t="str">
        <x:v>CbC reports include specified jurisdictional financial and activity indicators.</x:v>
      </x:c>
      <x:c r="T319" s="51" t="str">
        <x:v>Transaction-level transfer prices, beneficial ownership or final audit conclusions.</x:v>
      </x:c>
      <x:c r="U319" s="51" t="str">
        <x:v>Aggregated jurisdiction data may obscure entity and transaction details.</x:v>
      </x:c>
      <x:c r="V319" s="51" t="str">
        <x:v>Active</x:v>
      </x:c>
      <x:c r="W319" s="51" t="str">
        <x:v>38;57</x:v>
      </x:c>
      <x:c r="X319" s="51" t="str">
        <x:v>2026-07-27</x:v>
      </x:c>
    </x:row>
    <x:row r="320">
      <x:c r="A320" s="51" t="str">
        <x:v>FTX-006</x:v>
      </x:c>
      <x:c r="B320" s="51" t="str">
        <x:v>Tax architecture and profit allocation</x:v>
      </x:c>
      <x:c r="C320" s="51" t="str">
        <x:v>ACT-FORM8975COUNTRYBYCOUNTRY</x:v>
      </x:c>
      <x:c r="D320" s="51" t="str">
        <x:v>Form 8975 Country-by-Country Report</x:v>
      </x:c>
      <x:c r="E320" s="51" t="str">
        <x:v>ACT-TAXADMINISTRATIONS</x:v>
      </x:c>
      <x:c r="F320" s="51" t="str">
        <x:v>Tax administrations</x:v>
      </x:c>
      <x:c r="G320" s="51" t="str">
        <x:v>Report → authorities</x:v>
      </x:c>
      <x:c r="H320" s="51" t="str">
        <x:v>Annual exchange</x:v>
      </x:c>
      <x:c r="I320" s="51" t="str">
        <x:v>Tax information exchange and risk analysis</x:v>
      </x:c>
      <x:c r="J320" s="51" t="str">
        <x:v>INS-134</x:v>
      </x:c>
      <x:c r="K320" s="51" t="str">
        <x:v>International tax administration network</x:v>
      </x:c>
      <x:c r="L320" s="51" t="str">
        <x:v>Standardised multinational data</x:v>
      </x:c>
      <x:c r="M320" s="51" t="str">
        <x:v>Audit selection and transfer-pricing risk indicators</x:v>
      </x:c>
      <x:c r="N320" s="51" t="str">
        <x:v>Information exchange gives tax authorities a cross-border view unavailable from a domestic return alone</x:v>
      </x:c>
      <x:c r="O320" s="51" t="str">
        <x:v>Informational; institutional; enforcement</x:v>
      </x:c>
      <x:c r="P320" s="51" t="str">
        <x:v>E1</x:v>
      </x:c>
      <x:c r="Q320" s="51" t="str">
        <x:v>High</x:v>
      </x:c>
      <x:c r="R320" s="51" t="str">
        <x:v>SRC-254; SRC-258</x:v>
      </x:c>
      <x:c r="S320" s="51" t="str">
        <x:v>CbC reports are exchanged under competent-authority arrangements and used for risk analysis.</x:v>
      </x:c>
      <x:c r="T320" s="51" t="str">
        <x:v>Automatic tax assessment or public access.</x:v>
      </x:c>
      <x:c r="U320" s="51" t="str">
        <x:v>Authorities require further examination before adjustment.</x:v>
      </x:c>
      <x:c r="V320" s="51" t="str">
        <x:v>Active</x:v>
      </x:c>
      <x:c r="W320" s="51" t="str">
        <x:v>38;57</x:v>
      </x:c>
      <x:c r="X320" s="51" t="str">
        <x:v>2026-07-27</x:v>
      </x:c>
    </x:row>
    <x:row r="321">
      <x:c r="A321" s="51" t="str">
        <x:v>FTX-007</x:v>
      </x:c>
      <x:c r="B321" s="51" t="str">
        <x:v>Tax architecture and profit allocation</x:v>
      </x:c>
      <x:c r="C321" s="51" t="str">
        <x:v>ACT-IRCSECTION482</x:v>
      </x:c>
      <x:c r="D321" s="51" t="str">
        <x:v>IRC Section 482</x:v>
      </x:c>
      <x:c r="E321" s="51" t="str">
        <x:v>ACT-RELATEDPARTYENTITIES</x:v>
      </x:c>
      <x:c r="F321" s="51" t="str">
        <x:v>Related-party entities</x:v>
      </x:c>
      <x:c r="G321" s="51" t="str">
        <x:v>Legal framework → controlled parties</x:v>
      </x:c>
      <x:c r="H321" s="51" t="str">
        <x:v>Current</x:v>
      </x:c>
      <x:c r="I321" s="51" t="str">
        <x:v>Arm's-length pricing requirement</x:v>
      </x:c>
      <x:c r="J321" s="51" t="str">
        <x:v>INS-135</x:v>
      </x:c>
      <x:c r="K321" s="51" t="str">
        <x:v>Transaction-specific</x:v>
      </x:c>
      <x:c r="L321" s="51" t="str">
        <x:v>Controlled cross-border and domestic transactions</x:v>
      </x:c>
      <x:c r="M321" s="51" t="str">
        <x:v>Taxable prices and income allocations</x:v>
      </x:c>
      <x:c r="N321" s="51" t="str">
        <x:v>Transfer-pricing law converts a related-party contract into a tax value benchmarked against uncontrolled conduct</x:v>
      </x:c>
      <x:c r="O321" s="51" t="str">
        <x:v>Financial; informational; enforcement</x:v>
      </x:c>
      <x:c r="P321" s="51" t="str">
        <x:v>E1</x:v>
      </x:c>
      <x:c r="Q321" s="51" t="str">
        <x:v>Very high</x:v>
      </x:c>
      <x:c r="R321" s="51" t="str">
        <x:v>SRC-255; SRC-256</x:v>
      </x:c>
      <x:c r="S321" s="51" t="str">
        <x:v>Section 482 and regulations apply the arm's-length standard to controlled transactions.</x:v>
      </x:c>
      <x:c r="T321" s="51" t="str">
        <x:v>A uniquely observable market price in every case.</x:v>
      </x:c>
      <x:c r="U321" s="51" t="str">
        <x:v>Intangibles and integrated operations require judgment and comparability analysis.</x:v>
      </x:c>
      <x:c r="V321" s="51" t="str">
        <x:v>Active</x:v>
      </x:c>
      <x:c r="W321" s="51" t="str">
        <x:v>38;57</x:v>
      </x:c>
      <x:c r="X321" s="51" t="str">
        <x:v>2026-07-27</x:v>
      </x:c>
    </x:row>
    <x:row r="322">
      <x:c r="A322" s="51" t="str">
        <x:v>FTX-008</x:v>
      </x:c>
      <x:c r="B322" s="51" t="str">
        <x:v>Tax architecture and profit allocation</x:v>
      </x:c>
      <x:c r="C322" s="51" t="str">
        <x:v>ACT-INTERNALREVENUESERVICE</x:v>
      </x:c>
      <x:c r="D322" s="51" t="str">
        <x:v>Internal Revenue Service</x:v>
      </x:c>
      <x:c r="E322" s="51" t="str">
        <x:v>ACT-RELATEDPARTYENTITIES</x:v>
      </x:c>
      <x:c r="F322" s="51" t="str">
        <x:v>Related-party entities</x:v>
      </x:c>
      <x:c r="G322" s="51" t="str">
        <x:v>Authority → taxpayers</x:v>
      </x:c>
      <x:c r="H322" s="51" t="str">
        <x:v>Audit-specific</x:v>
      </x:c>
      <x:c r="I322" s="51" t="str">
        <x:v>Income and deduction reallocation</x:v>
      </x:c>
      <x:c r="J322" s="51" t="str">
        <x:v>INS-135</x:v>
      </x:c>
      <x:c r="K322" s="51" t="str">
        <x:v>Case-specific</x:v>
      </x:c>
      <x:c r="L322" s="51" t="str">
        <x:v>Tax returns, documentation and comparables</x:v>
      </x:c>
      <x:c r="M322" s="51" t="str">
        <x:v>Proposed adjustment, penalty or dispute</x:v>
      </x:c>
      <x:c r="N322" s="51" t="str">
        <x:v>A tax authority can reallocate income among commonly controlled entities to reflect arm's-length results</x:v>
      </x:c>
      <x:c r="O322" s="51" t="str">
        <x:v>Financial; enforcement; informational</x:v>
      </x:c>
      <x:c r="P322" s="51" t="str">
        <x:v>E1</x:v>
      </x:c>
      <x:c r="Q322" s="51" t="str">
        <x:v>High</x:v>
      </x:c>
      <x:c r="R322" s="51" t="str">
        <x:v>SRC-255; SRC-256</x:v>
      </x:c>
      <x:c r="S322" s="51" t="str">
        <x:v>IRS guidance states that it may adjust controlled transaction results under Section 482.</x:v>
      </x:c>
      <x:c r="T322" s="51" t="str">
        <x:v>Wrongdoing by every multinational group or certainty of final collection.</x:v>
      </x:c>
      <x:c r="U322" s="51" t="str">
        <x:v>Taxpayers may challenge adjustments administratively and judicially.</x:v>
      </x:c>
      <x:c r="V322" s="51" t="str">
        <x:v>Active</x:v>
      </x:c>
      <x:c r="W322" s="51" t="str">
        <x:v>38;57</x:v>
      </x:c>
      <x:c r="X322" s="51" t="str">
        <x:v>2026-07-27</x:v>
      </x:c>
    </x:row>
    <x:row r="323">
      <x:c r="A323" s="51" t="str">
        <x:v>FTX-009</x:v>
      </x:c>
      <x:c r="B323" s="51" t="str">
        <x:v>Tax architecture and profit allocation</x:v>
      </x:c>
      <x:c r="C323" s="51" t="str">
        <x:v>ACT-LARGEMULTINATIONALENTERP</x:v>
      </x:c>
      <x:c r="D323" s="51" t="str">
        <x:v>Large multinational enterprise groups</x:v>
      </x:c>
      <x:c r="E323" s="51" t="str">
        <x:v>ACT-TAXADMINISTRATIONS</x:v>
      </x:c>
      <x:c r="F323" s="51" t="str">
        <x:v>Tax administrations</x:v>
      </x:c>
      <x:c r="G323" s="51" t="str">
        <x:v>Corporate groups → jurisdictions</x:v>
      </x:c>
      <x:c r="H323" s="51" t="str">
        <x:v>Ongoing</x:v>
      </x:c>
      <x:c r="I323" s="51" t="str">
        <x:v>Transfer-pricing documentation and dispute relationship</x:v>
      </x:c>
      <x:c r="J323" s="51" t="str">
        <x:v>INS-134; INS-135</x:v>
      </x:c>
      <x:c r="K323" s="51" t="str">
        <x:v>Global</x:v>
      </x:c>
      <x:c r="L323" s="51" t="str">
        <x:v>Related-party contracts and accounting allocations</x:v>
      </x:c>
      <x:c r="M323" s="51" t="str">
        <x:v>Taxable income allocated across jurisdictions</x:v>
      </x:c>
      <x:c r="N323" s="51" t="str">
        <x:v>Corporate internal prices influence where profits and deductions appear, subject to law and audit</x:v>
      </x:c>
      <x:c r="O323" s="51" t="str">
        <x:v>Financial; informational; relational</x:v>
      </x:c>
      <x:c r="P323" s="51" t="str">
        <x:v>S1</x:v>
      </x:c>
      <x:c r="Q323" s="51" t="str">
        <x:v>High</x:v>
      </x:c>
      <x:c r="R323" s="51" t="str">
        <x:v>SRC-255; SRC-257; SRC-258</x:v>
      </x:c>
      <x:c r="S323" s="51" t="str">
        <x:v>Transfer-pricing and CbC regimes exist because internal allocations affect national tax bases.</x:v>
      </x:c>
      <x:c r="T323" s="51" t="str">
        <x:v>That all cross-border related-party pricing is abusive.</x:v>
      </x:c>
      <x:c r="U323" s="51" t="str">
        <x:v>Many internal transactions are commercially necessary and may be arm's length.</x:v>
      </x:c>
      <x:c r="V323" s="51" t="str">
        <x:v>Active mechanism</x:v>
      </x:c>
      <x:c r="W323" s="51" t="str">
        <x:v>38;57</x:v>
      </x:c>
      <x:c r="X323" s="51" t="str">
        <x:v>2026-07-27</x:v>
      </x:c>
    </x:row>
    <x:row r="324">
      <x:c r="A324" s="51" t="str">
        <x:v>FTX-010</x:v>
      </x:c>
      <x:c r="B324" s="51" t="str">
        <x:v>Tax architecture and profit allocation</x:v>
      </x:c>
      <x:c r="C324" s="51" t="str">
        <x:v>ACT-TAXADMINISTRATIONS</x:v>
      </x:c>
      <x:c r="D324" s="51" t="str">
        <x:v>Tax administrations</x:v>
      </x:c>
      <x:c r="E324" s="51" t="str">
        <x:v>ACT-LARGEMULTINATIONALENTERP</x:v>
      </x:c>
      <x:c r="F324" s="51" t="str">
        <x:v>Large multinational enterprise groups</x:v>
      </x:c>
      <x:c r="G324" s="51" t="str">
        <x:v>Authorities → groups</x:v>
      </x:c>
      <x:c r="H324" s="51" t="str">
        <x:v>Ongoing</x:v>
      </x:c>
      <x:c r="I324" s="51" t="str">
        <x:v>Audit, competent-authority and dispute-resolution process</x:v>
      </x:c>
      <x:c r="J324" s="51" t="str">
        <x:v>INS-133; INS-134; INS-135</x:v>
      </x:c>
      <x:c r="K324" s="51" t="str">
        <x:v>Jurisdiction-specific</x:v>
      </x:c>
      <x:c r="L324" s="51" t="str">
        <x:v>Returns, reports and domestic law</x:v>
      </x:c>
      <x:c r="M324" s="51" t="str">
        <x:v>Assessment, agreement, refund or double-tax relief</x:v>
      </x:c>
      <x:c r="N324" s="51" t="str">
        <x:v>Multiple tax authorities bargain over the same multinational income, creating both enforcement and double-tax risk</x:v>
      </x:c>
      <x:c r="O324" s="51" t="str">
        <x:v>Financial; institutional; relational</x:v>
      </x:c>
      <x:c r="P324" s="51" t="str">
        <x:v>S1</x:v>
      </x:c>
      <x:c r="Q324" s="51" t="str">
        <x:v>High</x:v>
      </x:c>
      <x:c r="R324" s="51" t="str">
        <x:v>SRC-251; SRC-257</x:v>
      </x:c>
      <x:c r="S324" s="51" t="str">
        <x:v>Implementation toolkits and transfer-pricing systems include administration and dispute processes.</x:v>
      </x:c>
      <x:c r="T324" s="51" t="str">
        <x:v>A single coordinated outcome in every case.</x:v>
      </x:c>
      <x:c r="U324" s="51" t="str">
        <x:v>National incentives and legal procedures can conflict.</x:v>
      </x:c>
      <x:c r="V324" s="51" t="str">
        <x:v>Active</x:v>
      </x:c>
      <x:c r="W324" s="51" t="str">
        <x:v>38;57</x:v>
      </x:c>
      <x:c r="X324" s="51" t="str">
        <x:v>2026-07-27</x:v>
      </x:c>
    </x:row>
    <x:row r="325">
      <x:c r="A325" s="51" t="str">
        <x:v>GAT-001</x:v>
      </x:c>
      <x:c r="B325" s="51" t="str">
        <x:v>Philanthropy and elite brokerage</x:v>
      </x:c>
      <x:c r="C325" s="51" t="str">
        <x:v>ACT-BILLGATES</x:v>
      </x:c>
      <x:c r="D325" s="51" t="str">
        <x:v>Bill Gates</x:v>
      </x:c>
      <x:c r="E325" s="51" t="str">
        <x:v>ACT-JEFFREYEPSTEIN</x:v>
      </x:c>
      <x:c r="F325" s="51" t="str">
        <x:v>Jeffrey Epstein</x:v>
      </x:c>
      <x:c r="G325" s="51" t="str">
        <x:v>Bidirectional</x:v>
      </x:c>
      <x:c r="H325" s="51" t="str">
        <x:v>2011–2014</x:v>
      </x:c>
      <x:c r="I325" s="51" t="str">
        <x:v>Documented meetings and philanthropy discussions</x:v>
      </x:c>
      <x:c r="J325" s="51" t="str"/>
      <x:c r="K325" s="51" t="str">
        <x:v>Approximately 30 Foundation-related meetings across ten staff/leaders reported</x:v>
      </x:c>
      <x:c r="L325" s="51" t="str">
        <x:v>Philanthropic capital, reputation and introductions</x:v>
      </x:c>
      <x:c r="M325" s="51" t="str">
        <x:v>Proposed donor fund and elite access</x:v>
      </x:c>
      <x:c r="N325" s="51" t="str">
        <x:v>Epstein attempted to convert social brokerage into a role in large-scale philanthropy</x:v>
      </x:c>
      <x:c r="O325" s="51" t="str">
        <x:v>Relational; financial; narrative</x:v>
      </x:c>
      <x:c r="P325" s="51" t="str">
        <x:v>E1</x:v>
      </x:c>
      <x:c r="Q325" s="51" t="str">
        <x:v>Very high</x:v>
      </x:c>
      <x:c r="R325" s="51" t="str">
        <x:v>SRC-058; SRC-059; SRC-060; SRC-607; SRC-608; SRC-635; SRC-636</x:v>
      </x:c>
      <x:c r="S325" s="51" t="str">
        <x:v>The official external review identified roughly 30 meetings involving Epstein and ten foundation leaders or staff, including Bill Gates, from 2011 to 2014.</x:v>
      </x:c>
      <x:c r="T325" s="51" t="str">
        <x:v>Participation in, knowledge of, or assistance to Epstein's criminal activity.</x:v>
      </x:c>
      <x:c r="U325" s="51" t="str">
        <x:v>The review found no evidence of illegal conduct in the foundation meetings and did not review Gates's personal communications or separate Gates entities.</x:v>
      </x:c>
      <x:c r="V325" s="51" t="str">
        <x:v>Historical</x:v>
      </x:c>
      <x:c r="W325" s="51" t="str">
        <x:v>53;57</x:v>
      </x:c>
      <x:c r="X325" s="51" t="str">
        <x:v>2026-07-27</x:v>
      </x:c>
    </x:row>
    <x:row r="326">
      <x:c r="A326" s="51" t="str">
        <x:v>GAT-002</x:v>
      </x:c>
      <x:c r="B326" s="51" t="str">
        <x:v>Philanthropy and elite brokerage</x:v>
      </x:c>
      <x:c r="C326" s="51" t="str">
        <x:v>ACT-GATESFOUNDATION</x:v>
      </x:c>
      <x:c r="D326" s="51" t="str">
        <x:v>Gates Foundation</x:v>
      </x:c>
      <x:c r="E326" s="51" t="str">
        <x:v>ACT-JEFFREYEPSTEIN</x:v>
      </x:c>
      <x:c r="F326" s="51" t="str">
        <x:v>Jeffrey Epstein</x:v>
      </x:c>
      <x:c r="G326" s="51" t="str">
        <x:v>Institution ↔ broker</x:v>
      </x:c>
      <x:c r="H326" s="51" t="str">
        <x:v>2011–2014</x:v>
      </x:c>
      <x:c r="I326" s="51" t="str">
        <x:v>Proposed philanthropy and donor-advised-fund discussions</x:v>
      </x:c>
      <x:c r="J326" s="51" t="str">
        <x:v>INS-045</x:v>
      </x:c>
      <x:c r="K326" s="51" t="str">
        <x:v>No payment to Epstein found</x:v>
      </x:c>
      <x:c r="L326" s="51" t="str">
        <x:v>Foundation scale and global-health projects</x:v>
      </x:c>
      <x:c r="M326" s="51" t="str">
        <x:v>Potential donor aggregation and introductions</x:v>
      </x:c>
      <x:c r="N326" s="51" t="str">
        <x:v>A broker seeks institutional legitimacy by placing himself between donors and a prestigious foundation</x:v>
      </x:c>
      <x:c r="O326" s="51" t="str">
        <x:v>Relational; financial; narrative</x:v>
      </x:c>
      <x:c r="P326" s="51" t="str">
        <x:v>E1</x:v>
      </x:c>
      <x:c r="Q326" s="51" t="str">
        <x:v>Very high</x:v>
      </x:c>
      <x:c r="R326" s="51" t="str">
        <x:v>SRC-058; SRC-060; SRC-607; SRC-608</x:v>
      </x:c>
      <x:c r="S326" s="51" t="str">
        <x:v>Foundation engagement concerned a proposed donor-advised fund and an introduction to the International Peace Institute; the review found no Foundation payment to Epstein.</x:v>
      </x:c>
      <x:c r="T326" s="51" t="str">
        <x:v>Foundation participation in or knowledge of Epstein's sex-trafficking activity.</x:v>
      </x:c>
      <x:c r="U326" s="51" t="str">
        <x:v>The proposed fund did not materialise.</x:v>
      </x:c>
      <x:c r="V326" s="51" t="str">
        <x:v>Historical</x:v>
      </x:c>
      <x:c r="W326" s="51" t="str">
        <x:v>53;57</x:v>
      </x:c>
      <x:c r="X326" s="51" t="str">
        <x:v>2026-07-27</x:v>
      </x:c>
    </x:row>
    <x:row r="327">
      <x:c r="A327" s="51" t="str">
        <x:v>GAT-003</x:v>
      </x:c>
      <x:c r="B327" s="51" t="str">
        <x:v>Philanthropy and elite brokerage</x:v>
      </x:c>
      <x:c r="C327" s="51" t="str">
        <x:v>ACT-GATESFOUNDATION</x:v>
      </x:c>
      <x:c r="D327" s="51" t="str">
        <x:v>Gates Foundation</x:v>
      </x:c>
      <x:c r="E327" s="51" t="str">
        <x:v>ACT-INTERNATIONALPEACEINSTIT</x:v>
      </x:c>
      <x:c r="F327" s="51" t="str">
        <x:v>International Peace Institute</x:v>
      </x:c>
      <x:c r="G327" s="51" t="str">
        <x:v>Foundation → nonprofit</x:v>
      </x:c>
      <x:c r="H327" s="51" t="str">
        <x:v>2010s</x:v>
      </x:c>
      <x:c r="I327" s="51" t="str">
        <x:v>Polio-eradication funding relationship</x:v>
      </x:c>
      <x:c r="J327" s="51" t="str"/>
      <x:c r="K327" s="51" t="str">
        <x:v>Amount not specified in source summary</x:v>
      </x:c>
      <x:c r="L327" s="51" t="str">
        <x:v>Global-health funding</x:v>
      </x:c>
      <x:c r="M327" s="51" t="str">
        <x:v>Programme support through institution linked to Epstein discussions</x:v>
      </x:c>
      <x:c r="N327" s="51" t="str">
        <x:v>Philanthropic money is routed through established nonprofit institutions after due diligence</x:v>
      </x:c>
      <x:c r="O327" s="51" t="str">
        <x:v>Financial; relational; institutional</x:v>
      </x:c>
      <x:c r="P327" s="51" t="str">
        <x:v>E1</x:v>
      </x:c>
      <x:c r="Q327" s="51" t="str">
        <x:v>High</x:v>
      </x:c>
      <x:c r="R327" s="51" t="str">
        <x:v>SRC-058</x:v>
      </x:c>
      <x:c r="S327" s="51" t="str">
        <x:v>The Foundation funded IPI for polio eradication following diligence.</x:v>
      </x:c>
      <x:c r="T327" s="51" t="str">
        <x:v>A payment to Epstein or proof that the grant was improper.</x:v>
      </x:c>
      <x:c r="U327" s="51" t="str">
        <x:v>The IPI relationship should be examined separately from the uncompleted donor fund.</x:v>
      </x:c>
      <x:c r="V327" s="51" t="str">
        <x:v>Historical</x:v>
      </x:c>
      <x:c r="W327" s="51" t="str">
        <x:v>53;57</x:v>
      </x:c>
      <x:c r="X327" s="51" t="str">
        <x:v>2026-07-27</x:v>
      </x:c>
    </x:row>
    <x:row r="328">
      <x:c r="A328" s="51" t="str">
        <x:v>GAT-004</x:v>
      </x:c>
      <x:c r="B328" s="51" t="str">
        <x:v>Philanthropy and elite brokerage</x:v>
      </x:c>
      <x:c r="C328" s="51" t="str">
        <x:v>ACT-TERJERDLARSEN</x:v>
      </x:c>
      <x:c r="D328" s="51" t="str">
        <x:v>Terje Rød-Larsen</x:v>
      </x:c>
      <x:c r="E328" s="51" t="str">
        <x:v>ACT-JEFFREYEPSTEIN</x:v>
      </x:c>
      <x:c r="F328" s="51" t="str">
        <x:v>Jeffrey Epstein</x:v>
      </x:c>
      <x:c r="G328" s="51" t="str">
        <x:v>Bidirectional</x:v>
      </x:c>
      <x:c r="H328" s="51" t="str">
        <x:v>2000s–2010s</x:v>
      </x:c>
      <x:c r="I328" s="51" t="str">
        <x:v>Documented social / institutional association</x:v>
      </x:c>
      <x:c r="J328" s="51" t="str"/>
      <x:c r="K328" s="51" t="str">
        <x:v>Repeated association</x:v>
      </x:c>
      <x:c r="L328" s="51" t="str">
        <x:v>Diplomatic and nonprofit network</x:v>
      </x:c>
      <x:c r="M328" s="51" t="str">
        <x:v>Access to donors and international institutions</x:v>
      </x:c>
      <x:c r="N328" s="51" t="str">
        <x:v>A social broker connects philanthropy to diplomatic and policy institutions</x:v>
      </x:c>
      <x:c r="O328" s="51" t="str">
        <x:v>Relational; narrative</x:v>
      </x:c>
      <x:c r="P328" s="51" t="str">
        <x:v>E2</x:v>
      </x:c>
      <x:c r="Q328" s="51" t="str">
        <x:v>High</x:v>
      </x:c>
      <x:c r="R328" s="51" t="str">
        <x:v>SRC-059</x:v>
      </x:c>
      <x:c r="S328" s="51" t="str">
        <x:v>The external-review reporting identifies Rød-Larsen as an Epstein associate linked to IPI.</x:v>
      </x:c>
      <x:c r="T328" s="51" t="str">
        <x:v>Criminal participation or control of the Gates Foundation.</x:v>
      </x:c>
      <x:c r="U328" s="51" t="str">
        <x:v>The precise financial and governance history needs IPI records.</x:v>
      </x:c>
      <x:c r="V328" s="51" t="str">
        <x:v>Historical</x:v>
      </x:c>
      <x:c r="W328" s="51" t="str">
        <x:v>53;57</x:v>
      </x:c>
      <x:c r="X328" s="51" t="str">
        <x:v>2026-07-27</x:v>
      </x:c>
    </x:row>
    <x:row r="329">
      <x:c r="A329" s="51" t="str">
        <x:v>GAT-005</x:v>
      </x:c>
      <x:c r="B329" s="51" t="str">
        <x:v>Institutional accountability</x:v>
      </x:c>
      <x:c r="C329" s="51" t="str">
        <x:v>ACT-GATESFOUNDATION</x:v>
      </x:c>
      <x:c r="D329" s="51" t="str">
        <x:v>Gates Foundation</x:v>
      </x:c>
      <x:c r="E329" s="51" t="str">
        <x:v>ACT-WILMERHALE</x:v>
      </x:c>
      <x:c r="F329" s="51" t="str">
        <x:v>WilmerHale</x:v>
      </x:c>
      <x:c r="G329" s="51" t="str">
        <x:v>Institution → reviewer</x:v>
      </x:c>
      <x:c r="H329" s="51" t="str">
        <x:v>2026</x:v>
      </x:c>
      <x:c r="I329" s="51" t="str">
        <x:v>External legal review</x:v>
      </x:c>
      <x:c r="J329" s="51" t="str">
        <x:v>INS-045</x:v>
      </x:c>
      <x:c r="K329" s="51" t="str">
        <x:v>More than 50 interviews</x:v>
      </x:c>
      <x:c r="L329" s="51" t="str">
        <x:v>Institutional records and reputational crisis</x:v>
      </x:c>
      <x:c r="M329" s="51" t="str">
        <x:v>Findings, governance recommendations and vetting reforms</x:v>
      </x:c>
      <x:c r="N329" s="51" t="str">
        <x:v>A scandal converts into formal review and organisational control redesign</x:v>
      </x:c>
      <x:c r="O329" s="51" t="str">
        <x:v>Legal; institutional; informational</x:v>
      </x:c>
      <x:c r="P329" s="51" t="str">
        <x:v>E1</x:v>
      </x:c>
      <x:c r="Q329" s="51" t="str">
        <x:v>Very high</x:v>
      </x:c>
      <x:c r="R329" s="51" t="str">
        <x:v>SRC-058; SRC-060; SRC-607; SRC-608</x:v>
      </x:c>
      <x:c r="S329" s="51" t="str">
        <x:v>WilmerHale conducted the Foundation review.</x:v>
      </x:c>
      <x:c r="T329" s="51" t="str">
        <x:v>A complete review of Gates Ventures, all personal communications or every affiliated trust.</x:v>
      </x:c>
      <x:c r="U329" s="51" t="str">
        <x:v>Review scope limitations should remain explicit.</x:v>
      </x:c>
      <x:c r="V329" s="51" t="str">
        <x:v>Completed</x:v>
      </x:c>
      <x:c r="W329" s="51" t="str">
        <x:v>57;82</x:v>
      </x:c>
      <x:c r="X329" s="51" t="str">
        <x:v>2026-07-27</x:v>
      </x:c>
    </x:row>
    <x:row r="330">
      <x:c r="A330" s="51" t="str">
        <x:v>GAT-006</x:v>
      </x:c>
      <x:c r="B330" s="51" t="str">
        <x:v>Institutional accountability</x:v>
      </x:c>
      <x:c r="C330" s="51" t="str">
        <x:v>ACT-MARKSUZMAN</x:v>
      </x:c>
      <x:c r="D330" s="51" t="str">
        <x:v>Mark Suzman</x:v>
      </x:c>
      <x:c r="E330" s="51" t="str">
        <x:v>ACT-GATESFOUNDATION</x:v>
      </x:c>
      <x:c r="F330" s="51" t="str">
        <x:v>Gates Foundation</x:v>
      </x:c>
      <x:c r="G330" s="51" t="str">
        <x:v>Executive → institution</x:v>
      </x:c>
      <x:c r="H330" s="51" t="str">
        <x:v>2026</x:v>
      </x:c>
      <x:c r="I330" s="51" t="str">
        <x:v>Governance-reform authority</x:v>
      </x:c>
      <x:c r="J330" s="51" t="str">
        <x:v>INS-045</x:v>
      </x:c>
      <x:c r="K330" s="51" t="str">
        <x:v>Foundation-wide</x:v>
      </x:c>
      <x:c r="L330" s="51" t="str">
        <x:v>Review findings</x:v>
      </x:c>
      <x:c r="M330" s="51" t="str">
        <x:v>Centralised vetting for brokers and private-residence meetings</x:v>
      </x:c>
      <x:c r="N330" s="51" t="str">
        <x:v>Management converts reputational failure into new internal controls</x:v>
      </x:c>
      <x:c r="O330" s="51" t="str">
        <x:v>Institutional; informational</x:v>
      </x:c>
      <x:c r="P330" s="51" t="str">
        <x:v>E1</x:v>
      </x:c>
      <x:c r="Q330" s="51" t="str">
        <x:v>High</x:v>
      </x:c>
      <x:c r="R330" s="51" t="str">
        <x:v>SRC-058; SRC-059; SRC-607; SRC-608; SRC-635; SRC-636</x:v>
      </x:c>
      <x:c r="S330" s="51" t="str">
        <x:v>The Board approved centralised vetting, escalation, role-clarification, conflict and confidentiality reforms after the review.</x:v>
      </x:c>
      <x:c r="T330" s="51" t="str">
        <x:v>That new rules have already prevented all future failures.</x:v>
      </x:c>
      <x:c r="U330" s="51" t="str">
        <x:v>Implementation and independent testing remain necessary.</x:v>
      </x:c>
      <x:c r="V330" s="51" t="str">
        <x:v>Implementation</x:v>
      </x:c>
      <x:c r="W330" s="51" t="str">
        <x:v>57;82</x:v>
      </x:c>
      <x:c r="X330" s="51" t="str">
        <x:v>2026-07-27</x:v>
      </x:c>
    </x:row>
    <x:row r="331">
      <x:c r="A331" s="51" t="str">
        <x:v>GAT-007</x:v>
      </x:c>
      <x:c r="B331" s="51" t="str">
        <x:v>Evidence boundary</x:v>
      </x:c>
      <x:c r="C331" s="51" t="str">
        <x:v>ACT-GATESFOUNDATION</x:v>
      </x:c>
      <x:c r="D331" s="51" t="str">
        <x:v>Gates Foundation</x:v>
      </x:c>
      <x:c r="E331" s="51" t="str">
        <x:v>ACT-GATESVENTURES</x:v>
      </x:c>
      <x:c r="F331" s="51" t="str">
        <x:v>Gates Ventures</x:v>
      </x:c>
      <x:c r="G331" s="51" t="str">
        <x:v>Scope boundary</x:v>
      </x:c>
      <x:c r="H331" s="51" t="str">
        <x:v>2026 review</x:v>
      </x:c>
      <x:c r="I331" s="51" t="str">
        <x:v>Review exclusion / unexamined adjacent entity</x:v>
      </x:c>
      <x:c r="J331" s="51" t="str">
        <x:v>INS-045</x:v>
      </x:c>
      <x:c r="K331" s="51" t="str">
        <x:v>Outside published Foundation review scope</x:v>
      </x:c>
      <x:c r="L331" s="51" t="str">
        <x:v>Private-office communications and staff</x:v>
      </x:c>
      <x:c r="M331" s="51" t="str">
        <x:v>Unresolved evidence domain</x:v>
      </x:c>
      <x:c r="N331" s="51" t="str">
        <x:v>Institutional boundaries can leave materially adjacent records outside an internal review</x:v>
      </x:c>
      <x:c r="O331" s="51" t="str">
        <x:v>Informational; institutional</x:v>
      </x:c>
      <x:c r="P331" s="51" t="str">
        <x:v>E1</x:v>
      </x:c>
      <x:c r="Q331" s="51" t="str">
        <x:v>Moderate</x:v>
      </x:c>
      <x:c r="R331" s="51" t="str">
        <x:v>SRC-058; SRC-059; SRC-608</x:v>
      </x:c>
      <x:c r="S331" s="51" t="str">
        <x:v>The WilmerHale review expressly excluded Gates's personal communications, Gates Ventures and the Gates Foundation Trust.</x:v>
      </x:c>
      <x:c r="T331" s="51" t="str">
        <x:v>What occurred in excluded personal or separate-entity records.</x:v>
      </x:c>
      <x:c r="U331" s="51" t="str">
        <x:v>Absence from scope is a research gap, not evidence of misconduct.</x:v>
      </x:c>
      <x:c r="V331" s="51" t="str">
        <x:v>Research gap</x:v>
      </x:c>
      <x:c r="W331" s="51" t="str">
        <x:v>53;79</x:v>
      </x:c>
      <x:c r="X331" s="51" t="str">
        <x:v>2026-07-27</x:v>
      </x:c>
    </x:row>
    <x:row r="332">
      <x:c r="A332" s="51" t="str">
        <x:v>GRID-001</x:v>
      </x:c>
      <x:c r="B332" s="51" t="str">
        <x:v>Grid connection and allocation</x:v>
      </x:c>
      <x:c r="C332" s="51" t="str">
        <x:v>ACT-PJMINTERCONNECTION</x:v>
      </x:c>
      <x:c r="D332" s="51" t="str">
        <x:v>PJM Interconnection</x:v>
      </x:c>
      <x:c r="E332" s="51" t="str">
        <x:v>ACT-LARGEDATACENTRELOADS</x:v>
      </x:c>
      <x:c r="F332" s="51" t="str">
        <x:v>Large data-centre loads</x:v>
      </x:c>
      <x:c r="G332" s="51" t="str">
        <x:v>Grid operator → customer group</x:v>
      </x:c>
      <x:c r="H332" s="51" t="str">
        <x:v>2026 onward</x:v>
      </x:c>
      <x:c r="I332" s="51" t="str">
        <x:v>Forecasting, interconnection and tariff governance</x:v>
      </x:c>
      <x:c r="J332" s="51" t="str">
        <x:v>INS-090</x:v>
      </x:c>
      <x:c r="K332" s="51" t="str">
        <x:v>Large projected load growth</x:v>
      </x:c>
      <x:c r="L332" s="51" t="str">
        <x:v>Connection requests and demand forecasts</x:v>
      </x:c>
      <x:c r="M332" s="51" t="str">
        <x:v>Timelines, network upgrades and reliability conditions</x:v>
      </x:c>
      <x:c r="N332" s="51" t="str">
        <x:v>Grid operators convert physical scarcity into queues, upgrade obligations and access timing</x:v>
      </x:c>
      <x:c r="O332" s="51" t="str">
        <x:v>Material; institutional; financial</x:v>
      </x:c>
      <x:c r="P332" s="51" t="str">
        <x:v>E1</x:v>
      </x:c>
      <x:c r="Q332" s="51" t="str">
        <x:v>Very high</x:v>
      </x:c>
      <x:c r="R332" s="51" t="str">
        <x:v>SRC-181</x:v>
      </x:c>
      <x:c r="S332" s="51" t="str">
        <x:v>PJM forecasts substantial load growth and is changing large-load integration processes.</x:v>
      </x:c>
      <x:c r="T332" s="51" t="str">
        <x:v>Guaranteed connection, uniform treatment or attribution of all growth to AI.</x:v>
      </x:c>
      <x:c r="U332" s="51" t="str">
        <x:v>Forecasts are revised as projects become firm or speculative.</x:v>
      </x:c>
      <x:c r="V332" s="51" t="str">
        <x:v>Active</x:v>
      </x:c>
      <x:c r="W332" s="51" t="str">
        <x:v>57;69;76</x:v>
      </x:c>
      <x:c r="X332" s="51" t="str">
        <x:v>2026-07-27</x:v>
      </x:c>
    </x:row>
    <x:row r="333">
      <x:c r="A333" s="51" t="str">
        <x:v>GRID-002</x:v>
      </x:c>
      <x:c r="B333" s="51" t="str">
        <x:v>Grid connection and allocation</x:v>
      </x:c>
      <x:c r="C333" s="51" t="str">
        <x:v>ACT-FEDERALENERGYREGULATORYC</x:v>
      </x:c>
      <x:c r="D333" s="51" t="str">
        <x:v>Federal Energy Regulatory Commission</x:v>
      </x:c>
      <x:c r="E333" s="51" t="str">
        <x:v>ACT-PJMINTERCONNECTION</x:v>
      </x:c>
      <x:c r="F333" s="51" t="str">
        <x:v>PJM Interconnection</x:v>
      </x:c>
      <x:c r="G333" s="51" t="str">
        <x:v>Regulator → grid operator</x:v>
      </x:c>
      <x:c r="H333" s="51" t="str">
        <x:v>2026</x:v>
      </x:c>
      <x:c r="I333" s="51" t="str">
        <x:v>Tariff review and reform authority</x:v>
      </x:c>
      <x:c r="J333" s="51" t="str">
        <x:v>INS-091</x:v>
      </x:c>
      <x:c r="K333" s="51" t="str">
        <x:v>Regional grid</x:v>
      </x:c>
      <x:c r="L333" s="51" t="str">
        <x:v>Federal transmission authority</x:v>
      </x:c>
      <x:c r="M333" s="51" t="str">
        <x:v>Required justification or reform of large-load tariffs</x:v>
      </x:c>
      <x:c r="N333" s="51" t="str">
        <x:v>A federal regulator can reshape who bears the infrastructure cost of private data-centre demand</x:v>
      </x:c>
      <x:c r="O333" s="51" t="str">
        <x:v>Institutional; financial; enforcement</x:v>
      </x:c>
      <x:c r="P333" s="51" t="str">
        <x:v>E1</x:v>
      </x:c>
      <x:c r="Q333" s="51" t="str">
        <x:v>Very high</x:v>
      </x:c>
      <x:c r="R333" s="51" t="str">
        <x:v>SRC-182</x:v>
      </x:c>
      <x:c r="S333" s="51" t="str">
        <x:v>FERC ordered regional operators to justify or reform relevant tariffs.</x:v>
      </x:c>
      <x:c r="T333" s="51" t="str">
        <x:v>A predetermined outcome or direct construction of transmission assets.</x:v>
      </x:c>
      <x:c r="U333" s="51" t="str">
        <x:v>Final rules and litigation may change allocation.</x:v>
      </x:c>
      <x:c r="V333" s="51" t="str">
        <x:v>Active proceeding</x:v>
      </x:c>
      <x:c r="W333" s="51" t="str">
        <x:v>57;69;80</x:v>
      </x:c>
      <x:c r="X333" s="51" t="str">
        <x:v>2026-07-27</x:v>
      </x:c>
    </x:row>
    <x:row r="334">
      <x:c r="A334" s="51" t="str">
        <x:v>GRID-003</x:v>
      </x:c>
      <x:c r="B334" s="51" t="str">
        <x:v>Grid connection and allocation</x:v>
      </x:c>
      <x:c r="C334" s="51" t="str">
        <x:v>ACT-LARGEDATACENTRELOADS</x:v>
      </x:c>
      <x:c r="D334" s="51" t="str">
        <x:v>Large data-centre loads</x:v>
      </x:c>
      <x:c r="E334" s="51" t="str">
        <x:v>ACT-ELECTRICITYRATEPAYERS</x:v>
      </x:c>
      <x:c r="F334" s="51" t="str">
        <x:v>Electricity ratepayers</x:v>
      </x:c>
      <x:c r="G334" s="51" t="str">
        <x:v>Large customer → public cost pool</x:v>
      </x:c>
      <x:c r="H334" s="51" t="str">
        <x:v>Emerging</x:v>
      </x:c>
      <x:c r="I334" s="51" t="str">
        <x:v>Potential cost and reliability externality</x:v>
      </x:c>
      <x:c r="J334" s="51" t="str">
        <x:v>INS-090; INS-091</x:v>
      </x:c>
      <x:c r="K334" s="51" t="str">
        <x:v>Regional</x:v>
      </x:c>
      <x:c r="L334" s="51" t="str">
        <x:v>Rapid concentrated electricity demand</x:v>
      </x:c>
      <x:c r="M334" s="51" t="str">
        <x:v>Transmission, generation and system-upgrade requirements</x:v>
      </x:c>
      <x:c r="N334" s="51" t="str">
        <x:v>Private compute demand can shift costs or reliability risks onto other customers if tariffs do not allocate them accurately</x:v>
      </x:c>
      <x:c r="O334" s="51" t="str">
        <x:v>Financial; material; distributional</x:v>
      </x:c>
      <x:c r="P334" s="51" t="str">
        <x:v>S1</x:v>
      </x:c>
      <x:c r="Q334" s="51" t="str">
        <x:v>High</x:v>
      </x:c>
      <x:c r="R334" s="51" t="str">
        <x:v>SRC-181; SRC-182</x:v>
      </x:c>
      <x:c r="S334" s="51" t="str">
        <x:v>Regulators and operators identify cost-allocation and reliability concerns.</x:v>
      </x:c>
      <x:c r="T334" s="51" t="str">
        <x:v>That all data centres raise rates or provide no grid benefit.</x:v>
      </x:c>
      <x:c r="U334" s="51" t="str">
        <x:v>Firm contracts, flexible load and self-supply can reduce externalities.</x:v>
      </x:c>
      <x:c r="V334" s="51" t="str">
        <x:v>Emerging / policy contested</x:v>
      </x:c>
      <x:c r="W334" s="51" t="str">
        <x:v>57;69;80</x:v>
      </x:c>
      <x:c r="X334" s="51" t="str">
        <x:v>2026-07-27</x:v>
      </x:c>
    </x:row>
    <x:row r="335">
      <x:c r="A335" s="51" t="str">
        <x:v>GUA-001</x:v>
      </x:c>
      <x:c r="B335" s="51" t="str">
        <x:v>Development, export and political-risk guarantees</x:v>
      </x:c>
      <x:c r="C335" s="51" t="str">
        <x:v>ACT-USINTERNATIONALDEVELOPME</x:v>
      </x:c>
      <x:c r="D335" s="51" t="str">
        <x:v>US International Development Finance Corporation</x:v>
      </x:c>
      <x:c r="E335" s="51" t="str">
        <x:v>ACT-PRIVATELENDERSANDPROJECT</x:v>
      </x:c>
      <x:c r="F335" s="51" t="str">
        <x:v>Private lenders and project sponsors</x:v>
      </x:c>
      <x:c r="G335" s="51" t="str">
        <x:v>Public institution → private projects</x:v>
      </x:c>
      <x:c r="H335" s="51" t="str">
        <x:v>FY2025</x:v>
      </x:c>
      <x:c r="I335" s="51" t="str">
        <x:v>Loans, guarantees, political-risk insurance and equity</x:v>
      </x:c>
      <x:c r="J335" s="51" t="str">
        <x:v>INS-155</x:v>
      </x:c>
      <x:c r="K335" s="51" t="str">
        <x:v>Approximately $43.4 billion combined exposure</x:v>
      </x:c>
      <x:c r="L335" s="51" t="str">
        <x:v>Project capital need and policy eligibility</x:v>
      </x:c>
      <x:c r="M335" s="51" t="str">
        <x:v>Credit enhancement, insurance or investment</x:v>
      </x:c>
      <x:c r="N335" s="51" t="str">
        <x:v>A development finance institution converts sovereign balance-sheet capacity into investable emerging-market projects</x:v>
      </x:c>
      <x:c r="O335" s="51" t="str">
        <x:v>Financial; geopolitical; institutional</x:v>
      </x:c>
      <x:c r="P335" s="51" t="str">
        <x:v>E1</x:v>
      </x:c>
      <x:c r="Q335" s="51" t="str">
        <x:v>Very high</x:v>
      </x:c>
      <x:c r="R335" s="51" t="str">
        <x:v>SRC-285</x:v>
      </x:c>
      <x:c r="S335" s="51" t="str">
        <x:v>DFC reported approximately $43.4 billion combined exposure at FY2025 year-end.</x:v>
      </x:c>
      <x:c r="T335" s="51" t="str">
        <x:v>A taxpayer loss equal to exposure or development success of every project.</x:v>
      </x:c>
      <x:c r="U335" s="51" t="str">
        <x:v>Reserves, fees, recoveries and project performance determine cost.</x:v>
      </x:c>
      <x:c r="V335" s="51" t="str">
        <x:v>Active</x:v>
      </x:c>
      <x:c r="W335" s="51" t="str">
        <x:v>40;57</x:v>
      </x:c>
      <x:c r="X335" s="51" t="str">
        <x:v>2026-07-27</x:v>
      </x:c>
    </x:row>
    <x:row r="336">
      <x:c r="A336" s="51" t="str">
        <x:v>GUA-002</x:v>
      </x:c>
      <x:c r="B336" s="51" t="str">
        <x:v>Development, export and political-risk guarantees</x:v>
      </x:c>
      <x:c r="C336" s="51" t="str">
        <x:v>ACT-EXPORTIMPORTBANKOFTHEUNI</x:v>
      </x:c>
      <x:c r="D336" s="51" t="str">
        <x:v>Export-Import Bank of the United States</x:v>
      </x:c>
      <x:c r="E336" s="51" t="str">
        <x:v>ACT-PRIVATELENDERSANDPROJECT</x:v>
      </x:c>
      <x:c r="F336" s="51" t="str">
        <x:v>Private lenders and project sponsors</x:v>
      </x:c>
      <x:c r="G336" s="51" t="str">
        <x:v>Export credit agency → exporters and buyers</x:v>
      </x:c>
      <x:c r="H336" s="51" t="str">
        <x:v>FY2025</x:v>
      </x:c>
      <x:c r="I336" s="51" t="str">
        <x:v>Direct loans, guarantees and insurance</x:v>
      </x:c>
      <x:c r="J336" s="51" t="str">
        <x:v>INS-156</x:v>
      </x:c>
      <x:c r="K336" s="51" t="str">
        <x:v>More than $8.7 billion FY2025 authorisations</x:v>
      </x:c>
      <x:c r="L336" s="51" t="str">
        <x:v>US export contract and foreign buyer credit risk</x:v>
      </x:c>
      <x:c r="M336" s="51" t="str">
        <x:v>Financing or insurance supporting export sale</x:v>
      </x:c>
      <x:c r="N336" s="51" t="str">
        <x:v>Export credit converts public risk capacity into demand for national industrial output</x:v>
      </x:c>
      <x:c r="O336" s="51" t="str">
        <x:v>Financial; geopolitical; material</x:v>
      </x:c>
      <x:c r="P336" s="51" t="str">
        <x:v>E1</x:v>
      </x:c>
      <x:c r="Q336" s="51" t="str">
        <x:v>Very high</x:v>
      </x:c>
      <x:c r="R336" s="51" t="str">
        <x:v>SRC-286</x:v>
      </x:c>
      <x:c r="S336" s="51" t="str">
        <x:v>EXIM reported more than $8.7 billion in FY2025 authorisations.</x:v>
      </x:c>
      <x:c r="T336" s="51" t="str">
        <x:v>Net fiscal loss, additionality or competitiveness without the support.</x:v>
      </x:c>
      <x:c r="U336" s="51" t="str">
        <x:v>Authorisations, disbursements, defaults and recoveries differ.</x:v>
      </x:c>
      <x:c r="V336" s="51" t="str">
        <x:v>Active</x:v>
      </x:c>
      <x:c r="W336" s="51" t="str">
        <x:v>40;57</x:v>
      </x:c>
      <x:c r="X336" s="51" t="str">
        <x:v>2026-07-27</x:v>
      </x:c>
    </x:row>
    <x:row r="337">
      <x:c r="A337" s="51" t="str">
        <x:v>GUA-003</x:v>
      </x:c>
      <x:c r="B337" s="51" t="str">
        <x:v>Development, export and political-risk guarantees</x:v>
      </x:c>
      <x:c r="C337" s="51" t="str">
        <x:v>ACT-WORLDBANKGROUPGUARANTEEP</x:v>
      </x:c>
      <x:c r="D337" s="51" t="str">
        <x:v>World Bank Group Guarantee Platform</x:v>
      </x:c>
      <x:c r="E337" s="51" t="str">
        <x:v>ACT-PRIVATELENDERSANDPROJECT</x:v>
      </x:c>
      <x:c r="F337" s="51" t="str">
        <x:v>Private lenders and project sponsors</x:v>
      </x:c>
      <x:c r="G337" s="51" t="str">
        <x:v>Multilateral platform → projects</x:v>
      </x:c>
      <x:c r="H337" s="51" t="str">
        <x:v>FY2025</x:v>
      </x:c>
      <x:c r="I337" s="51" t="str">
        <x:v>Political-risk and credit guarantees</x:v>
      </x:c>
      <x:c r="J337" s="51" t="str">
        <x:v>INS-157</x:v>
      </x:c>
      <x:c r="K337" s="51" t="str">
        <x:v>$12.3 billion platform issuance; $9.5 billion MIGA new guarantees</x:v>
      </x:c>
      <x:c r="L337" s="51" t="str">
        <x:v>Private investment and sovereign or political risk</x:v>
      </x:c>
      <x:c r="M337" s="51" t="str">
        <x:v>Risk coverage and financing mobilisation</x:v>
      </x:c>
      <x:c r="N337" s="51" t="str">
        <x:v>A multilateral guarantee separates project ownership from selected political and credit risks borne by a public institution</x:v>
      </x:c>
      <x:c r="O337" s="51" t="str">
        <x:v>Financial; geopolitical; institutional</x:v>
      </x:c>
      <x:c r="P337" s="51" t="str">
        <x:v>E1</x:v>
      </x:c>
      <x:c r="Q337" s="51" t="str">
        <x:v>Very high</x:v>
      </x:c>
      <x:c r="R337" s="51" t="str">
        <x:v>SRC-287; SRC-288</x:v>
      </x:c>
      <x:c r="S337" s="51" t="str">
        <x:v>The platform and MIGA reported large FY2025 guarantee issuance.</x:v>
      </x:c>
      <x:c r="T337" s="51" t="str">
        <x:v>Elimination of project risk or payment without covered-event conditions.</x:v>
      </x:c>
      <x:c r="U337" s="51" t="str">
        <x:v>Contracts define covered risks, exclusions and claims procedures.</x:v>
      </x:c>
      <x:c r="V337" s="51" t="str">
        <x:v>Active</x:v>
      </x:c>
      <x:c r="W337" s="51" t="str">
        <x:v>40;57</x:v>
      </x:c>
      <x:c r="X337" s="51" t="str">
        <x:v>2026-07-27</x:v>
      </x:c>
    </x:row>
    <x:row r="338">
      <x:c r="A338" s="51" t="str">
        <x:v>GUA-004</x:v>
      </x:c>
      <x:c r="B338" s="51" t="str">
        <x:v>Development, export and political-risk guarantees</x:v>
      </x:c>
      <x:c r="C338" s="51" t="str">
        <x:v>ACT-PRIVATELENDERSANDPROJECT</x:v>
      </x:c>
      <x:c r="D338" s="51" t="str">
        <x:v>Private lenders and project sponsors</x:v>
      </x:c>
      <x:c r="E338" s="51" t="str">
        <x:v>ACT-USINTERNATIONALDEVELOPME</x:v>
      </x:c>
      <x:c r="F338" s="51" t="str">
        <x:v>US International Development Finance Corporation</x:v>
      </x:c>
      <x:c r="G338" s="51" t="str">
        <x:v>Private actor → public institution</x:v>
      </x:c>
      <x:c r="H338" s="51" t="str">
        <x:v>Project application</x:v>
      </x:c>
      <x:c r="I338" s="51" t="str">
        <x:v>Financing and guarantee application</x:v>
      </x:c>
      <x:c r="J338" s="51" t="str">
        <x:v>INS-155</x:v>
      </x:c>
      <x:c r="K338" s="51" t="str">
        <x:v>Project-specific</x:v>
      </x:c>
      <x:c r="L338" s="51" t="str">
        <x:v>Equity, project plan, environmental and policy documentation</x:v>
      </x:c>
      <x:c r="M338" s="51" t="str">
        <x:v>Potential public credit support</x:v>
      </x:c>
      <x:c r="N338" s="51" t="str">
        <x:v>Project sponsors exchange disclosure, covenants and policy alignment for lower financing barriers</x:v>
      </x:c>
      <x:c r="O338" s="51" t="str">
        <x:v>Financial; relational; geopolitical</x:v>
      </x:c>
      <x:c r="P338" s="51" t="str">
        <x:v>E1</x:v>
      </x:c>
      <x:c r="Q338" s="51" t="str">
        <x:v>High</x:v>
      </x:c>
      <x:c r="R338" s="51" t="str">
        <x:v>SRC-285</x:v>
      </x:c>
      <x:c r="S338" s="51" t="str">
        <x:v>DFC evaluates and structures public credit and investment transactions.</x:v>
      </x:c>
      <x:c r="T338" s="51" t="str">
        <x:v>Guaranteed approval or transfer of all operating risk.</x:v>
      </x:c>
      <x:c r="U338" s="51" t="str">
        <x:v>Sponsors retain substantial construction, market and performance risk.</x:v>
      </x:c>
      <x:c r="V338" s="51" t="str">
        <x:v>Active</x:v>
      </x:c>
      <x:c r="W338" s="51" t="str">
        <x:v>40;57</x:v>
      </x:c>
      <x:c r="X338" s="51" t="str">
        <x:v>2026-07-27</x:v>
      </x:c>
    </x:row>
    <x:row r="339">
      <x:c r="A339" s="51" t="str">
        <x:v>GUA-005</x:v>
      </x:c>
      <x:c r="B339" s="51" t="str">
        <x:v>Development, export and political-risk guarantees</x:v>
      </x:c>
      <x:c r="C339" s="51" t="str">
        <x:v>ACT-PRIVATELENDERSANDPROJECT</x:v>
      </x:c>
      <x:c r="D339" s="51" t="str">
        <x:v>Private lenders and project sponsors</x:v>
      </x:c>
      <x:c r="E339" s="51" t="str">
        <x:v>ACT-EXPORTIMPORTBANKOFTHEUNI</x:v>
      </x:c>
      <x:c r="F339" s="51" t="str">
        <x:v>Export-Import Bank of the United States</x:v>
      </x:c>
      <x:c r="G339" s="51" t="str">
        <x:v>Private actor → public institution</x:v>
      </x:c>
      <x:c r="H339" s="51" t="str">
        <x:v>Export transaction</x:v>
      </x:c>
      <x:c r="I339" s="51" t="str">
        <x:v>Credit or insurance application</x:v>
      </x:c>
      <x:c r="J339" s="51" t="str">
        <x:v>INS-156</x:v>
      </x:c>
      <x:c r="K339" s="51" t="str">
        <x:v>Transaction-specific</x:v>
      </x:c>
      <x:c r="L339" s="51" t="str">
        <x:v>Export sale, buyer risk and lender terms</x:v>
      </x:c>
      <x:c r="M339" s="51" t="str">
        <x:v>Loan, guarantee or insurance authorisation</x:v>
      </x:c>
      <x:c r="N339" s="51" t="str">
        <x:v>Public export finance changes which foreign buyers can afford national goods and services</x:v>
      </x:c>
      <x:c r="O339" s="51" t="str">
        <x:v>Financial; geopolitical; material</x:v>
      </x:c>
      <x:c r="P339" s="51" t="str">
        <x:v>E1</x:v>
      </x:c>
      <x:c r="Q339" s="51" t="str">
        <x:v>High</x:v>
      </x:c>
      <x:c r="R339" s="51" t="str">
        <x:v>SRC-286</x:v>
      </x:c>
      <x:c r="S339" s="51" t="str">
        <x:v>EXIM supports eligible US exports through defined products.</x:v>
      </x:c>
      <x:c r="T339" s="51" t="str">
        <x:v>A subsidy to every exporter or absence of underwriting.</x:v>
      </x:c>
      <x:c r="U339" s="51" t="str">
        <x:v>Fees, content rules and credit review apply.</x:v>
      </x:c>
      <x:c r="V339" s="51" t="str">
        <x:v>Active</x:v>
      </x:c>
      <x:c r="W339" s="51" t="str">
        <x:v>40;57</x:v>
      </x:c>
      <x:c r="X339" s="51" t="str">
        <x:v>2026-07-27</x:v>
      </x:c>
    </x:row>
    <x:row r="340">
      <x:c r="A340" s="51" t="str">
        <x:v>GUA-006</x:v>
      </x:c>
      <x:c r="B340" s="51" t="str">
        <x:v>Development, export and political-risk guarantees</x:v>
      </x:c>
      <x:c r="C340" s="51" t="str">
        <x:v>ACT-PRIVATELENDERSANDPROJECT</x:v>
      </x:c>
      <x:c r="D340" s="51" t="str">
        <x:v>Private lenders and project sponsors</x:v>
      </x:c>
      <x:c r="E340" s="51" t="str">
        <x:v>ACT-WORLDBANKGROUPGUARANTEEP</x:v>
      </x:c>
      <x:c r="F340" s="51" t="str">
        <x:v>World Bank Group Guarantee Platform</x:v>
      </x:c>
      <x:c r="G340" s="51" t="str">
        <x:v>Private actor → multilateral platform</x:v>
      </x:c>
      <x:c r="H340" s="51" t="str">
        <x:v>Project development</x:v>
      </x:c>
      <x:c r="I340" s="51" t="str">
        <x:v>Guarantee application and due diligence</x:v>
      </x:c>
      <x:c r="J340" s="51" t="str">
        <x:v>INS-157</x:v>
      </x:c>
      <x:c r="K340" s="51" t="str">
        <x:v>Project-specific</x:v>
      </x:c>
      <x:c r="L340" s="51" t="str">
        <x:v>Investment plan, host-country risk and development criteria</x:v>
      </x:c>
      <x:c r="M340" s="51" t="str">
        <x:v>Contractual political-risk or credit coverage</x:v>
      </x:c>
      <x:c r="N340" s="51" t="str">
        <x:v>Guarantees can crowd in private capital by reallocating risks that investors cannot price or control alone</x:v>
      </x:c>
      <x:c r="O340" s="51" t="str">
        <x:v>Financial; geopolitical; relational</x:v>
      </x:c>
      <x:c r="P340" s="51" t="str">
        <x:v>E1</x:v>
      </x:c>
      <x:c r="Q340" s="51" t="str">
        <x:v>High</x:v>
      </x:c>
      <x:c r="R340" s="51" t="str">
        <x:v>SRC-287; SRC-288</x:v>
      </x:c>
      <x:c r="S340" s="51" t="str">
        <x:v>MIGA and the platform provide guarantee products for qualifying projects.</x:v>
      </x:c>
      <x:c r="T340" s="51" t="str">
        <x:v>That guarantee-backed projects are socially optimal or free of environmental harm.</x:v>
      </x:c>
      <x:c r="U340" s="51" t="str">
        <x:v>Development, integrity and environmental standards require separate evaluation.</x:v>
      </x:c>
      <x:c r="V340" s="51" t="str">
        <x:v>Active</x:v>
      </x:c>
      <x:c r="W340" s="51" t="str">
        <x:v>40;57</x:v>
      </x:c>
      <x:c r="X340" s="51" t="str">
        <x:v>2026-07-27</x:v>
      </x:c>
    </x:row>
    <x:row r="341">
      <x:c r="A341" s="51" t="str">
        <x:v>GUA-007</x:v>
      </x:c>
      <x:c r="B341" s="51" t="str">
        <x:v>Development, export and political-risk guarantees</x:v>
      </x:c>
      <x:c r="C341" s="51" t="str">
        <x:v>ACT-FEDERALDIRECTLOANANDLOAN</x:v>
      </x:c>
      <x:c r="D341" s="51" t="str">
        <x:v>Federal direct loan and loan guarantee programmes</x:v>
      </x:c>
      <x:c r="E341" s="51" t="str">
        <x:v>ACT-PRIVATELENDERSANDPROJECT</x:v>
      </x:c>
      <x:c r="F341" s="51" t="str">
        <x:v>Private lenders and project sponsors</x:v>
      </x:c>
      <x:c r="G341" s="51" t="str">
        <x:v>Public programme → private finance</x:v>
      </x:c>
      <x:c r="H341" s="51" t="str">
        <x:v>Ongoing</x:v>
      </x:c>
      <x:c r="I341" s="51" t="str">
        <x:v>Risk sharing and credit enhancement</x:v>
      </x:c>
      <x:c r="J341" s="51" t="str">
        <x:v>INS-148; INS-155; INS-156; INS-157</x:v>
      </x:c>
      <x:c r="K341" s="51" t="str">
        <x:v>Programme-specific</x:v>
      </x:c>
      <x:c r="L341" s="51" t="str">
        <x:v>Public guarantee and private co-financing</x:v>
      </x:c>
      <x:c r="M341" s="51" t="str">
        <x:v>Larger or lower-cost project capital stack</x:v>
      </x:c>
      <x:c r="N341" s="51" t="str">
        <x:v>A guarantee preserves private origination and ownership while transferring defined tail risk to a public balance sheet</x:v>
      </x:c>
      <x:c r="O341" s="51" t="str">
        <x:v>Financial; institutional; distributional</x:v>
      </x:c>
      <x:c r="P341" s="51" t="str">
        <x:v>S1</x:v>
      </x:c>
      <x:c r="Q341" s="51" t="str">
        <x:v>Very high</x:v>
      </x:c>
      <x:c r="R341" s="51" t="str">
        <x:v>SRC-270; SRC-274; SRC-285; SRC-286; SRC-287</x:v>
      </x:c>
      <x:c r="S341" s="51" t="str">
        <x:v>Public institutions use guarantees and insurance to mobilise private finance.</x:v>
      </x:c>
      <x:c r="T341" s="51" t="str">
        <x:v>That private lenders bear no risk or public institutions control operations.</x:v>
      </x:c>
      <x:c r="U341" s="51" t="str">
        <x:v>Coverage percentages, pari passu structures and covenants vary.</x:v>
      </x:c>
      <x:c r="V341" s="51" t="str">
        <x:v>Active mechanism</x:v>
      </x:c>
      <x:c r="W341" s="51" t="str">
        <x:v>40;47;57</x:v>
      </x:c>
      <x:c r="X341" s="51" t="str">
        <x:v>2026-07-27</x:v>
      </x:c>
    </x:row>
    <x:row r="342">
      <x:c r="A342" s="51" t="str">
        <x:v>GUA-008</x:v>
      </x:c>
      <x:c r="B342" s="51" t="str">
        <x:v>Development, export and political-risk guarantees</x:v>
      </x:c>
      <x:c r="C342" s="51" t="str">
        <x:v>ACT-PUBLICTAXPAYERSANDBUDGET</x:v>
      </x:c>
      <x:c r="D342" s="51" t="str">
        <x:v>Public taxpayers and budget</x:v>
      </x:c>
      <x:c r="E342" s="51" t="str">
        <x:v>ACT-PRIVATELENDERSANDPROJECT</x:v>
      </x:c>
      <x:c r="F342" s="51" t="str">
        <x:v>Private lenders and project sponsors</x:v>
      </x:c>
      <x:c r="G342" s="51" t="str">
        <x:v>Public balance sheet → projects</x:v>
      </x:c>
      <x:c r="H342" s="51" t="str">
        <x:v>Multi-year</x:v>
      </x:c>
      <x:c r="I342" s="51" t="str">
        <x:v>Contingent risk absorption</x:v>
      </x:c>
      <x:c r="J342" s="51" t="str">
        <x:v>INS-148; INS-155; INS-156; INS-157</x:v>
      </x:c>
      <x:c r="K342" s="51" t="str">
        <x:v>Face exposure exceeds expected budget cost</x:v>
      </x:c>
      <x:c r="L342" s="51" t="str">
        <x:v>Taxing capacity, reserves and sovereign credit</x:v>
      </x:c>
      <x:c r="M342" s="51" t="str">
        <x:v>Risk-adjusted support for investment and exports</x:v>
      </x:c>
      <x:c r="N342" s="51" t="str">
        <x:v>Public guarantees convert uncertain future claims into present private financing capacity</x:v>
      </x:c>
      <x:c r="O342" s="51" t="str">
        <x:v>Financial; geopolitical; distributional</x:v>
      </x:c>
      <x:c r="P342" s="51" t="str">
        <x:v>S1</x:v>
      </x:c>
      <x:c r="Q342" s="51" t="str">
        <x:v>High</x:v>
      </x:c>
      <x:c r="R342" s="51" t="str">
        <x:v>SRC-273; SRC-274; SRC-285; SRC-286; SRC-288</x:v>
      </x:c>
      <x:c r="S342" s="51" t="str">
        <x:v>Credit and guarantee programmes use public capacity to support transactions.</x:v>
      </x:c>
      <x:c r="T342" s="51" t="str">
        <x:v>A realised loss equal to authorised exposure or guaranteed public benefit.</x:v>
      </x:c>
      <x:c r="U342" s="51" t="str">
        <x:v>Fees, defaults, recoveries and project externalities determine net outcome.</x:v>
      </x:c>
      <x:c r="V342" s="51" t="str">
        <x:v>Active mechanism</x:v>
      </x:c>
      <x:c r="W342" s="51" t="str">
        <x:v>40;47;57</x:v>
      </x:c>
      <x:c r="X342" s="51" t="str">
        <x:v>2026-07-27</x:v>
      </x:c>
    </x:row>
    <x:row r="343">
      <x:c r="A343" s="51" t="str">
        <x:v>GULF-001</x:v>
      </x:c>
      <x:c r="B343" s="51" t="str">
        <x:v>Sovereign wealth</x:v>
      </x:c>
      <x:c r="C343" s="51" t="str">
        <x:v>ACT-SAUDIARABIA</x:v>
      </x:c>
      <x:c r="D343" s="51" t="str">
        <x:v>Saudi Arabia</x:v>
      </x:c>
      <x:c r="E343" s="51" t="str">
        <x:v>ACT-PUBLICINVESTMENTFUND</x:v>
      </x:c>
      <x:c r="F343" s="51" t="str">
        <x:v>Public Investment Fund</x:v>
      </x:c>
      <x:c r="G343" s="51" t="str">
        <x:v>State → fund</x:v>
      </x:c>
      <x:c r="H343" s="51" t="str">
        <x:v>Ongoing</x:v>
      </x:c>
      <x:c r="I343" s="51" t="str">
        <x:v>State ownership / mandate</x:v>
      </x:c>
      <x:c r="J343" s="51" t="str"/>
      <x:c r="K343" s="51" t="str">
        <x:v>Large state investment capacity</x:v>
      </x:c>
      <x:c r="L343" s="51" t="str">
        <x:v>Resource/public surplus</x:v>
      </x:c>
      <x:c r="M343" s="51" t="str">
        <x:v>Strategic and financial ownership</x:v>
      </x:c>
      <x:c r="N343" s="51" t="str">
        <x:v>Sovereign funds convert resource surplus into diversified assets and capability</x:v>
      </x:c>
      <x:c r="O343" s="51" t="str">
        <x:v>Financial; ownership; material; relational</x:v>
      </x:c>
      <x:c r="P343" s="51" t="str">
        <x:v>E1</x:v>
      </x:c>
      <x:c r="Q343" s="51" t="str">
        <x:v>High</x:v>
      </x:c>
      <x:c r="R343" s="51" t="str">
        <x:v>SRC-017</x:v>
      </x:c>
      <x:c r="S343" s="51" t="str">
        <x:v>The fund is state-owned/state-linked and invests domestically/internationally.</x:v>
      </x:c>
      <x:c r="T343" s="51" t="str">
        <x:v>Direct political control of every portfolio company.</x:v>
      </x:c>
      <x:c r="U343" s="51" t="str">
        <x:v>Return and diversification goals coexist with strategy.</x:v>
      </x:c>
      <x:c r="V343" s="51" t="str">
        <x:v>Active</x:v>
      </x:c>
      <x:c r="W343" s="51" t="str">
        <x:v>56;57</x:v>
      </x:c>
      <x:c r="X343" s="51" t="str">
        <x:v>2026-07-27</x:v>
      </x:c>
    </x:row>
    <x:row r="344">
      <x:c r="A344" s="51" t="str">
        <x:v>GULF-002</x:v>
      </x:c>
      <x:c r="B344" s="51" t="str">
        <x:v>Sovereign wealth</x:v>
      </x:c>
      <x:c r="C344" s="51" t="str">
        <x:v>ACT-QATAR</x:v>
      </x:c>
      <x:c r="D344" s="51" t="str">
        <x:v>Qatar</x:v>
      </x:c>
      <x:c r="E344" s="51" t="str">
        <x:v>ACT-QATARINVESTMENTAUTHORITY</x:v>
      </x:c>
      <x:c r="F344" s="51" t="str">
        <x:v>Qatar Investment Authority</x:v>
      </x:c>
      <x:c r="G344" s="51" t="str">
        <x:v>State → fund</x:v>
      </x:c>
      <x:c r="H344" s="51" t="str">
        <x:v>Ongoing</x:v>
      </x:c>
      <x:c r="I344" s="51" t="str">
        <x:v>State ownership / mandate</x:v>
      </x:c>
      <x:c r="J344" s="51" t="str"/>
      <x:c r="K344" s="51" t="str">
        <x:v>Large state investment capacity</x:v>
      </x:c>
      <x:c r="L344" s="51" t="str">
        <x:v>Resource/public surplus</x:v>
      </x:c>
      <x:c r="M344" s="51" t="str">
        <x:v>Strategic and financial ownership</x:v>
      </x:c>
      <x:c r="N344" s="51" t="str">
        <x:v>Sovereign funds convert resource surplus into diversified assets and capability</x:v>
      </x:c>
      <x:c r="O344" s="51" t="str">
        <x:v>Financial; ownership; material; relational</x:v>
      </x:c>
      <x:c r="P344" s="51" t="str">
        <x:v>E1</x:v>
      </x:c>
      <x:c r="Q344" s="51" t="str">
        <x:v>High</x:v>
      </x:c>
      <x:c r="R344" s="51" t="str">
        <x:v>SRC-017</x:v>
      </x:c>
      <x:c r="S344" s="51" t="str">
        <x:v>The fund is state-owned/state-linked and invests domestically/internationally.</x:v>
      </x:c>
      <x:c r="T344" s="51" t="str">
        <x:v>Direct political control of every portfolio company.</x:v>
      </x:c>
      <x:c r="U344" s="51" t="str">
        <x:v>Return and diversification goals coexist with strategy.</x:v>
      </x:c>
      <x:c r="V344" s="51" t="str">
        <x:v>Active</x:v>
      </x:c>
      <x:c r="W344" s="51" t="str">
        <x:v>56;57</x:v>
      </x:c>
      <x:c r="X344" s="51" t="str">
        <x:v>2026-07-27</x:v>
      </x:c>
    </x:row>
    <x:row r="345">
      <x:c r="A345" s="51" t="str">
        <x:v>GULF-003</x:v>
      </x:c>
      <x:c r="B345" s="51" t="str">
        <x:v>Sovereign wealth</x:v>
      </x:c>
      <x:c r="C345" s="51" t="str">
        <x:v>ACT-UNITEDARABEMIRATES</x:v>
      </x:c>
      <x:c r="D345" s="51" t="str">
        <x:v>United Arab Emirates</x:v>
      </x:c>
      <x:c r="E345" s="51" t="str">
        <x:v>ACT-ABUDHABIINVESTMENTAUTHOR</x:v>
      </x:c>
      <x:c r="F345" s="51" t="str">
        <x:v>Abu Dhabi Investment Authority</x:v>
      </x:c>
      <x:c r="G345" s="51" t="str">
        <x:v>State → fund</x:v>
      </x:c>
      <x:c r="H345" s="51" t="str">
        <x:v>Ongoing</x:v>
      </x:c>
      <x:c r="I345" s="51" t="str">
        <x:v>State ownership / mandate</x:v>
      </x:c>
      <x:c r="J345" s="51" t="str"/>
      <x:c r="K345" s="51" t="str">
        <x:v>Large state investment capacity</x:v>
      </x:c>
      <x:c r="L345" s="51" t="str">
        <x:v>Resource/public surplus</x:v>
      </x:c>
      <x:c r="M345" s="51" t="str">
        <x:v>Strategic and financial ownership</x:v>
      </x:c>
      <x:c r="N345" s="51" t="str">
        <x:v>Sovereign funds convert resource surplus into diversified assets and capability</x:v>
      </x:c>
      <x:c r="O345" s="51" t="str">
        <x:v>Financial; ownership; material; relational</x:v>
      </x:c>
      <x:c r="P345" s="51" t="str">
        <x:v>E1</x:v>
      </x:c>
      <x:c r="Q345" s="51" t="str">
        <x:v>High</x:v>
      </x:c>
      <x:c r="R345" s="51" t="str">
        <x:v>SRC-017</x:v>
      </x:c>
      <x:c r="S345" s="51" t="str">
        <x:v>The fund is state-owned/state-linked and invests domestically/internationally.</x:v>
      </x:c>
      <x:c r="T345" s="51" t="str">
        <x:v>Direct political control of every portfolio company.</x:v>
      </x:c>
      <x:c r="U345" s="51" t="str">
        <x:v>Return and diversification goals coexist with strategy.</x:v>
      </x:c>
      <x:c r="V345" s="51" t="str">
        <x:v>Active</x:v>
      </x:c>
      <x:c r="W345" s="51" t="str">
        <x:v>56;57</x:v>
      </x:c>
      <x:c r="X345" s="51" t="str">
        <x:v>2026-07-27</x:v>
      </x:c>
    </x:row>
    <x:row r="346">
      <x:c r="A346" s="51" t="str">
        <x:v>GULF-004</x:v>
      </x:c>
      <x:c r="B346" s="51" t="str">
        <x:v>Sovereign wealth</x:v>
      </x:c>
      <x:c r="C346" s="51" t="str">
        <x:v>ACT-UNITEDARABEMIRATES</x:v>
      </x:c>
      <x:c r="D346" s="51" t="str">
        <x:v>United Arab Emirates</x:v>
      </x:c>
      <x:c r="E346" s="51" t="str">
        <x:v>ACT-MUBADALA</x:v>
      </x:c>
      <x:c r="F346" s="51" t="str">
        <x:v>Mubadala</x:v>
      </x:c>
      <x:c r="G346" s="51" t="str">
        <x:v>State → fund</x:v>
      </x:c>
      <x:c r="H346" s="51" t="str">
        <x:v>Ongoing</x:v>
      </x:c>
      <x:c r="I346" s="51" t="str">
        <x:v>State ownership / mandate</x:v>
      </x:c>
      <x:c r="J346" s="51" t="str"/>
      <x:c r="K346" s="51" t="str">
        <x:v>Large state investment capacity</x:v>
      </x:c>
      <x:c r="L346" s="51" t="str">
        <x:v>Resource/public surplus</x:v>
      </x:c>
      <x:c r="M346" s="51" t="str">
        <x:v>Strategic and financial ownership</x:v>
      </x:c>
      <x:c r="N346" s="51" t="str">
        <x:v>Sovereign funds convert resource surplus into diversified assets and capability</x:v>
      </x:c>
      <x:c r="O346" s="51" t="str">
        <x:v>Financial; ownership; material; relational</x:v>
      </x:c>
      <x:c r="P346" s="51" t="str">
        <x:v>E1</x:v>
      </x:c>
      <x:c r="Q346" s="51" t="str">
        <x:v>High</x:v>
      </x:c>
      <x:c r="R346" s="51" t="str">
        <x:v>SRC-017</x:v>
      </x:c>
      <x:c r="S346" s="51" t="str">
        <x:v>The fund is state-owned/state-linked and invests domestically/internationally.</x:v>
      </x:c>
      <x:c r="T346" s="51" t="str">
        <x:v>Direct political control of every portfolio company.</x:v>
      </x:c>
      <x:c r="U346" s="51" t="str">
        <x:v>Return and diversification goals coexist with strategy.</x:v>
      </x:c>
      <x:c r="V346" s="51" t="str">
        <x:v>Active</x:v>
      </x:c>
      <x:c r="W346" s="51" t="str">
        <x:v>56;57</x:v>
      </x:c>
      <x:c r="X346" s="51" t="str">
        <x:v>2026-07-27</x:v>
      </x:c>
    </x:row>
    <x:row r="347">
      <x:c r="A347" s="51" t="str">
        <x:v>GULF-005</x:v>
      </x:c>
      <x:c r="B347" s="51" t="str">
        <x:v>Sovereign wealth</x:v>
      </x:c>
      <x:c r="C347" s="51" t="str">
        <x:v>ACT-UNITEDARABEMIRATES</x:v>
      </x:c>
      <x:c r="D347" s="51" t="str">
        <x:v>United Arab Emirates</x:v>
      </x:c>
      <x:c r="E347" s="51" t="str">
        <x:v>ACT-ADQ</x:v>
      </x:c>
      <x:c r="F347" s="51" t="str">
        <x:v>ADQ</x:v>
      </x:c>
      <x:c r="G347" s="51" t="str">
        <x:v>State → fund</x:v>
      </x:c>
      <x:c r="H347" s="51" t="str">
        <x:v>Ongoing</x:v>
      </x:c>
      <x:c r="I347" s="51" t="str">
        <x:v>State ownership / mandate</x:v>
      </x:c>
      <x:c r="J347" s="51" t="str"/>
      <x:c r="K347" s="51" t="str">
        <x:v>Large state investment capacity</x:v>
      </x:c>
      <x:c r="L347" s="51" t="str">
        <x:v>Resource/public surplus</x:v>
      </x:c>
      <x:c r="M347" s="51" t="str">
        <x:v>Strategic and financial ownership</x:v>
      </x:c>
      <x:c r="N347" s="51" t="str">
        <x:v>Sovereign funds convert resource surplus into diversified assets and capability</x:v>
      </x:c>
      <x:c r="O347" s="51" t="str">
        <x:v>Financial; ownership; material; relational</x:v>
      </x:c>
      <x:c r="P347" s="51" t="str">
        <x:v>E1</x:v>
      </x:c>
      <x:c r="Q347" s="51" t="str">
        <x:v>High</x:v>
      </x:c>
      <x:c r="R347" s="51" t="str">
        <x:v>SRC-017</x:v>
      </x:c>
      <x:c r="S347" s="51" t="str">
        <x:v>The fund is state-owned/state-linked and invests domestically/internationally.</x:v>
      </x:c>
      <x:c r="T347" s="51" t="str">
        <x:v>Direct political control of every portfolio company.</x:v>
      </x:c>
      <x:c r="U347" s="51" t="str">
        <x:v>Return and diversification goals coexist with strategy.</x:v>
      </x:c>
      <x:c r="V347" s="51" t="str">
        <x:v>Active</x:v>
      </x:c>
      <x:c r="W347" s="51" t="str">
        <x:v>56;57</x:v>
      </x:c>
      <x:c r="X347" s="51" t="str">
        <x:v>2026-07-27</x:v>
      </x:c>
    </x:row>
    <x:row r="348">
      <x:c r="A348" s="51" t="str">
        <x:v>GULF-006</x:v>
      </x:c>
      <x:c r="B348" s="51" t="str">
        <x:v>Sovereign wealth</x:v>
      </x:c>
      <x:c r="C348" s="51" t="str">
        <x:v>ACT-UNITEDARABEMIRATES</x:v>
      </x:c>
      <x:c r="D348" s="51" t="str">
        <x:v>United Arab Emirates</x:v>
      </x:c>
      <x:c r="E348" s="51" t="str">
        <x:v>ACT-MGX</x:v>
      </x:c>
      <x:c r="F348" s="51" t="str">
        <x:v>MGX</x:v>
      </x:c>
      <x:c r="G348" s="51" t="str">
        <x:v>State → fund</x:v>
      </x:c>
      <x:c r="H348" s="51" t="str">
        <x:v>Ongoing</x:v>
      </x:c>
      <x:c r="I348" s="51" t="str">
        <x:v>State ownership / mandate</x:v>
      </x:c>
      <x:c r="J348" s="51" t="str"/>
      <x:c r="K348" s="51" t="str">
        <x:v>Large state investment capacity</x:v>
      </x:c>
      <x:c r="L348" s="51" t="str">
        <x:v>Resource/public surplus</x:v>
      </x:c>
      <x:c r="M348" s="51" t="str">
        <x:v>Strategic and financial ownership</x:v>
      </x:c>
      <x:c r="N348" s="51" t="str">
        <x:v>Sovereign funds convert resource surplus into diversified assets and capability</x:v>
      </x:c>
      <x:c r="O348" s="51" t="str">
        <x:v>Financial; ownership; material; relational</x:v>
      </x:c>
      <x:c r="P348" s="51" t="str">
        <x:v>E1</x:v>
      </x:c>
      <x:c r="Q348" s="51" t="str">
        <x:v>High</x:v>
      </x:c>
      <x:c r="R348" s="51" t="str">
        <x:v>SRC-017</x:v>
      </x:c>
      <x:c r="S348" s="51" t="str">
        <x:v>The fund is state-owned/state-linked and invests domestically/internationally.</x:v>
      </x:c>
      <x:c r="T348" s="51" t="str">
        <x:v>Direct political control of every portfolio company.</x:v>
      </x:c>
      <x:c r="U348" s="51" t="str">
        <x:v>Return and diversification goals coexist with strategy.</x:v>
      </x:c>
      <x:c r="V348" s="51" t="str">
        <x:v>Active</x:v>
      </x:c>
      <x:c r="W348" s="51" t="str">
        <x:v>56;57</x:v>
      </x:c>
      <x:c r="X348" s="51" t="str">
        <x:v>2026-07-27</x:v>
      </x:c>
    </x:row>
    <x:row r="349">
      <x:c r="A349" s="51" t="str">
        <x:v>GULF-007</x:v>
      </x:c>
      <x:c r="B349" s="51" t="str">
        <x:v>Sovereign wealth</x:v>
      </x:c>
      <x:c r="C349" s="51" t="str">
        <x:v>ACT-AIINFRASTRUCTUREPARTNERS</x:v>
      </x:c>
      <x:c r="D349" s="51" t="str">
        <x:v>AI Infrastructure Partnership</x:v>
      </x:c>
      <x:c r="E349" s="51" t="str">
        <x:v>ACT-ALIGNEDDATACENTERS</x:v>
      </x:c>
      <x:c r="F349" s="51" t="str">
        <x:v>Aligned Data Centers</x:v>
      </x:c>
      <x:c r="G349" s="51" t="str">
        <x:v>Consortium → company</x:v>
      </x:c>
      <x:c r="H349" s="51" t="str">
        <x:v>2025–2026</x:v>
      </x:c>
      <x:c r="I349" s="51" t="str">
        <x:v>Acquisition</x:v>
      </x:c>
      <x:c r="J349" s="51" t="str">
        <x:v>INS-005</x:v>
      </x:c>
      <x:c r="K349" s="51" t="str">
        <x:v>$40bn</x:v>
      </x:c>
      <x:c r="L349" s="51" t="str">
        <x:v>Institutional and sovereign capital</x:v>
      </x:c>
      <x:c r="M349" s="51" t="str">
        <x:v>Data-centre ownership</x:v>
      </x:c>
      <x:c r="N349" s="51" t="str">
        <x:v>Capital is converted into strategic compute infrastructure</x:v>
      </x:c>
      <x:c r="O349" s="51" t="str">
        <x:v>Financial; ownership; material; informational</x:v>
      </x:c>
      <x:c r="P349" s="51" t="str">
        <x:v>E1</x:v>
      </x:c>
      <x:c r="Q349" s="51" t="str">
        <x:v>Very high</x:v>
      </x:c>
      <x:c r="R349" s="51" t="str">
        <x:v>SRC-015; SRC-016</x:v>
      </x:c>
      <x:c r="S349" s="51" t="str">
        <x:v>The consortium acquired 100% of Aligned equity at a reported $40bn value.</x:v>
      </x:c>
      <x:c r="T349" s="51" t="str">
        <x:v>Control of every tenant's data or decisions.</x:v>
      </x:c>
      <x:c r="U349" s="51" t="str">
        <x:v>Customers retain separate legal/technical controls.</x:v>
      </x:c>
      <x:c r="V349" s="51" t="str">
        <x:v>Completed</x:v>
      </x:c>
      <x:c r="W349" s="51" t="str">
        <x:v>57</x:v>
      </x:c>
      <x:c r="X349" s="51" t="str">
        <x:v>2026-07-27</x:v>
      </x:c>
    </x:row>
    <x:row r="350">
      <x:c r="A350" s="51" t="str">
        <x:v>GULF-008</x:v>
      </x:c>
      <x:c r="B350" s="51" t="str">
        <x:v>Sovereign wealth</x:v>
      </x:c>
      <x:c r="C350" s="51" t="str">
        <x:v>ACT-MGX</x:v>
      </x:c>
      <x:c r="D350" s="51" t="str">
        <x:v>MGX</x:v>
      </x:c>
      <x:c r="E350" s="51" t="str">
        <x:v>ACT-AIINFRASTRUCTUREPARTNERS</x:v>
      </x:c>
      <x:c r="F350" s="51" t="str">
        <x:v>AI Infrastructure Partnership</x:v>
      </x:c>
      <x:c r="G350" s="51" t="str">
        <x:v>A → consortium</x:v>
      </x:c>
      <x:c r="H350" s="51" t="str">
        <x:v>2025–2026</x:v>
      </x:c>
      <x:c r="I350" s="51" t="str">
        <x:v>Consortium membership / capital</x:v>
      </x:c>
      <x:c r="J350" s="51" t="str">
        <x:v>INS-005</x:v>
      </x:c>
      <x:c r="K350" s="51" t="str">
        <x:v>Role-specific / partly undisclosed</x:v>
      </x:c>
      <x:c r="L350" s="51" t="str">
        <x:v>Capital, technology or demand</x:v>
      </x:c>
      <x:c r="M350" s="51" t="str">
        <x:v>Joint AI-infrastructure capacity</x:v>
      </x:c>
      <x:c r="N350" s="51" t="str">
        <x:v>Public, private and technology capital combine around compute infrastructure</x:v>
      </x:c>
      <x:c r="O350" s="51" t="str">
        <x:v>Financial; relational; material; technological</x:v>
      </x:c>
      <x:c r="P350" s="51" t="str">
        <x:v>E2</x:v>
      </x:c>
      <x:c r="Q350" s="51" t="str">
        <x:v>High</x:v>
      </x:c>
      <x:c r="R350" s="51" t="str">
        <x:v>SRC-015; SRC-016</x:v>
      </x:c>
      <x:c r="S350" s="51" t="str">
        <x:v>MGX is publicly identified within the partnership/transaction ecosystem.</x:v>
      </x:c>
      <x:c r="T350" s="51" t="str">
        <x:v>Identical governance rights, control over all partners, or an exclusive arrangement.</x:v>
      </x:c>
      <x:c r="U350" s="51" t="str">
        <x:v>Sponsor, investor, adviser and technology-partner roles may differ.</x:v>
      </x:c>
      <x:c r="V350" s="51" t="str">
        <x:v>Active</x:v>
      </x:c>
      <x:c r="W350" s="51" t="str">
        <x:v>57</x:v>
      </x:c>
      <x:c r="X350" s="51" t="str">
        <x:v>2026-07-27</x:v>
      </x:c>
    </x:row>
    <x:row r="351">
      <x:c r="A351" s="51" t="str">
        <x:v>GULF-009</x:v>
      </x:c>
      <x:c r="B351" s="51" t="str">
        <x:v>Sovereign wealth</x:v>
      </x:c>
      <x:c r="C351" s="51" t="str">
        <x:v>ACT-GLOBALINFRASTRUCTUREPART</x:v>
      </x:c>
      <x:c r="D351" s="51" t="str">
        <x:v>Global Infrastructure Partners</x:v>
      </x:c>
      <x:c r="E351" s="51" t="str">
        <x:v>ACT-AIINFRASTRUCTUREPARTNERS</x:v>
      </x:c>
      <x:c r="F351" s="51" t="str">
        <x:v>AI Infrastructure Partnership</x:v>
      </x:c>
      <x:c r="G351" s="51" t="str">
        <x:v>A → consortium</x:v>
      </x:c>
      <x:c r="H351" s="51" t="str">
        <x:v>2025–2026</x:v>
      </x:c>
      <x:c r="I351" s="51" t="str">
        <x:v>Infrastructure investment and management</x:v>
      </x:c>
      <x:c r="J351" s="51" t="str">
        <x:v>INS-005</x:v>
      </x:c>
      <x:c r="K351" s="51" t="str">
        <x:v>Role-specific / partly undisclosed</x:v>
      </x:c>
      <x:c r="L351" s="51" t="str">
        <x:v>Capital, technology or demand</x:v>
      </x:c>
      <x:c r="M351" s="51" t="str">
        <x:v>Joint AI-infrastructure capacity</x:v>
      </x:c>
      <x:c r="N351" s="51" t="str">
        <x:v>Public, private and technology capital combine around compute infrastructure</x:v>
      </x:c>
      <x:c r="O351" s="51" t="str">
        <x:v>Financial; relational; material; technological</x:v>
      </x:c>
      <x:c r="P351" s="51" t="str">
        <x:v>E2</x:v>
      </x:c>
      <x:c r="Q351" s="51" t="str">
        <x:v>High</x:v>
      </x:c>
      <x:c r="R351" s="51" t="str">
        <x:v>SRC-015; SRC-016</x:v>
      </x:c>
      <x:c r="S351" s="51" t="str">
        <x:v>Global Infrastructure Partners is publicly identified within the partnership/transaction ecosystem.</x:v>
      </x:c>
      <x:c r="T351" s="51" t="str">
        <x:v>Identical governance rights, control over all partners, or an exclusive arrangement.</x:v>
      </x:c>
      <x:c r="U351" s="51" t="str">
        <x:v>Sponsor, investor, adviser and technology-partner roles may differ.</x:v>
      </x:c>
      <x:c r="V351" s="51" t="str">
        <x:v>Active</x:v>
      </x:c>
      <x:c r="W351" s="51" t="str">
        <x:v>57</x:v>
      </x:c>
      <x:c r="X351" s="51" t="str">
        <x:v>2026-07-27</x:v>
      </x:c>
    </x:row>
    <x:row r="352">
      <x:c r="A352" s="51" t="str">
        <x:v>GULF-010</x:v>
      </x:c>
      <x:c r="B352" s="51" t="str">
        <x:v>Sovereign wealth</x:v>
      </x:c>
      <x:c r="C352" s="51" t="str">
        <x:v>ACT-MICROSOFT</x:v>
      </x:c>
      <x:c r="D352" s="51" t="str">
        <x:v>Microsoft</x:v>
      </x:c>
      <x:c r="E352" s="51" t="str">
        <x:v>ACT-AIINFRASTRUCTUREPARTNERS</x:v>
      </x:c>
      <x:c r="F352" s="51" t="str">
        <x:v>AI Infrastructure Partnership</x:v>
      </x:c>
      <x:c r="G352" s="51" t="str">
        <x:v>A → consortium</x:v>
      </x:c>
      <x:c r="H352" s="51" t="str">
        <x:v>2025–2026</x:v>
      </x:c>
      <x:c r="I352" s="51" t="str">
        <x:v>Technology-partner participation</x:v>
      </x:c>
      <x:c r="J352" s="51" t="str">
        <x:v>INS-005</x:v>
      </x:c>
      <x:c r="K352" s="51" t="str">
        <x:v>Role-specific / partly undisclosed</x:v>
      </x:c>
      <x:c r="L352" s="51" t="str">
        <x:v>Capital, technology or demand</x:v>
      </x:c>
      <x:c r="M352" s="51" t="str">
        <x:v>Joint AI-infrastructure capacity</x:v>
      </x:c>
      <x:c r="N352" s="51" t="str">
        <x:v>Public, private and technology capital combine around compute infrastructure</x:v>
      </x:c>
      <x:c r="O352" s="51" t="str">
        <x:v>Financial; relational; material; technological</x:v>
      </x:c>
      <x:c r="P352" s="51" t="str">
        <x:v>E2</x:v>
      </x:c>
      <x:c r="Q352" s="51" t="str">
        <x:v>High</x:v>
      </x:c>
      <x:c r="R352" s="51" t="str">
        <x:v>SRC-016</x:v>
      </x:c>
      <x:c r="S352" s="51" t="str">
        <x:v>Microsoft is publicly identified within the partnership/transaction ecosystem.</x:v>
      </x:c>
      <x:c r="T352" s="51" t="str">
        <x:v>Identical governance rights, control over all partners, or an exclusive arrangement.</x:v>
      </x:c>
      <x:c r="U352" s="51" t="str">
        <x:v>Sponsor, investor, adviser and technology-partner roles may differ.</x:v>
      </x:c>
      <x:c r="V352" s="51" t="str">
        <x:v>Active</x:v>
      </x:c>
      <x:c r="W352" s="51" t="str">
        <x:v>57</x:v>
      </x:c>
      <x:c r="X352" s="51" t="str">
        <x:v>2026-07-27</x:v>
      </x:c>
    </x:row>
    <x:row r="353">
      <x:c r="A353" s="51" t="str">
        <x:v>GULF-011</x:v>
      </x:c>
      <x:c r="B353" s="51" t="str">
        <x:v>Sovereign wealth</x:v>
      </x:c>
      <x:c r="C353" s="51" t="str">
        <x:v>ACT-NVIDIA</x:v>
      </x:c>
      <x:c r="D353" s="51" t="str">
        <x:v>NVIDIA</x:v>
      </x:c>
      <x:c r="E353" s="51" t="str">
        <x:v>ACT-AIINFRASTRUCTUREPARTNERS</x:v>
      </x:c>
      <x:c r="F353" s="51" t="str">
        <x:v>AI Infrastructure Partnership</x:v>
      </x:c>
      <x:c r="G353" s="51" t="str">
        <x:v>A → consortium</x:v>
      </x:c>
      <x:c r="H353" s="51" t="str">
        <x:v>2025–2026</x:v>
      </x:c>
      <x:c r="I353" s="51" t="str">
        <x:v>Technology/investor participation</x:v>
      </x:c>
      <x:c r="J353" s="51" t="str">
        <x:v>INS-005</x:v>
      </x:c>
      <x:c r="K353" s="51" t="str">
        <x:v>Role-specific / partly undisclosed</x:v>
      </x:c>
      <x:c r="L353" s="51" t="str">
        <x:v>Capital, technology or demand</x:v>
      </x:c>
      <x:c r="M353" s="51" t="str">
        <x:v>Joint AI-infrastructure capacity</x:v>
      </x:c>
      <x:c r="N353" s="51" t="str">
        <x:v>Public, private and technology capital combine around compute infrastructure</x:v>
      </x:c>
      <x:c r="O353" s="51" t="str">
        <x:v>Financial; relational; material; technological</x:v>
      </x:c>
      <x:c r="P353" s="51" t="str">
        <x:v>E2</x:v>
      </x:c>
      <x:c r="Q353" s="51" t="str">
        <x:v>High</x:v>
      </x:c>
      <x:c r="R353" s="51" t="str">
        <x:v>SRC-015; SRC-016</x:v>
      </x:c>
      <x:c r="S353" s="51" t="str">
        <x:v>NVIDIA is publicly identified within the partnership/transaction ecosystem.</x:v>
      </x:c>
      <x:c r="T353" s="51" t="str">
        <x:v>Identical governance rights, control over all partners, or an exclusive arrangement.</x:v>
      </x:c>
      <x:c r="U353" s="51" t="str">
        <x:v>Sponsor, investor, adviser and technology-partner roles may differ.</x:v>
      </x:c>
      <x:c r="V353" s="51" t="str">
        <x:v>Active</x:v>
      </x:c>
      <x:c r="W353" s="51" t="str">
        <x:v>57</x:v>
      </x:c>
      <x:c r="X353" s="51" t="str">
        <x:v>2026-07-27</x:v>
      </x:c>
    </x:row>
    <x:row r="354">
      <x:c r="A354" s="51" t="str">
        <x:v>GULF-012</x:v>
      </x:c>
      <x:c r="B354" s="51" t="str">
        <x:v>Sovereign wealth</x:v>
      </x:c>
      <x:c r="C354" s="51" t="str">
        <x:v>ACT-XAI</x:v>
      </x:c>
      <x:c r="D354" s="51" t="str">
        <x:v>xAI</x:v>
      </x:c>
      <x:c r="E354" s="51" t="str">
        <x:v>ACT-AIINFRASTRUCTUREPARTNERS</x:v>
      </x:c>
      <x:c r="F354" s="51" t="str">
        <x:v>AI Infrastructure Partnership</x:v>
      </x:c>
      <x:c r="G354" s="51" t="str">
        <x:v>A → consortium</x:v>
      </x:c>
      <x:c r="H354" s="51" t="str">
        <x:v>2025–2026</x:v>
      </x:c>
      <x:c r="I354" s="51" t="str">
        <x:v>Technology/demand participation</x:v>
      </x:c>
      <x:c r="J354" s="51" t="str">
        <x:v>INS-005</x:v>
      </x:c>
      <x:c r="K354" s="51" t="str">
        <x:v>Role-specific / partly undisclosed</x:v>
      </x:c>
      <x:c r="L354" s="51" t="str">
        <x:v>Capital, technology or demand</x:v>
      </x:c>
      <x:c r="M354" s="51" t="str">
        <x:v>Joint AI-infrastructure capacity</x:v>
      </x:c>
      <x:c r="N354" s="51" t="str">
        <x:v>Public, private and technology capital combine around compute infrastructure</x:v>
      </x:c>
      <x:c r="O354" s="51" t="str">
        <x:v>Financial; relational; material; technological</x:v>
      </x:c>
      <x:c r="P354" s="51" t="str">
        <x:v>E2</x:v>
      </x:c>
      <x:c r="Q354" s="51" t="str">
        <x:v>High</x:v>
      </x:c>
      <x:c r="R354" s="51" t="str">
        <x:v>SRC-015; SRC-016</x:v>
      </x:c>
      <x:c r="S354" s="51" t="str">
        <x:v>xAI is publicly identified within the partnership/transaction ecosystem.</x:v>
      </x:c>
      <x:c r="T354" s="51" t="str">
        <x:v>Identical governance rights, control over all partners, or an exclusive arrangement.</x:v>
      </x:c>
      <x:c r="U354" s="51" t="str">
        <x:v>Sponsor, investor, adviser and technology-partner roles may differ.</x:v>
      </x:c>
      <x:c r="V354" s="51" t="str">
        <x:v>Active</x:v>
      </x:c>
      <x:c r="W354" s="51" t="str">
        <x:v>57</x:v>
      </x:c>
      <x:c r="X354" s="51" t="str">
        <x:v>2026-07-27</x:v>
      </x:c>
    </x:row>
    <x:row r="355">
      <x:c r="A355" s="51" t="str">
        <x:v>GULF-013</x:v>
      </x:c>
      <x:c r="B355" s="51" t="str">
        <x:v>Sovereign wealth</x:v>
      </x:c>
      <x:c r="C355" s="51" t="str">
        <x:v>ACT-KUWAITINVESTMENTAUTHORIT</x:v>
      </x:c>
      <x:c r="D355" s="51" t="str">
        <x:v>Kuwait Investment Authority</x:v>
      </x:c>
      <x:c r="E355" s="51" t="str">
        <x:v>ACT-AIINFRASTRUCTUREPARTNERS</x:v>
      </x:c>
      <x:c r="F355" s="51" t="str">
        <x:v>AI Infrastructure Partnership</x:v>
      </x:c>
      <x:c r="G355" s="51" t="str">
        <x:v>A → consortium</x:v>
      </x:c>
      <x:c r="H355" s="51" t="str">
        <x:v>2025–2026</x:v>
      </x:c>
      <x:c r="I355" s="51" t="str">
        <x:v>Capital backing</x:v>
      </x:c>
      <x:c r="J355" s="51" t="str">
        <x:v>INS-005</x:v>
      </x:c>
      <x:c r="K355" s="51" t="str">
        <x:v>Role-specific / partly undisclosed</x:v>
      </x:c>
      <x:c r="L355" s="51" t="str">
        <x:v>Capital, technology or demand</x:v>
      </x:c>
      <x:c r="M355" s="51" t="str">
        <x:v>Joint AI-infrastructure capacity</x:v>
      </x:c>
      <x:c r="N355" s="51" t="str">
        <x:v>Public, private and technology capital combine around compute infrastructure</x:v>
      </x:c>
      <x:c r="O355" s="51" t="str">
        <x:v>Financial; relational; material; technological</x:v>
      </x:c>
      <x:c r="P355" s="51" t="str">
        <x:v>E2</x:v>
      </x:c>
      <x:c r="Q355" s="51" t="str">
        <x:v>Moderate</x:v>
      </x:c>
      <x:c r="R355" s="51" t="str">
        <x:v>SRC-016</x:v>
      </x:c>
      <x:c r="S355" s="51" t="str">
        <x:v>Kuwait Investment Authority is publicly identified within the partnership/transaction ecosystem.</x:v>
      </x:c>
      <x:c r="T355" s="51" t="str">
        <x:v>Identical governance rights, control over all partners, or an exclusive arrangement.</x:v>
      </x:c>
      <x:c r="U355" s="51" t="str">
        <x:v>Sponsor, investor, adviser and technology-partner roles may differ.</x:v>
      </x:c>
      <x:c r="V355" s="51" t="str">
        <x:v>Active</x:v>
      </x:c>
      <x:c r="W355" s="51" t="str">
        <x:v>57</x:v>
      </x:c>
      <x:c r="X355" s="51" t="str">
        <x:v>2026-07-27</x:v>
      </x:c>
    </x:row>
    <x:row r="356">
      <x:c r="A356" s="51" t="str">
        <x:v>GULF-014</x:v>
      </x:c>
      <x:c r="B356" s="51" t="str">
        <x:v>Sovereign wealth</x:v>
      </x:c>
      <x:c r="C356" s="51" t="str">
        <x:v>ACT-TEMASEK</x:v>
      </x:c>
      <x:c r="D356" s="51" t="str">
        <x:v>Temasek</x:v>
      </x:c>
      <x:c r="E356" s="51" t="str">
        <x:v>ACT-AIINFRASTRUCTUREPARTNERS</x:v>
      </x:c>
      <x:c r="F356" s="51" t="str">
        <x:v>AI Infrastructure Partnership</x:v>
      </x:c>
      <x:c r="G356" s="51" t="str">
        <x:v>A → consortium</x:v>
      </x:c>
      <x:c r="H356" s="51" t="str">
        <x:v>2025–2026</x:v>
      </x:c>
      <x:c r="I356" s="51" t="str">
        <x:v>Capital backing</x:v>
      </x:c>
      <x:c r="J356" s="51" t="str">
        <x:v>INS-005</x:v>
      </x:c>
      <x:c r="K356" s="51" t="str">
        <x:v>Role-specific / partly undisclosed</x:v>
      </x:c>
      <x:c r="L356" s="51" t="str">
        <x:v>Capital, technology or demand</x:v>
      </x:c>
      <x:c r="M356" s="51" t="str">
        <x:v>Joint AI-infrastructure capacity</x:v>
      </x:c>
      <x:c r="N356" s="51" t="str">
        <x:v>Public, private and technology capital combine around compute infrastructure</x:v>
      </x:c>
      <x:c r="O356" s="51" t="str">
        <x:v>Financial; relational; material; technological</x:v>
      </x:c>
      <x:c r="P356" s="51" t="str">
        <x:v>E2</x:v>
      </x:c>
      <x:c r="Q356" s="51" t="str">
        <x:v>Moderate</x:v>
      </x:c>
      <x:c r="R356" s="51" t="str">
        <x:v>SRC-016</x:v>
      </x:c>
      <x:c r="S356" s="51" t="str">
        <x:v>Temasek is publicly identified within the partnership/transaction ecosystem.</x:v>
      </x:c>
      <x:c r="T356" s="51" t="str">
        <x:v>Identical governance rights, control over all partners, or an exclusive arrangement.</x:v>
      </x:c>
      <x:c r="U356" s="51" t="str">
        <x:v>Sponsor, investor, adviser and technology-partner roles may differ.</x:v>
      </x:c>
      <x:c r="V356" s="51" t="str">
        <x:v>Active</x:v>
      </x:c>
      <x:c r="W356" s="51" t="str">
        <x:v>57</x:v>
      </x:c>
      <x:c r="X356" s="51" t="str">
        <x:v>2026-07-27</x:v>
      </x:c>
    </x:row>
    <x:row r="357">
      <x:c r="A357" s="51" t="str">
        <x:v>GULF-015</x:v>
      </x:c>
      <x:c r="B357" s="51" t="str">
        <x:v>Sovereign wealth</x:v>
      </x:c>
      <x:c r="C357" s="51" t="str">
        <x:v>ACT-AIINFRASTRUCTUREPARTNERS</x:v>
      </x:c>
      <x:c r="D357" s="51" t="str">
        <x:v>AI Infrastructure Partnership</x:v>
      </x:c>
      <x:c r="E357" s="51" t="str">
        <x:v>ACT-ALIGNEDDATACENTERS</x:v>
      </x:c>
      <x:c r="F357" s="51" t="str">
        <x:v>Aligned Data Centers</x:v>
      </x:c>
      <x:c r="G357" s="51" t="str">
        <x:v>Consortium → company</x:v>
      </x:c>
      <x:c r="H357" s="51" t="str">
        <x:v>2026-07</x:v>
      </x:c>
      <x:c r="I357" s="51" t="str">
        <x:v>Growth-capital commitment</x:v>
      </x:c>
      <x:c r="J357" s="51" t="str">
        <x:v>INS-006</x:v>
      </x:c>
      <x:c r="K357" s="51" t="str">
        <x:v>$5bn</x:v>
      </x:c>
      <x:c r="L357" s="51" t="str">
        <x:v>Post-acquisition capital</x:v>
      </x:c>
      <x:c r="M357" s="51" t="str">
        <x:v>Expanded data-centre capacity</x:v>
      </x:c>
      <x:c r="N357" s="51" t="str">
        <x:v>Ownership is followed by capital to expand compute supply</x:v>
      </x:c>
      <x:c r="O357" s="51" t="str">
        <x:v>Financial; material; ownership</x:v>
      </x:c>
      <x:c r="P357" s="51" t="str">
        <x:v>E1</x:v>
      </x:c>
      <x:c r="Q357" s="51" t="str">
        <x:v>Very high</x:v>
      </x:c>
      <x:c r="R357" s="51" t="str">
        <x:v>SRC-015</x:v>
      </x:c>
      <x:c r="S357" s="51" t="str">
        <x:v>An additional $5bn commitment was reported.</x:v>
      </x:c>
      <x:c r="T357" s="51" t="str">
        <x:v>Immediate deployment of the full amount or guaranteed completion.</x:v>
      </x:c>
      <x:c r="U357" s="51" t="str">
        <x:v>Deployment depends on permits, power and demand.</x:v>
      </x:c>
      <x:c r="V357" s="51" t="str">
        <x:v>Committed</x:v>
      </x:c>
      <x:c r="W357" s="51" t="str">
        <x:v>57</x:v>
      </x:c>
      <x:c r="X357" s="51" t="str">
        <x:v>2026-07-27</x:v>
      </x:c>
    </x:row>
    <x:row r="358">
      <x:c r="A358" s="51" t="str">
        <x:v>GULF-016</x:v>
      </x:c>
      <x:c r="B358" s="51" t="str">
        <x:v>Sovereign wealth</x:v>
      </x:c>
      <x:c r="C358" s="51" t="str">
        <x:v>ACT-UNITEDARABEMIRATES</x:v>
      </x:c>
      <x:c r="D358" s="51" t="str">
        <x:v>United Arab Emirates</x:v>
      </x:c>
      <x:c r="E358" s="51" t="str">
        <x:v>ACT-MICROSOFT</x:v>
      </x:c>
      <x:c r="F358" s="51" t="str">
        <x:v>Microsoft</x:v>
      </x:c>
      <x:c r="G358" s="51" t="str">
        <x:v>Bidirectional</x:v>
      </x:c>
      <x:c r="H358" s="51" t="str">
        <x:v>Emerging / ongoing</x:v>
      </x:c>
      <x:c r="I358" s="51" t="str">
        <x:v>Energy-capital-technology bargain</x:v>
      </x:c>
      <x:c r="J358" s="51" t="str"/>
      <x:c r="K358" s="51" t="str">
        <x:v>System-level</x:v>
      </x:c>
      <x:c r="L358" s="51" t="str">
        <x:v>Land, power and capital ↔ cloud/AI technology</x:v>
      </x:c>
      <x:c r="M358" s="51" t="str">
        <x:v>Compute and domestic capability</x:v>
      </x:c>
      <x:c r="N358" s="51" t="str">
        <x:v>Gulf states and US technology firms exchange complementary inputs</x:v>
      </x:c>
      <x:c r="O358" s="51" t="str">
        <x:v>Financial; material; technological; relational</x:v>
      </x:c>
      <x:c r="P358" s="51" t="str">
        <x:v>S1</x:v>
      </x:c>
      <x:c r="Q358" s="51" t="str">
        <x:v>High</x:v>
      </x:c>
      <x:c r="R358" s="51" t="str">
        <x:v>SRC-015; SRC-017</x:v>
      </x:c>
      <x:c r="S358" s="51" t="str">
        <x:v>Investments and partnerships support a cross-border AI-infrastructure bloc.</x:v>
      </x:c>
      <x:c r="T358" s="51" t="str">
        <x:v>A unified political alliance or unrestricted technology transfer.</x:v>
      </x:c>
      <x:c r="U358" s="51" t="str">
        <x:v>Commercial returns and customer demand are alternative drivers.</x:v>
      </x:c>
      <x:c r="V358" s="51" t="str">
        <x:v>Emerging</x:v>
      </x:c>
      <x:c r="W358" s="51" t="str">
        <x:v>57</x:v>
      </x:c>
      <x:c r="X358" s="51" t="str">
        <x:v>2026-07-27</x:v>
      </x:c>
    </x:row>
    <x:row r="359">
      <x:c r="A359" s="51" t="str">
        <x:v>HFIN-001</x:v>
      </x:c>
      <x:c r="B359" s="51" t="str">
        <x:v>Public housing finance and securitization</x:v>
      </x:c>
      <x:c r="C359" s="51" t="str">
        <x:v>ACT-FEDERALHOUSINGFINANCEAGE</x:v>
      </x:c>
      <x:c r="D359" s="51" t="str">
        <x:v>Federal Housing Finance Agency</x:v>
      </x:c>
      <x:c r="E359" s="51" t="str">
        <x:v>ACT-FANNIEMAE</x:v>
      </x:c>
      <x:c r="F359" s="51" t="str">
        <x:v>Fannie Mae</x:v>
      </x:c>
      <x:c r="G359" s="51" t="str">
        <x:v>Regulator/conservator → Enterprise</x:v>
      </x:c>
      <x:c r="H359" s="51" t="str">
        <x:v>2008–present</x:v>
      </x:c>
      <x:c r="I359" s="51" t="str">
        <x:v>Conservatorship, supervision and mission direction</x:v>
      </x:c>
      <x:c r="J359" s="51" t="str">
        <x:v>INS-169; INS-176; INS-177</x:v>
      </x:c>
      <x:c r="K359" s="51" t="str">
        <x:v>$4.1 trillion guaranty book at Fannie year-end 2025</x:v>
      </x:c>
      <x:c r="L359" s="51" t="str">
        <x:v>Statutory authority and housing-market policy</x:v>
      </x:c>
      <x:c r="M359" s="51" t="str">
        <x:v>Capital, product and purchase constraints</x:v>
      </x:c>
      <x:c r="N359" s="51" t="str">
        <x:v>Public conservatorship places a privately organised mortgage guarantor under direct regulatory control</x:v>
      </x:c>
      <x:c r="O359" s="51" t="str">
        <x:v>Institutional; financial; ownership</x:v>
      </x:c>
      <x:c r="P359" s="51" t="str">
        <x:v>E1</x:v>
      </x:c>
      <x:c r="Q359" s="51" t="str">
        <x:v>Very high</x:v>
      </x:c>
      <x:c r="R359" s="51" t="str">
        <x:v>SRC-300; SRC-301; SRC-302</x:v>
      </x:c>
      <x:c r="S359" s="51" t="str">
        <x:v>FHFA regulates and acts as conservator of Fannie Mae.</x:v>
      </x:c>
      <x:c r="T359" s="51" t="str">
        <x:v>Ordinary federal department ownership or permanent conservatorship outcome.</x:v>
      </x:c>
      <x:c r="U359" s="51" t="str">
        <x:v>Capital and Treasury agreements create a hybrid structure.</x:v>
      </x:c>
      <x:c r="V359" s="51" t="str">
        <x:v>Active conservatorship</x:v>
      </x:c>
      <x:c r="W359" s="51" t="str">
        <x:v>39;47;57</x:v>
      </x:c>
      <x:c r="X359" s="51" t="str">
        <x:v>2026-07-27</x:v>
      </x:c>
    </x:row>
    <x:row r="360">
      <x:c r="A360" s="51" t="str">
        <x:v>HFIN-002</x:v>
      </x:c>
      <x:c r="B360" s="51" t="str">
        <x:v>Public housing finance and securitization</x:v>
      </x:c>
      <x:c r="C360" s="51" t="str">
        <x:v>ACT-FEDERALHOUSINGFINANCEAGE</x:v>
      </x:c>
      <x:c r="D360" s="51" t="str">
        <x:v>Federal Housing Finance Agency</x:v>
      </x:c>
      <x:c r="E360" s="51" t="str">
        <x:v>ACT-FREDDIEMAC</x:v>
      </x:c>
      <x:c r="F360" s="51" t="str">
        <x:v>Freddie Mac</x:v>
      </x:c>
      <x:c r="G360" s="51" t="str">
        <x:v>Regulator/conservator → Enterprise</x:v>
      </x:c>
      <x:c r="H360" s="51" t="str">
        <x:v>2008–present</x:v>
      </x:c>
      <x:c r="I360" s="51" t="str">
        <x:v>Conservatorship, supervision and mission direction</x:v>
      </x:c>
      <x:c r="J360" s="51" t="str">
        <x:v>INS-170; INS-176; INS-177</x:v>
      </x:c>
      <x:c r="K360" s="51" t="str">
        <x:v>Trillion-dollar mortgage portfolio</x:v>
      </x:c>
      <x:c r="L360" s="51" t="str">
        <x:v>Statutory authority and housing-market policy</x:v>
      </x:c>
      <x:c r="M360" s="51" t="str">
        <x:v>Capital, product and purchase constraints</x:v>
      </x:c>
      <x:c r="N360" s="51" t="str">
        <x:v>FHFA uses supervision and conservatorship to shape Enterprise mortgage-market behaviour</x:v>
      </x:c>
      <x:c r="O360" s="51" t="str">
        <x:v>Institutional; financial; ownership</x:v>
      </x:c>
      <x:c r="P360" s="51" t="str">
        <x:v>E1</x:v>
      </x:c>
      <x:c r="Q360" s="51" t="str">
        <x:v>Very high</x:v>
      </x:c>
      <x:c r="R360" s="51" t="str">
        <x:v>SRC-300; SRC-301; SRC-304</x:v>
      </x:c>
      <x:c r="S360" s="51" t="str">
        <x:v>FHFA regulates and acts as conservator of Freddie Mac.</x:v>
      </x:c>
      <x:c r="T360" s="51" t="str">
        <x:v>Final post-conservatorship ownership structure.</x:v>
      </x:c>
      <x:c r="U360" s="51" t="str">
        <x:v>The future capital and charter model remains policy dependent.</x:v>
      </x:c>
      <x:c r="V360" s="51" t="str">
        <x:v>Active conservatorship</x:v>
      </x:c>
      <x:c r="W360" s="51" t="str">
        <x:v>39;47;57</x:v>
      </x:c>
      <x:c r="X360" s="51" t="str">
        <x:v>2026-07-27</x:v>
      </x:c>
    </x:row>
    <x:row r="361">
      <x:c r="A361" s="51" t="str">
        <x:v>HFIN-003</x:v>
      </x:c>
      <x:c r="B361" s="51" t="str">
        <x:v>Public housing finance and securitization</x:v>
      </x:c>
      <x:c r="C361" s="51" t="str">
        <x:v>ACT-MORTGAGELENDERSANDAPPROV</x:v>
      </x:c>
      <x:c r="D361" s="51" t="str">
        <x:v>Mortgage lenders and approved issuers</x:v>
      </x:c>
      <x:c r="E361" s="51" t="str">
        <x:v>ACT-FANNIEMAE</x:v>
      </x:c>
      <x:c r="F361" s="51" t="str">
        <x:v>Fannie Mae</x:v>
      </x:c>
      <x:c r="G361" s="51" t="str">
        <x:v>Lenders → Enterprise</x:v>
      </x:c>
      <x:c r="H361" s="51" t="str">
        <x:v>Ongoing</x:v>
      </x:c>
      <x:c r="I361" s="51" t="str">
        <x:v>Mortgage sale and delivery</x:v>
      </x:c>
      <x:c r="J361" s="51" t="str">
        <x:v>INS-169; INS-176</x:v>
      </x:c>
      <x:c r="K361" s="51" t="str">
        <x:v>Loan-specific</x:v>
      </x:c>
      <x:c r="L361" s="51" t="str">
        <x:v>Conforming mortgages meeting guidelines</x:v>
      </x:c>
      <x:c r="M361" s="51" t="str">
        <x:v>Cash or MBS execution and liquidity</x:v>
      </x:c>
      <x:c r="N361" s="51" t="str">
        <x:v>The Enterprise converts local mortgage originations into nationally funded and standardised assets</x:v>
      </x:c>
      <x:c r="O361" s="51" t="str">
        <x:v>Financial; informational; institutional</x:v>
      </x:c>
      <x:c r="P361" s="51" t="str">
        <x:v>E1</x:v>
      </x:c>
      <x:c r="Q361" s="51" t="str">
        <x:v>Very high</x:v>
      </x:c>
      <x:c r="R361" s="51" t="str">
        <x:v>SRC-300; SRC-302; SRC-325</x:v>
      </x:c>
      <x:c r="S361" s="51" t="str">
        <x:v>Fannie purchases and securitises eligible mortgages from lenders.</x:v>
      </x:c>
      <x:c r="T361" s="51" t="str">
        <x:v>Purchase of every loan or federal guarantee of the lender.</x:v>
      </x:c>
      <x:c r="U361" s="51" t="str">
        <x:v>Eligibility, pricing and representations apply.</x:v>
      </x:c>
      <x:c r="V361" s="51" t="str">
        <x:v>Active</x:v>
      </x:c>
      <x:c r="W361" s="51" t="str">
        <x:v>39;57</x:v>
      </x:c>
      <x:c r="X361" s="51" t="str">
        <x:v>2026-07-27</x:v>
      </x:c>
    </x:row>
    <x:row r="362">
      <x:c r="A362" s="51" t="str">
        <x:v>HFIN-004</x:v>
      </x:c>
      <x:c r="B362" s="51" t="str">
        <x:v>Public housing finance and securitization</x:v>
      </x:c>
      <x:c r="C362" s="51" t="str">
        <x:v>ACT-MORTGAGELENDERSANDAPPROV</x:v>
      </x:c>
      <x:c r="D362" s="51" t="str">
        <x:v>Mortgage lenders and approved issuers</x:v>
      </x:c>
      <x:c r="E362" s="51" t="str">
        <x:v>ACT-FREDDIEMAC</x:v>
      </x:c>
      <x:c r="F362" s="51" t="str">
        <x:v>Freddie Mac</x:v>
      </x:c>
      <x:c r="G362" s="51" t="str">
        <x:v>Lenders → Enterprise</x:v>
      </x:c>
      <x:c r="H362" s="51" t="str">
        <x:v>Ongoing</x:v>
      </x:c>
      <x:c r="I362" s="51" t="str">
        <x:v>Mortgage sale and delivery</x:v>
      </x:c>
      <x:c r="J362" s="51" t="str">
        <x:v>INS-170; INS-176</x:v>
      </x:c>
      <x:c r="K362" s="51" t="str">
        <x:v>Loan-specific</x:v>
      </x:c>
      <x:c r="L362" s="51" t="str">
        <x:v>Conforming mortgages meeting guidelines</x:v>
      </x:c>
      <x:c r="M362" s="51" t="str">
        <x:v>Cash or securitisation liquidity</x:v>
      </x:c>
      <x:c r="N362" s="51" t="str">
        <x:v>Secondary-market access lowers the need for an originator to retain every mortgage to maturity</x:v>
      </x:c>
      <x:c r="O362" s="51" t="str">
        <x:v>Financial; informational; institutional</x:v>
      </x:c>
      <x:c r="P362" s="51" t="str">
        <x:v>E1</x:v>
      </x:c>
      <x:c r="Q362" s="51" t="str">
        <x:v>Very high</x:v>
      </x:c>
      <x:c r="R362" s="51" t="str">
        <x:v>SRC-300; SRC-304; SRC-325</x:v>
      </x:c>
      <x:c r="S362" s="51" t="str">
        <x:v>Freddie purchases and guarantees eligible mortgages.</x:v>
      </x:c>
      <x:c r="T362" s="51" t="str">
        <x:v>Purchase of all mortgages or absence of lender credit obligations.</x:v>
      </x:c>
      <x:c r="U362" s="51" t="str">
        <x:v>Delivery and servicing representations remain.</x:v>
      </x:c>
      <x:c r="V362" s="51" t="str">
        <x:v>Active</x:v>
      </x:c>
      <x:c r="W362" s="51" t="str">
        <x:v>39;57</x:v>
      </x:c>
      <x:c r="X362" s="51" t="str">
        <x:v>2026-07-27</x:v>
      </x:c>
    </x:row>
    <x:row r="363">
      <x:c r="A363" s="51" t="str">
        <x:v>HFIN-005</x:v>
      </x:c>
      <x:c r="B363" s="51" t="str">
        <x:v>Public housing finance and securitization</x:v>
      </x:c>
      <x:c r="C363" s="51" t="str">
        <x:v>ACT-FANNIEMAE</x:v>
      </x:c>
      <x:c r="D363" s="51" t="str">
        <x:v>Fannie Mae</x:v>
      </x:c>
      <x:c r="E363" s="51" t="str">
        <x:v>ACT-UNIFORMMORTGAGEBACKEDSEC</x:v>
      </x:c>
      <x:c r="F363" s="51" t="str">
        <x:v>Uniform Mortgage-Backed Security</x:v>
      </x:c>
      <x:c r="G363" s="51" t="str">
        <x:v>Enterprise → security</x:v>
      </x:c>
      <x:c r="H363" s="51" t="str">
        <x:v>Ongoing</x:v>
      </x:c>
      <x:c r="I363" s="51" t="str">
        <x:v>Mortgage pooling and guaranty</x:v>
      </x:c>
      <x:c r="J363" s="51" t="str">
        <x:v>INS-169; INS-172</x:v>
      </x:c>
      <x:c r="K363" s="51" t="str">
        <x:v>Large agency MBS market</x:v>
      </x:c>
      <x:c r="L363" s="51" t="str">
        <x:v>Pools of qualifying mortgages</x:v>
      </x:c>
      <x:c r="M363" s="51" t="str">
        <x:v>Standardised pass-through security</x:v>
      </x:c>
      <x:c r="N363" s="51" t="str">
        <x:v>The Enterprise converts heterogeneous household debts into fungible securities with a corporate guaranty</x:v>
      </x:c>
      <x:c r="O363" s="51" t="str">
        <x:v>Financial; informational; ownership</x:v>
      </x:c>
      <x:c r="P363" s="51" t="str">
        <x:v>E1</x:v>
      </x:c>
      <x:c r="Q363" s="51" t="str">
        <x:v>Very high</x:v>
      </x:c>
      <x:c r="R363" s="51" t="str">
        <x:v>SRC-303; SRC-309</x:v>
      </x:c>
      <x:c r="S363" s="51" t="str">
        <x:v>Fannie issues guaranteed MBS and UMBS through common infrastructure.</x:v>
      </x:c>
      <x:c r="T363" s="51" t="str">
        <x:v>Government full-faith-and-credit guarantee of Fannie securities.</x:v>
      </x:c>
      <x:c r="U363" s="51" t="str">
        <x:v>Enterprise support remains distinct from Ginnie Mae's explicit guarantee.</x:v>
      </x:c>
      <x:c r="V363" s="51" t="str">
        <x:v>Active</x:v>
      </x:c>
      <x:c r="W363" s="51" t="str">
        <x:v>39;57</x:v>
      </x:c>
      <x:c r="X363" s="51" t="str">
        <x:v>2026-07-27</x:v>
      </x:c>
    </x:row>
    <x:row r="364">
      <x:c r="A364" s="51" t="str">
        <x:v>HFIN-006</x:v>
      </x:c>
      <x:c r="B364" s="51" t="str">
        <x:v>Public housing finance and securitization</x:v>
      </x:c>
      <x:c r="C364" s="51" t="str">
        <x:v>ACT-FREDDIEMAC</x:v>
      </x:c>
      <x:c r="D364" s="51" t="str">
        <x:v>Freddie Mac</x:v>
      </x:c>
      <x:c r="E364" s="51" t="str">
        <x:v>ACT-UNIFORMMORTGAGEBACKEDSEC</x:v>
      </x:c>
      <x:c r="F364" s="51" t="str">
        <x:v>Uniform Mortgage-Backed Security</x:v>
      </x:c>
      <x:c r="G364" s="51" t="str">
        <x:v>Enterprise → security</x:v>
      </x:c>
      <x:c r="H364" s="51" t="str">
        <x:v>Ongoing</x:v>
      </x:c>
      <x:c r="I364" s="51" t="str">
        <x:v>Mortgage pooling and guaranty</x:v>
      </x:c>
      <x:c r="J364" s="51" t="str">
        <x:v>INS-170; INS-172</x:v>
      </x:c>
      <x:c r="K364" s="51" t="str">
        <x:v>Large agency MBS market</x:v>
      </x:c>
      <x:c r="L364" s="51" t="str">
        <x:v>Pools of qualifying mortgages</x:v>
      </x:c>
      <x:c r="M364" s="51" t="str">
        <x:v>Standardised pass-through security</x:v>
      </x:c>
      <x:c r="N364" s="51" t="str">
        <x:v>A common security aligns Fannie and Freddie cash-flow characteristics for investor fungibility</x:v>
      </x:c>
      <x:c r="O364" s="51" t="str">
        <x:v>Financial; informational; institutional</x:v>
      </x:c>
      <x:c r="P364" s="51" t="str">
        <x:v>E1</x:v>
      </x:c>
      <x:c r="Q364" s="51" t="str">
        <x:v>Very high</x:v>
      </x:c>
      <x:c r="R364" s="51" t="str">
        <x:v>SRC-304; SRC-309</x:v>
      </x:c>
      <x:c r="S364" s="51" t="str">
        <x:v>Freddie issues UMBS through the common platform.</x:v>
      </x:c>
      <x:c r="T364" s="51" t="str">
        <x:v>Identical credit standing or operations between the Enterprises.</x:v>
      </x:c>
      <x:c r="U364" s="51" t="str">
        <x:v>FHFA monitors prepayment alignment and performance.</x:v>
      </x:c>
      <x:c r="V364" s="51" t="str">
        <x:v>Active</x:v>
      </x:c>
      <x:c r="W364" s="51" t="str">
        <x:v>39;57</x:v>
      </x:c>
      <x:c r="X364" s="51" t="str">
        <x:v>2026-07-27</x:v>
      </x:c>
    </x:row>
    <x:row r="365">
      <x:c r="A365" s="51" t="str">
        <x:v>HFIN-007</x:v>
      </x:c>
      <x:c r="B365" s="51" t="str">
        <x:v>Public housing finance and securitization</x:v>
      </x:c>
      <x:c r="C365" s="51" t="str">
        <x:v>ACT-COMMONSECURITIZATIONSOLU</x:v>
      </x:c>
      <x:c r="D365" s="51" t="str">
        <x:v>Common Securitization Solutions</x:v>
      </x:c>
      <x:c r="E365" s="51" t="str">
        <x:v>ACT-UNIFORMMORTGAGEBACKEDSEC</x:v>
      </x:c>
      <x:c r="F365" s="51" t="str">
        <x:v>Uniform Mortgage-Backed Security</x:v>
      </x:c>
      <x:c r="G365" s="51" t="str">
        <x:v>Infrastructure → security</x:v>
      </x:c>
      <x:c r="H365" s="51" t="str">
        <x:v>2019–present</x:v>
      </x:c>
      <x:c r="I365" s="51" t="str">
        <x:v>Issuance and administration platform</x:v>
      </x:c>
      <x:c r="J365" s="51" t="str">
        <x:v>INS-172</x:v>
      </x:c>
      <x:c r="K365" s="51" t="str">
        <x:v>Largest segment of agency single-family MBS</x:v>
      </x:c>
      <x:c r="L365" s="51" t="str">
        <x:v>Enterprise loan and security data</x:v>
      </x:c>
      <x:c r="M365" s="51" t="str">
        <x:v>Security issuance, disclosure and payment administration</x:v>
      </x:c>
      <x:c r="N365" s="51" t="str">
        <x:v>A shared technical platform becomes critical national housing-market infrastructure without owning the underlying homes</x:v>
      </x:c>
      <x:c r="O365" s="51" t="str">
        <x:v>Technological; informational; institutional</x:v>
      </x:c>
      <x:c r="P365" s="51" t="str">
        <x:v>E1</x:v>
      </x:c>
      <x:c r="Q365" s="51" t="str">
        <x:v>Very high</x:v>
      </x:c>
      <x:c r="R365" s="51" t="str">
        <x:v>SRC-309</x:v>
      </x:c>
      <x:c r="S365" s="51" t="str">
        <x:v>CSS operates the platform supporting Enterprise UMBS issuance.</x:v>
      </x:c>
      <x:c r="T365" s="51" t="str">
        <x:v>Ownership of the mortgages or authority to set housing policy independently.</x:v>
      </x:c>
      <x:c r="U365" s="51" t="str">
        <x:v>Fannie, Freddie and FHFA retain separate roles.</x:v>
      </x:c>
      <x:c r="V365" s="51" t="str">
        <x:v>Active</x:v>
      </x:c>
      <x:c r="W365" s="51" t="str">
        <x:v>39;57</x:v>
      </x:c>
      <x:c r="X365" s="51" t="str">
        <x:v>2026-07-27</x:v>
      </x:c>
    </x:row>
    <x:row r="366">
      <x:c r="A366" s="51" t="str">
        <x:v>HFIN-008</x:v>
      </x:c>
      <x:c r="B366" s="51" t="str">
        <x:v>Public housing finance and securitization</x:v>
      </x:c>
      <x:c r="C366" s="51" t="str">
        <x:v>ACT-UNIFORMMORTGAGEBACKEDSEC</x:v>
      </x:c>
      <x:c r="D366" s="51" t="str">
        <x:v>Uniform Mortgage-Backed Security</x:v>
      </x:c>
      <x:c r="E366" s="51" t="str">
        <x:v>ACT-MORTGAGEBACKEDSECURITIES</x:v>
      </x:c>
      <x:c r="F366" s="51" t="str">
        <x:v>Mortgage-backed securities investors</x:v>
      </x:c>
      <x:c r="G366" s="51" t="str">
        <x:v>Security → investors</x:v>
      </x:c>
      <x:c r="H366" s="51" t="str">
        <x:v>Ongoing</x:v>
      </x:c>
      <x:c r="I366" s="51" t="str">
        <x:v>Tradable pass-through cash flow</x:v>
      </x:c>
      <x:c r="J366" s="51" t="str">
        <x:v>INS-172</x:v>
      </x:c>
      <x:c r="K366" s="51" t="str">
        <x:v>Trillion-dollar market</x:v>
      </x:c>
      <x:c r="L366" s="51" t="str">
        <x:v>Borrower principal and interest routed through servicers and guarantors</x:v>
      </x:c>
      <x:c r="M366" s="51" t="str">
        <x:v>Bond cash flow and prepayment risk</x:v>
      </x:c>
      <x:c r="N366" s="51" t="str">
        <x:v>Securitization connects household mortgage payments to global fixed-income portfolios</x:v>
      </x:c>
      <x:c r="O366" s="51" t="str">
        <x:v>Financial; relational; informational</x:v>
      </x:c>
      <x:c r="P366" s="51" t="str">
        <x:v>E1</x:v>
      </x:c>
      <x:c r="Q366" s="51" t="str">
        <x:v>High</x:v>
      </x:c>
      <x:c r="R366" s="51" t="str">
        <x:v>SRC-309</x:v>
      </x:c>
      <x:c r="S366" s="51" t="str">
        <x:v>UMBS are designed for liquidity and fungibility in agency MBS markets.</x:v>
      </x:c>
      <x:c r="T366" s="51" t="str">
        <x:v>Direct investor ownership of houses or control of individual servicing decisions.</x:v>
      </x:c>
      <x:c r="U366" s="51" t="str">
        <x:v>Investors own securities and contractual cash flows.</x:v>
      </x:c>
      <x:c r="V366" s="51" t="str">
        <x:v>Active</x:v>
      </x:c>
      <x:c r="W366" s="51" t="str">
        <x:v>39;57</x:v>
      </x:c>
      <x:c r="X366" s="51" t="str">
        <x:v>2026-07-27</x:v>
      </x:c>
    </x:row>
    <x:row r="367">
      <x:c r="A367" s="51" t="str">
        <x:v>HFIN-009</x:v>
      </x:c>
      <x:c r="B367" s="51" t="str">
        <x:v>Public housing finance and securitization</x:v>
      </x:c>
      <x:c r="C367" s="51" t="str">
        <x:v>ACT-FEDERALHOUSINGADMINISTRA</x:v>
      </x:c>
      <x:c r="D367" s="51" t="str">
        <x:v>Federal Housing Administration</x:v>
      </x:c>
      <x:c r="E367" s="51" t="str">
        <x:v>ACT-MUTUALMORTGAGEINSURANCEF</x:v>
      </x:c>
      <x:c r="F367" s="51" t="str">
        <x:v>Mutual Mortgage Insurance Fund</x:v>
      </x:c>
      <x:c r="G367" s="51" t="str">
        <x:v>Agency → insurance fund</x:v>
      </x:c>
      <x:c r="H367" s="51" t="str">
        <x:v>Ongoing</x:v>
      </x:c>
      <x:c r="I367" s="51" t="str">
        <x:v>Programme administration</x:v>
      </x:c>
      <x:c r="J367" s="51" t="str">
        <x:v>INS-168</x:v>
      </x:c>
      <x:c r="K367" s="51" t="str">
        <x:v>8.1 million active forward mortgages and over $1.6 trillion UPB at FY2025 end</x:v>
      </x:c>
      <x:c r="L367" s="51" t="str">
        <x:v>Mortgage insurance premiums and federal authority</x:v>
      </x:c>
      <x:c r="M367" s="51" t="str">
        <x:v>Claims-paying and reserve capacity</x:v>
      </x:c>
      <x:c r="N367" s="51" t="str">
        <x:v>A federal agency pools default risk across insured borrowers and lenders</x:v>
      </x:c>
      <x:c r="O367" s="51" t="str">
        <x:v>Financial; institutional; distributional</x:v>
      </x:c>
      <x:c r="P367" s="51" t="str">
        <x:v>E1</x:v>
      </x:c>
      <x:c r="Q367" s="51" t="str">
        <x:v>Very high</x:v>
      </x:c>
      <x:c r="R367" s="51" t="str">
        <x:v>SRC-310; SRC-311</x:v>
      </x:c>
      <x:c r="S367" s="51" t="str">
        <x:v>FHA administers the MMI Fund and insured portfolio.</x:v>
      </x:c>
      <x:c r="T367" s="51" t="str">
        <x:v>No taxpayer exposure or risk-free lending.</x:v>
      </x:c>
      <x:c r="U367" s="51" t="str">
        <x:v>Capital ratios are model-based and losses vary with housing conditions.</x:v>
      </x:c>
      <x:c r="V367" s="51" t="str">
        <x:v>Active</x:v>
      </x:c>
      <x:c r="W367" s="51" t="str">
        <x:v>39;47;57</x:v>
      </x:c>
      <x:c r="X367" s="51" t="str">
        <x:v>2026-07-27</x:v>
      </x:c>
    </x:row>
    <x:row r="368">
      <x:c r="A368" s="51" t="str">
        <x:v>HFIN-010</x:v>
      </x:c>
      <x:c r="B368" s="51" t="str">
        <x:v>Public housing finance and securitization</x:v>
      </x:c>
      <x:c r="C368" s="51" t="str">
        <x:v>ACT-MUTUALMORTGAGEINSURANCEF</x:v>
      </x:c>
      <x:c r="D368" s="51" t="str">
        <x:v>Mutual Mortgage Insurance Fund</x:v>
      </x:c>
      <x:c r="E368" s="51" t="str">
        <x:v>ACT-MORTGAGELENDERSANDAPPROV</x:v>
      </x:c>
      <x:c r="F368" s="51" t="str">
        <x:v>Mortgage lenders and approved issuers</x:v>
      </x:c>
      <x:c r="G368" s="51" t="str">
        <x:v>Insurance fund → lenders</x:v>
      </x:c>
      <x:c r="H368" s="51" t="str">
        <x:v>Loan life</x:v>
      </x:c>
      <x:c r="I368" s="51" t="str">
        <x:v>Federal mortgage insurance</x:v>
      </x:c>
      <x:c r="J368" s="51" t="str">
        <x:v>INS-168</x:v>
      </x:c>
      <x:c r="K368" s="51" t="str">
        <x:v>Loan-specific</x:v>
      </x:c>
      <x:c r="L368" s="51" t="str">
        <x:v>Mortgage insurance premium and qualifying loan</x:v>
      </x:c>
      <x:c r="M368" s="51" t="str">
        <x:v>Claim protection after covered borrower default</x:v>
      </x:c>
      <x:c r="N368" s="51" t="str">
        <x:v>Insurance lowers lender credit risk and can reduce borrower down-payment barriers</x:v>
      </x:c>
      <x:c r="O368" s="51" t="str">
        <x:v>Financial; institutional; distributional</x:v>
      </x:c>
      <x:c r="P368" s="51" t="str">
        <x:v>E1</x:v>
      </x:c>
      <x:c r="Q368" s="51" t="str">
        <x:v>Very high</x:v>
      </x:c>
      <x:c r="R368" s="51" t="str">
        <x:v>SRC-310</x:v>
      </x:c>
      <x:c r="S368" s="51" t="str">
        <x:v>FHA insurance covers qualifying mortgage default risk under programme rules.</x:v>
      </x:c>
      <x:c r="T368" s="51" t="str">
        <x:v>Guarantee of property value or borrower affordability.</x:v>
      </x:c>
      <x:c r="U368" s="51" t="str">
        <x:v>Claim eligibility, servicing and conveyance requirements apply.</x:v>
      </x:c>
      <x:c r="V368" s="51" t="str">
        <x:v>Active</x:v>
      </x:c>
      <x:c r="W368" s="51" t="str">
        <x:v>39;57</x:v>
      </x:c>
      <x:c r="X368" s="51" t="str">
        <x:v>2026-07-27</x:v>
      </x:c>
    </x:row>
    <x:row r="369">
      <x:c r="A369" s="51" t="str">
        <x:v>HFIN-011</x:v>
      </x:c>
      <x:c r="B369" s="51" t="str">
        <x:v>Public housing finance and securitization</x:v>
      </x:c>
      <x:c r="C369" s="51" t="str">
        <x:v>ACT-MORTGAGELENDERSANDAPPROV</x:v>
      </x:c>
      <x:c r="D369" s="51" t="str">
        <x:v>Mortgage lenders and approved issuers</x:v>
      </x:c>
      <x:c r="E369" s="51" t="str">
        <x:v>ACT-GINNIEMAE</x:v>
      </x:c>
      <x:c r="F369" s="51" t="str">
        <x:v>Ginnie Mae</x:v>
      </x:c>
      <x:c r="G369" s="51" t="str">
        <x:v>Issuer → guarantor</x:v>
      </x:c>
      <x:c r="H369" s="51" t="str">
        <x:v>Ongoing</x:v>
      </x:c>
      <x:c r="I369" s="51" t="str">
        <x:v>MBS issuance by approved issuer</x:v>
      </x:c>
      <x:c r="J369" s="51" t="str">
        <x:v>INS-171</x:v>
      </x:c>
      <x:c r="K369" s="51" t="str">
        <x:v>$526.4 billion FY2025 issuance</x:v>
      </x:c>
      <x:c r="L369" s="51" t="str">
        <x:v>Pools of FHA, VA and other qualifying government-backed loans</x:v>
      </x:c>
      <x:c r="M369" s="51" t="str">
        <x:v>Ginnie-guaranteed security</x:v>
      </x:c>
      <x:c r="N369" s="51" t="str">
        <x:v>Approved private issuers convert government-insured mortgages into full-faith-and-credit MBS</x:v>
      </x:c>
      <x:c r="O369" s="51" t="str">
        <x:v>Financial; institutional; relational</x:v>
      </x:c>
      <x:c r="P369" s="51" t="str">
        <x:v>E1</x:v>
      </x:c>
      <x:c r="Q369" s="51" t="str">
        <x:v>Very high</x:v>
      </x:c>
      <x:c r="R369" s="51" t="str">
        <x:v>SRC-305; SRC-306</x:v>
      </x:c>
      <x:c r="S369" s="51" t="str">
        <x:v>Ginnie guarantees securities issued by approved institutions and backed by qualifying loans.</x:v>
      </x:c>
      <x:c r="T369" s="51" t="str">
        <x:v>Ginnie origination or servicing of the underlying mortgages.</x:v>
      </x:c>
      <x:c r="U369" s="51" t="str">
        <x:v>Issuers retain servicing and advance obligations.</x:v>
      </x:c>
      <x:c r="V369" s="51" t="str">
        <x:v>Active</x:v>
      </x:c>
      <x:c r="W369" s="51" t="str">
        <x:v>39;57</x:v>
      </x:c>
      <x:c r="X369" s="51" t="str">
        <x:v>2026-07-27</x:v>
      </x:c>
    </x:row>
    <x:row r="370">
      <x:c r="A370" s="51" t="str">
        <x:v>HFIN-012</x:v>
      </x:c>
      <x:c r="B370" s="51" t="str">
        <x:v>Public housing finance and securitization</x:v>
      </x:c>
      <x:c r="C370" s="51" t="str">
        <x:v>ACT-GINNIEMAE</x:v>
      </x:c>
      <x:c r="D370" s="51" t="str">
        <x:v>Ginnie Mae</x:v>
      </x:c>
      <x:c r="E370" s="51" t="str">
        <x:v>ACT-MORTGAGEBACKEDSECURITIES</x:v>
      </x:c>
      <x:c r="F370" s="51" t="str">
        <x:v>Mortgage-backed securities investors</x:v>
      </x:c>
      <x:c r="G370" s="51" t="str">
        <x:v>Government guarantor → investors</x:v>
      </x:c>
      <x:c r="H370" s="51" t="str">
        <x:v>Ongoing</x:v>
      </x:c>
      <x:c r="I370" s="51" t="str">
        <x:v>Timely-payment guaranty</x:v>
      </x:c>
      <x:c r="J370" s="51" t="str">
        <x:v>INS-171</x:v>
      </x:c>
      <x:c r="K370" s="51" t="str">
        <x:v>$2.834 trillion outstanding MBS at FY2025 end</x:v>
      </x:c>
      <x:c r="L370" s="51" t="str">
        <x:v>Issuer payment stream and government-backed mortgage collateral</x:v>
      </x:c>
      <x:c r="M370" s="51" t="str">
        <x:v>Full-faith-and-credit payment protection</x:v>
      </x:c>
      <x:c r="N370" s="51" t="str">
        <x:v>An explicit sovereign guarantee converts housing-credit claims into highly liquid securities</x:v>
      </x:c>
      <x:c r="O370" s="51" t="str">
        <x:v>Financial; monetary; institutional</x:v>
      </x:c>
      <x:c r="P370" s="51" t="str">
        <x:v>E1</x:v>
      </x:c>
      <x:c r="Q370" s="51" t="str">
        <x:v>Very high</x:v>
      </x:c>
      <x:c r="R370" s="51" t="str">
        <x:v>SRC-305; SRC-306</x:v>
      </x:c>
      <x:c r="S370" s="51" t="str">
        <x:v>Ginnie securities carry the US government guaranty of timely payment.</x:v>
      </x:c>
      <x:c r="T370" s="51" t="str">
        <x:v>Protection against market-price or prepayment risk.</x:v>
      </x:c>
      <x:c r="U370" s="51" t="str">
        <x:v>Investors retain interest-rate and prepayment exposure.</x:v>
      </x:c>
      <x:c r="V370" s="51" t="str">
        <x:v>Active</x:v>
      </x:c>
      <x:c r="W370" s="51" t="str">
        <x:v>39;57</x:v>
      </x:c>
      <x:c r="X370" s="51" t="str">
        <x:v>2026-07-27</x:v>
      </x:c>
    </x:row>
    <x:row r="371">
      <x:c r="A371" s="51" t="str">
        <x:v>HFIN-013</x:v>
      </x:c>
      <x:c r="B371" s="51" t="str">
        <x:v>Public housing finance and securitization</x:v>
      </x:c>
      <x:c r="C371" s="51" t="str">
        <x:v>ACT-FANNIEMAE</x:v>
      </x:c>
      <x:c r="D371" s="51" t="str">
        <x:v>Fannie Mae</x:v>
      </x:c>
      <x:c r="E371" s="51" t="str">
        <x:v>ACT-CONNECTICUTAVENUESECURIT</x:v>
      </x:c>
      <x:c r="F371" s="51" t="str">
        <x:v>Connecticut Avenue Securities investors</x:v>
      </x:c>
      <x:c r="G371" s="51" t="str">
        <x:v>Enterprise → risk investors</x:v>
      </x:c>
      <x:c r="H371" s="51" t="str">
        <x:v>Issuance-specific</x:v>
      </x:c>
      <x:c r="I371" s="51" t="str">
        <x:v>Credit-risk transfer notes</x:v>
      </x:c>
      <x:c r="J371" s="51" t="str">
        <x:v>INS-173</x:v>
      </x:c>
      <x:c r="K371" s="51" t="str">
        <x:v>Approximately $4 billion expected 2025 programme volume</x:v>
      </x:c>
      <x:c r="L371" s="51" t="str">
        <x:v>Defined reference mortgage pool credit losses</x:v>
      </x:c>
      <x:c r="M371" s="51" t="str">
        <x:v>Private capital absorbs contractual loss tranches</x:v>
      </x:c>
      <x:c r="N371" s="51" t="str">
        <x:v>Credit-risk transfer moves part of mortgage default exposure away from the Enterprise while leaving the mortgage guaranty in place</x:v>
      </x:c>
      <x:c r="O371" s="51" t="str">
        <x:v>Financial; institutional; ownership</x:v>
      </x:c>
      <x:c r="P371" s="51" t="str">
        <x:v>E1</x:v>
      </x:c>
      <x:c r="Q371" s="51" t="str">
        <x:v>High</x:v>
      </x:c>
      <x:c r="R371" s="51" t="str">
        <x:v>SRC-307; SRC-308</x:v>
      </x:c>
      <x:c r="S371" s="51" t="str">
        <x:v>Fannie uses CAS to transfer significant mortgage credit risk to private investors.</x:v>
      </x:c>
      <x:c r="T371" s="51" t="str">
        <x:v>Transfer of all risk or investor control of servicing.</x:v>
      </x:c>
      <x:c r="U371" s="51" t="str">
        <x:v>Transaction structures retain defined attachment and detachment points.</x:v>
      </x:c>
      <x:c r="V371" s="51" t="str">
        <x:v>Active</x:v>
      </x:c>
      <x:c r="W371" s="51" t="str">
        <x:v>39;47;57</x:v>
      </x:c>
      <x:c r="X371" s="51" t="str">
        <x:v>2026-07-27</x:v>
      </x:c>
    </x:row>
    <x:row r="372">
      <x:c r="A372" s="51" t="str">
        <x:v>HFIN-014</x:v>
      </x:c>
      <x:c r="B372" s="51" t="str">
        <x:v>Public housing finance and securitization</x:v>
      </x:c>
      <x:c r="C372" s="51" t="str">
        <x:v>ACT-FEDERALHOMELOANBANKS</x:v>
      </x:c>
      <x:c r="D372" s="51" t="str">
        <x:v>Federal Home Loan Banks</x:v>
      </x:c>
      <x:c r="E372" s="51" t="str">
        <x:v>ACT-FHLBANKMEMBERINSTITUTION</x:v>
      </x:c>
      <x:c r="F372" s="51" t="str">
        <x:v>FHLBank member institutions</x:v>
      </x:c>
      <x:c r="G372" s="51" t="str">
        <x:v>System → members</x:v>
      </x:c>
      <x:c r="H372" s="51" t="str">
        <x:v>Ongoing</x:v>
      </x:c>
      <x:c r="I372" s="51" t="str">
        <x:v>Fully secured advances</x:v>
      </x:c>
      <x:c r="J372" s="51" t="str">
        <x:v>INS-174</x:v>
      </x:c>
      <x:c r="K372" s="51" t="str">
        <x:v>Member-specific</x:v>
      </x:c>
      <x:c r="L372" s="51" t="str">
        <x:v>Mortgages and eligible collateral</x:v>
      </x:c>
      <x:c r="M372" s="51" t="str">
        <x:v>Wholesale liquidity</x:v>
      </x:c>
      <x:c r="N372" s="51" t="str">
        <x:v>FHLBank advances convert pledged mortgage assets into lower-cost institutional funding</x:v>
      </x:c>
      <x:c r="O372" s="51" t="str">
        <x:v>Financial; ownership; institutional</x:v>
      </x:c>
      <x:c r="P372" s="51" t="str">
        <x:v>E1</x:v>
      </x:c>
      <x:c r="Q372" s="51" t="str">
        <x:v>Very high</x:v>
      </x:c>
      <x:c r="R372" s="51" t="str">
        <x:v>SRC-312; SRC-331</x:v>
      </x:c>
      <x:c r="S372" s="51" t="str">
        <x:v>FHLBanks make collateralised advances to members.</x:v>
      </x:c>
      <x:c r="T372" s="51" t="str">
        <x:v>Unsecured public subsidy or lending directly to households.</x:v>
      </x:c>
      <x:c r="U372" s="51" t="str">
        <x:v>Membership and collateral rules constrain access.</x:v>
      </x:c>
      <x:c r="V372" s="51" t="str">
        <x:v>Active</x:v>
      </x:c>
      <x:c r="W372" s="51" t="str">
        <x:v>39;57</x:v>
      </x:c>
      <x:c r="X372" s="51" t="str">
        <x:v>2026-07-27</x:v>
      </x:c>
    </x:row>
    <x:row r="373">
      <x:c r="A373" s="51" t="str">
        <x:v>HFIN-015</x:v>
      </x:c>
      <x:c r="B373" s="51" t="str">
        <x:v>Public housing finance and securitization</x:v>
      </x:c>
      <x:c r="C373" s="51" t="str">
        <x:v>ACT-FHLBANKMEMBERINSTITUTION</x:v>
      </x:c>
      <x:c r="D373" s="51" t="str">
        <x:v>FHLBank member institutions</x:v>
      </x:c>
      <x:c r="E373" s="51" t="str">
        <x:v>ACT-FEDERALHOMELOANBANKS</x:v>
      </x:c>
      <x:c r="F373" s="51" t="str">
        <x:v>Federal Home Loan Banks</x:v>
      </x:c>
      <x:c r="G373" s="51" t="str">
        <x:v>Member → system</x:v>
      </x:c>
      <x:c r="H373" s="51" t="str">
        <x:v>Ongoing</x:v>
      </x:c>
      <x:c r="I373" s="51" t="str">
        <x:v>Collateral pledge and stock membership</x:v>
      </x:c>
      <x:c r="J373" s="51" t="str">
        <x:v>INS-174</x:v>
      </x:c>
      <x:c r="K373" s="51" t="str">
        <x:v>Member-specific</x:v>
      </x:c>
      <x:c r="L373" s="51" t="str">
        <x:v>Mortgage and eligible asset collateral</x:v>
      </x:c>
      <x:c r="M373" s="51" t="str">
        <x:v>Advance eligibility and borrowing capacity</x:v>
      </x:c>
      <x:c r="N373" s="51" t="str">
        <x:v>Member institutions exchange collateral and capital stock participation for access to a GSE liquidity network</x:v>
      </x:c>
      <x:c r="O373" s="51" t="str">
        <x:v>Financial; relational; ownership</x:v>
      </x:c>
      <x:c r="P373" s="51" t="str">
        <x:v>E1</x:v>
      </x:c>
      <x:c r="Q373" s="51" t="str">
        <x:v>High</x:v>
      </x:c>
      <x:c r="R373" s="51" t="str">
        <x:v>SRC-312; SRC-331</x:v>
      </x:c>
      <x:c r="S373" s="51" t="str">
        <x:v>Members pledge eligible collateral to secure advances.</x:v>
      </x:c>
      <x:c r="T373" s="51" t="str">
        <x:v>Transfer of beneficial ownership of all pledged loans.</x:v>
      </x:c>
      <x:c r="U373" s="51" t="str">
        <x:v>Collateral remains subject to security interests and operational rules.</x:v>
      </x:c>
      <x:c r="V373" s="51" t="str">
        <x:v>Active</x:v>
      </x:c>
      <x:c r="W373" s="51" t="str">
        <x:v>39;57</x:v>
      </x:c>
      <x:c r="X373" s="51" t="str">
        <x:v>2026-07-27</x:v>
      </x:c>
    </x:row>
    <x:row r="374">
      <x:c r="A374" s="51" t="str">
        <x:v>HFIN-016</x:v>
      </x:c>
      <x:c r="B374" s="51" t="str">
        <x:v>Public housing finance and securitization</x:v>
      </x:c>
      <x:c r="C374" s="51" t="str">
        <x:v>ACT-FEDERALHOMELOANBANKS</x:v>
      </x:c>
      <x:c r="D374" s="51" t="str">
        <x:v>Federal Home Loan Banks</x:v>
      </x:c>
      <x:c r="E374" s="51" t="str">
        <x:v>ACT-LOCALPUBLICUTILITIESANDA</x:v>
      </x:c>
      <x:c r="F374" s="51" t="str">
        <x:v>Local public utilities and authorities</x:v>
      </x:c>
      <x:c r="G374" s="51" t="str">
        <x:v>System → local projects through members</x:v>
      </x:c>
      <x:c r="H374" s="51" t="str">
        <x:v>Ongoing</x:v>
      </x:c>
      <x:c r="I374" s="51" t="str">
        <x:v>Affordable housing and community investment support</x:v>
      </x:c>
      <x:c r="J374" s="51" t="str">
        <x:v>INS-175</x:v>
      </x:c>
      <x:c r="K374" s="51" t="str">
        <x:v>Programme-specific</x:v>
      </x:c>
      <x:c r="L374" s="51" t="str">
        <x:v>Member applications and project eligibility</x:v>
      </x:c>
      <x:c r="M374" s="51" t="str">
        <x:v>Advances or grants supporting housing and community facilities</x:v>
      </x:c>
      <x:c r="N374" s="51" t="str">
        <x:v>A wholesale bank system channels public-purpose subsidies through private member institutions</x:v>
      </x:c>
      <x:c r="O374" s="51" t="str">
        <x:v>Financial; institutional; material</x:v>
      </x:c>
      <x:c r="P374" s="51" t="str">
        <x:v>E1</x:v>
      </x:c>
      <x:c r="Q374" s="51" t="str">
        <x:v>High</x:v>
      </x:c>
      <x:c r="R374" s="51" t="str">
        <x:v>SRC-313</x:v>
      </x:c>
      <x:c r="S374" s="51" t="str">
        <x:v>FHLBank programmes support affordable housing and community development.</x:v>
      </x:c>
      <x:c r="T374" s="51" t="str">
        <x:v>Direct FHLBank control over every local project.</x:v>
      </x:c>
      <x:c r="U374" s="51" t="str">
        <x:v>Members and sponsors implement funded activity.</x:v>
      </x:c>
      <x:c r="V374" s="51" t="str">
        <x:v>Active</x:v>
      </x:c>
      <x:c r="W374" s="51" t="str">
        <x:v>39;57</x:v>
      </x:c>
      <x:c r="X374" s="51" t="str">
        <x:v>2026-07-27</x:v>
      </x:c>
    </x:row>
    <x:row r="375">
      <x:c r="A375" s="51" t="str">
        <x:v>HFIN-017</x:v>
      </x:c>
      <x:c r="B375" s="51" t="str">
        <x:v>Public housing finance and securitization</x:v>
      </x:c>
      <x:c r="C375" s="51" t="str">
        <x:v>ACT-FEDERALHOUSINGFINANCEAGE</x:v>
      </x:c>
      <x:c r="D375" s="51" t="str">
        <x:v>Federal Housing Finance Agency</x:v>
      </x:c>
      <x:c r="E375" s="51" t="str">
        <x:v>ACT-ENTERPRISEHOUSINGGOALS</x:v>
      </x:c>
      <x:c r="F375" s="51" t="str">
        <x:v>Enterprise housing goals</x:v>
      </x:c>
      <x:c r="G375" s="51" t="str">
        <x:v>Regulator → benchmark framework</x:v>
      </x:c>
      <x:c r="H375" s="51" t="str">
        <x:v>2025–2027</x:v>
      </x:c>
      <x:c r="I375" s="51" t="str">
        <x:v>Mortgage purchase targets</x:v>
      </x:c>
      <x:c r="J375" s="51" t="str">
        <x:v>INS-177</x:v>
      </x:c>
      <x:c r="K375" s="51" t="str">
        <x:v>Goal-specific</x:v>
      </x:c>
      <x:c r="L375" s="51" t="str">
        <x:v>Affordability mandate and market data</x:v>
      </x:c>
      <x:c r="M375" s="51" t="str">
        <x:v>Purchase benchmarks and possible action plans</x:v>
      </x:c>
      <x:c r="N375" s="51" t="str">
        <x:v>A regulator attaches distributive requirements to secondary-market purchasing authority</x:v>
      </x:c>
      <x:c r="O375" s="51" t="str">
        <x:v>Institutional; financial; distributional</x:v>
      </x:c>
      <x:c r="P375" s="51" t="str">
        <x:v>E1</x:v>
      </x:c>
      <x:c r="Q375" s="51" t="str">
        <x:v>Very high</x:v>
      </x:c>
      <x:c r="R375" s="51" t="str">
        <x:v>SRC-326</x:v>
      </x:c>
      <x:c r="S375" s="51" t="str">
        <x:v>FHFA sets housing goals for Enterprise mortgage acquisitions.</x:v>
      </x:c>
      <x:c r="T375" s="51" t="str">
        <x:v>Guaranteed improvement in housing affordability or supply.</x:v>
      </x:c>
      <x:c r="U375" s="51" t="str">
        <x:v>Goal effectiveness depends on underwriting, prices and market conditions.</x:v>
      </x:c>
      <x:c r="V375" s="51" t="str">
        <x:v>Active</x:v>
      </x:c>
      <x:c r="W375" s="51" t="str">
        <x:v>39;57</x:v>
      </x:c>
      <x:c r="X375" s="51" t="str">
        <x:v>2026-07-27</x:v>
      </x:c>
    </x:row>
    <x:row r="376">
      <x:c r="A376" s="51" t="str">
        <x:v>IDX-001</x:v>
      </x:c>
      <x:c r="B376" s="51" t="str">
        <x:v>Index and benchmark governance</x:v>
      </x:c>
      <x:c r="C376" s="51" t="str">
        <x:v>ACT-MSCI</x:v>
      </x:c>
      <x:c r="D376" s="51" t="str">
        <x:v>MSCI</x:v>
      </x:c>
      <x:c r="E376" s="51" t="str">
        <x:v>ACT-INDEXTRACKINGFUNDS</x:v>
      </x:c>
      <x:c r="F376" s="51" t="str">
        <x:v>Index-tracking funds</x:v>
      </x:c>
      <x:c r="G376" s="51" t="str">
        <x:v>Provider → investment vehicles</x:v>
      </x:c>
      <x:c r="H376" s="51" t="str">
        <x:v>Ongoing</x:v>
      </x:c>
      <x:c r="I376" s="51" t="str">
        <x:v>Index licensing and methodology</x:v>
      </x:c>
      <x:c r="J376" s="51" t="str">
        <x:v>INS-083</x:v>
      </x:c>
      <x:c r="K376" s="51" t="str">
        <x:v>$21tn benchmarked</x:v>
      </x:c>
      <x:c r="L376" s="51" t="str">
        <x:v>Security eligibility, float, country and classification data</x:v>
      </x:c>
      <x:c r="M376" s="51" t="str">
        <x:v>Portfolio constituents and weights</x:v>
      </x:c>
      <x:c r="N376" s="51" t="str">
        <x:v>A private methodology becomes executable capital allocation when funds promise to track it</x:v>
      </x:c>
      <x:c r="O376" s="51" t="str">
        <x:v>Informational; financial; relational</x:v>
      </x:c>
      <x:c r="P376" s="51" t="str">
        <x:v>E1</x:v>
      </x:c>
      <x:c r="Q376" s="51" t="str">
        <x:v>Very high</x:v>
      </x:c>
      <x:c r="R376" s="51" t="str">
        <x:v>SRC-169</x:v>
      </x:c>
      <x:c r="S376" s="51" t="str">
        <x:v>MSCI reports very large assets benchmarked or linked to its indexes.</x:v>
      </x:c>
      <x:c r="T376" s="51" t="str">
        <x:v>Direct management of all referenced assets or guaranteed price impact from every rebalance.</x:v>
      </x:c>
      <x:c r="U376" s="51" t="str">
        <x:v>Active managers may benchmark without mechanically tracking.</x:v>
      </x:c>
      <x:c r="V376" s="51" t="str">
        <x:v>Active</x:v>
      </x:c>
      <x:c r="W376" s="51" t="str">
        <x:v>57;58</x:v>
      </x:c>
      <x:c r="X376" s="51" t="str">
        <x:v>2026-07-27</x:v>
      </x:c>
    </x:row>
    <x:row r="377">
      <x:c r="A377" s="51" t="str">
        <x:v>IDX-002</x:v>
      </x:c>
      <x:c r="B377" s="51" t="str">
        <x:v>Index and benchmark governance</x:v>
      </x:c>
      <x:c r="C377" s="51" t="str">
        <x:v>ACT-FTSERUSSELL</x:v>
      </x:c>
      <x:c r="D377" s="51" t="str">
        <x:v>FTSE Russell</x:v>
      </x:c>
      <x:c r="E377" s="51" t="str">
        <x:v>ACT-INDEXTRACKINGFUNDS</x:v>
      </x:c>
      <x:c r="F377" s="51" t="str">
        <x:v>Index-tracking funds</x:v>
      </x:c>
      <x:c r="G377" s="51" t="str">
        <x:v>Provider → investment vehicles</x:v>
      </x:c>
      <x:c r="H377" s="51" t="str">
        <x:v>Ongoing</x:v>
      </x:c>
      <x:c r="I377" s="51" t="str">
        <x:v>Index licensing and methodology</x:v>
      </x:c>
      <x:c r="J377" s="51" t="str">
        <x:v>INS-084</x:v>
      </x:c>
      <x:c r="K377" s="51" t="str">
        <x:v>$18.1tn benchmarked</x:v>
      </x:c>
      <x:c r="L377" s="51" t="str">
        <x:v>Security eligibility, float, country and classification data</x:v>
      </x:c>
      <x:c r="M377" s="51" t="str">
        <x:v>Portfolio constituents and weights</x:v>
      </x:c>
      <x:c r="N377" s="51" t="str">
        <x:v>A private methodology becomes executable capital allocation when funds promise to track it</x:v>
      </x:c>
      <x:c r="O377" s="51" t="str">
        <x:v>Informational; financial; relational</x:v>
      </x:c>
      <x:c r="P377" s="51" t="str">
        <x:v>E1</x:v>
      </x:c>
      <x:c r="Q377" s="51" t="str">
        <x:v>Very high</x:v>
      </x:c>
      <x:c r="R377" s="51" t="str">
        <x:v>SRC-170</x:v>
      </x:c>
      <x:c r="S377" s="51" t="str">
        <x:v>FTSE Russell reports very large assets benchmarked or linked to its indexes.</x:v>
      </x:c>
      <x:c r="T377" s="51" t="str">
        <x:v>Direct management of all referenced assets or guaranteed price impact from every rebalance.</x:v>
      </x:c>
      <x:c r="U377" s="51" t="str">
        <x:v>Active managers may benchmark without mechanically tracking.</x:v>
      </x:c>
      <x:c r="V377" s="51" t="str">
        <x:v>Active</x:v>
      </x:c>
      <x:c r="W377" s="51" t="str">
        <x:v>57;58</x:v>
      </x:c>
      <x:c r="X377" s="51" t="str">
        <x:v>2026-07-27</x:v>
      </x:c>
    </x:row>
    <x:row r="378">
      <x:c r="A378" s="51" t="str">
        <x:v>IDX-003</x:v>
      </x:c>
      <x:c r="B378" s="51" t="str">
        <x:v>Index and benchmark governance</x:v>
      </x:c>
      <x:c r="C378" s="51" t="str">
        <x:v>ACT-SPDOWJONESINDICES</x:v>
      </x:c>
      <x:c r="D378" s="51" t="str">
        <x:v>S&amp;P Dow Jones Indices</x:v>
      </x:c>
      <x:c r="E378" s="51" t="str">
        <x:v>ACT-INDEXTRACKINGFUNDS</x:v>
      </x:c>
      <x:c r="F378" s="51" t="str">
        <x:v>Index-tracking funds</x:v>
      </x:c>
      <x:c r="G378" s="51" t="str">
        <x:v>Provider → investment vehicles</x:v>
      </x:c>
      <x:c r="H378" s="51" t="str">
        <x:v>Ongoing</x:v>
      </x:c>
      <x:c r="I378" s="51" t="str">
        <x:v>Index licensing and methodology</x:v>
      </x:c>
      <x:c r="J378" s="51" t="str">
        <x:v>INS-085</x:v>
      </x:c>
      <x:c r="K378" s="51" t="str">
        <x:v>&gt;$20tn indexed or benchmarked to S&amp;P 500 at end-2024</x:v>
      </x:c>
      <x:c r="L378" s="51" t="str">
        <x:v>Security eligibility, float, country and classification data</x:v>
      </x:c>
      <x:c r="M378" s="51" t="str">
        <x:v>Portfolio constituents and weights</x:v>
      </x:c>
      <x:c r="N378" s="51" t="str">
        <x:v>A private methodology becomes executable capital allocation when funds promise to track it</x:v>
      </x:c>
      <x:c r="O378" s="51" t="str">
        <x:v>Informational; financial; relational</x:v>
      </x:c>
      <x:c r="P378" s="51" t="str">
        <x:v>E1</x:v>
      </x:c>
      <x:c r="Q378" s="51" t="str">
        <x:v>Very high</x:v>
      </x:c>
      <x:c r="R378" s="51" t="str">
        <x:v>SRC-171</x:v>
      </x:c>
      <x:c r="S378" s="51" t="str">
        <x:v>S&amp;P Dow Jones Indices reports very large assets benchmarked or linked to its indexes.</x:v>
      </x:c>
      <x:c r="T378" s="51" t="str">
        <x:v>Direct management of all referenced assets or guaranteed price impact from every rebalance.</x:v>
      </x:c>
      <x:c r="U378" s="51" t="str">
        <x:v>Active managers may benchmark without mechanically tracking.</x:v>
      </x:c>
      <x:c r="V378" s="51" t="str">
        <x:v>Active</x:v>
      </x:c>
      <x:c r="W378" s="51" t="str">
        <x:v>57;58</x:v>
      </x:c>
      <x:c r="X378" s="51" t="str">
        <x:v>2026-07-27</x:v>
      </x:c>
    </x:row>
    <x:row r="379">
      <x:c r="A379" s="51" t="str">
        <x:v>IDX-004</x:v>
      </x:c>
      <x:c r="B379" s="51" t="str">
        <x:v>Index and benchmark governance</x:v>
      </x:c>
      <x:c r="C379" s="51" t="str">
        <x:v>ACT-MSCI</x:v>
      </x:c>
      <x:c r="D379" s="51" t="str">
        <x:v>MSCI</x:v>
      </x:c>
      <x:c r="E379" s="51" t="str">
        <x:v>ACT-INDEXMETHODOLOGYCOMMITTE</x:v>
      </x:c>
      <x:c r="F379" s="51" t="str">
        <x:v>Index methodology committees</x:v>
      </x:c>
      <x:c r="G379" s="51" t="str">
        <x:v>Provider → governance body</x:v>
      </x:c>
      <x:c r="H379" s="51" t="str">
        <x:v>Ongoing</x:v>
      </x:c>
      <x:c r="I379" s="51" t="str">
        <x:v>Methodology and review governance</x:v>
      </x:c>
      <x:c r="J379" s="51" t="str"/>
      <x:c r="K379" s="51" t="str">
        <x:v>Provider-specific</x:v>
      </x:c>
      <x:c r="L379" s="51" t="str">
        <x:v>Market data and rules</x:v>
      </x:c>
      <x:c r="M379" s="51" t="str">
        <x:v>Eligibility, classification and rebalance decisions</x:v>
      </x:c>
      <x:c r="N379" s="51" t="str">
        <x:v>Committee rules convert private analytical judgment into benchmark membership</x:v>
      </x:c>
      <x:c r="O379" s="51" t="str">
        <x:v>Informational; institutional; financial</x:v>
      </x:c>
      <x:c r="P379" s="51" t="str">
        <x:v>S1</x:v>
      </x:c>
      <x:c r="Q379" s="51" t="str">
        <x:v>High</x:v>
      </x:c>
      <x:c r="R379" s="51" t="str">
        <x:v>SRC-169; SRC-170; SRC-171</x:v>
      </x:c>
      <x:c r="S379" s="51" t="str">
        <x:v>MSCI maintains methodologies governing its indexes.</x:v>
      </x:c>
      <x:c r="T379" s="51" t="str">
        <x:v>Arbitrary control, knowledge of every fund trade or direct issuer management.</x:v>
      </x:c>
      <x:c r="U379" s="51" t="str">
        <x:v>Public rules and consultations constrain but do not eliminate discretion.</x:v>
      </x:c>
      <x:c r="V379" s="51" t="str">
        <x:v>Active</x:v>
      </x:c>
      <x:c r="W379" s="51" t="str">
        <x:v>57;58</x:v>
      </x:c>
      <x:c r="X379" s="51" t="str">
        <x:v>2026-07-27</x:v>
      </x:c>
    </x:row>
    <x:row r="380">
      <x:c r="A380" s="51" t="str">
        <x:v>IDX-005</x:v>
      </x:c>
      <x:c r="B380" s="51" t="str">
        <x:v>Index and benchmark governance</x:v>
      </x:c>
      <x:c r="C380" s="51" t="str">
        <x:v>ACT-FTSERUSSELL</x:v>
      </x:c>
      <x:c r="D380" s="51" t="str">
        <x:v>FTSE Russell</x:v>
      </x:c>
      <x:c r="E380" s="51" t="str">
        <x:v>ACT-INDEXMETHODOLOGYCOMMITTE</x:v>
      </x:c>
      <x:c r="F380" s="51" t="str">
        <x:v>Index methodology committees</x:v>
      </x:c>
      <x:c r="G380" s="51" t="str">
        <x:v>Provider → governance body</x:v>
      </x:c>
      <x:c r="H380" s="51" t="str">
        <x:v>Ongoing</x:v>
      </x:c>
      <x:c r="I380" s="51" t="str">
        <x:v>Methodology and review governance</x:v>
      </x:c>
      <x:c r="J380" s="51" t="str"/>
      <x:c r="K380" s="51" t="str">
        <x:v>Provider-specific</x:v>
      </x:c>
      <x:c r="L380" s="51" t="str">
        <x:v>Market data and rules</x:v>
      </x:c>
      <x:c r="M380" s="51" t="str">
        <x:v>Eligibility, classification and rebalance decisions</x:v>
      </x:c>
      <x:c r="N380" s="51" t="str">
        <x:v>Committee rules convert private analytical judgment into benchmark membership</x:v>
      </x:c>
      <x:c r="O380" s="51" t="str">
        <x:v>Informational; institutional; financial</x:v>
      </x:c>
      <x:c r="P380" s="51" t="str">
        <x:v>S1</x:v>
      </x:c>
      <x:c r="Q380" s="51" t="str">
        <x:v>High</x:v>
      </x:c>
      <x:c r="R380" s="51" t="str">
        <x:v>SRC-169; SRC-170; SRC-171</x:v>
      </x:c>
      <x:c r="S380" s="51" t="str">
        <x:v>FTSE Russell maintains methodologies governing its indexes.</x:v>
      </x:c>
      <x:c r="T380" s="51" t="str">
        <x:v>Arbitrary control, knowledge of every fund trade or direct issuer management.</x:v>
      </x:c>
      <x:c r="U380" s="51" t="str">
        <x:v>Public rules and consultations constrain but do not eliminate discretion.</x:v>
      </x:c>
      <x:c r="V380" s="51" t="str">
        <x:v>Active</x:v>
      </x:c>
      <x:c r="W380" s="51" t="str">
        <x:v>57;58</x:v>
      </x:c>
      <x:c r="X380" s="51" t="str">
        <x:v>2026-07-27</x:v>
      </x:c>
    </x:row>
    <x:row r="381">
      <x:c r="A381" s="51" t="str">
        <x:v>IDX-006</x:v>
      </x:c>
      <x:c r="B381" s="51" t="str">
        <x:v>Index and benchmark governance</x:v>
      </x:c>
      <x:c r="C381" s="51" t="str">
        <x:v>ACT-SPDOWJONESINDICES</x:v>
      </x:c>
      <x:c r="D381" s="51" t="str">
        <x:v>S&amp;P Dow Jones Indices</x:v>
      </x:c>
      <x:c r="E381" s="51" t="str">
        <x:v>ACT-INDEXMETHODOLOGYCOMMITTE</x:v>
      </x:c>
      <x:c r="F381" s="51" t="str">
        <x:v>Index methodology committees</x:v>
      </x:c>
      <x:c r="G381" s="51" t="str">
        <x:v>Provider → governance body</x:v>
      </x:c>
      <x:c r="H381" s="51" t="str">
        <x:v>Ongoing</x:v>
      </x:c>
      <x:c r="I381" s="51" t="str">
        <x:v>Methodology and review governance</x:v>
      </x:c>
      <x:c r="J381" s="51" t="str"/>
      <x:c r="K381" s="51" t="str">
        <x:v>Provider-specific</x:v>
      </x:c>
      <x:c r="L381" s="51" t="str">
        <x:v>Market data and rules</x:v>
      </x:c>
      <x:c r="M381" s="51" t="str">
        <x:v>Eligibility, classification and rebalance decisions</x:v>
      </x:c>
      <x:c r="N381" s="51" t="str">
        <x:v>Committee rules convert private analytical judgment into benchmark membership</x:v>
      </x:c>
      <x:c r="O381" s="51" t="str">
        <x:v>Informational; institutional; financial</x:v>
      </x:c>
      <x:c r="P381" s="51" t="str">
        <x:v>S1</x:v>
      </x:c>
      <x:c r="Q381" s="51" t="str">
        <x:v>High</x:v>
      </x:c>
      <x:c r="R381" s="51" t="str">
        <x:v>SRC-169; SRC-170; SRC-171</x:v>
      </x:c>
      <x:c r="S381" s="51" t="str">
        <x:v>S&amp;P Dow Jones Indices maintains methodologies governing its indexes.</x:v>
      </x:c>
      <x:c r="T381" s="51" t="str">
        <x:v>Arbitrary control, knowledge of every fund trade or direct issuer management.</x:v>
      </x:c>
      <x:c r="U381" s="51" t="str">
        <x:v>Public rules and consultations constrain but do not eliminate discretion.</x:v>
      </x:c>
      <x:c r="V381" s="51" t="str">
        <x:v>Active</x:v>
      </x:c>
      <x:c r="W381" s="51" t="str">
        <x:v>57;58</x:v>
      </x:c>
      <x:c r="X381" s="51" t="str">
        <x:v>2026-07-27</x:v>
      </x:c>
    </x:row>
    <x:row r="382">
      <x:c r="A382" s="51" t="str">
        <x:v>IDX-007</x:v>
      </x:c>
      <x:c r="B382" s="51" t="str">
        <x:v>Index and benchmark governance</x:v>
      </x:c>
      <x:c r="C382" s="51" t="str">
        <x:v>ACT-ICEBENCHMARKADMINISTRATI</x:v>
      </x:c>
      <x:c r="D382" s="51" t="str">
        <x:v>ICE Benchmark Administration</x:v>
      </x:c>
      <x:c r="E382" s="51" t="str">
        <x:v>ACT-ICEBRENTINDEX</x:v>
      </x:c>
      <x:c r="F382" s="51" t="str">
        <x:v>ICE Brent Index</x:v>
      </x:c>
      <x:c r="G382" s="51" t="str">
        <x:v>Administrator → benchmark</x:v>
      </x:c>
      <x:c r="H382" s="51" t="str">
        <x:v>Ongoing</x:v>
      </x:c>
      <x:c r="I382" s="51" t="str">
        <x:v>Benchmark calculation, publication and surveillance</x:v>
      </x:c>
      <x:c r="J382" s="51" t="str">
        <x:v>INS-086</x:v>
      </x:c>
      <x:c r="K382" s="51" t="str">
        <x:v>Global oil reference</x:v>
      </x:c>
      <x:c r="L382" s="51" t="str">
        <x:v>Physical and derivatives market inputs</x:v>
      </x:c>
      <x:c r="M382" s="51" t="str">
        <x:v>Reference settlement price</x:v>
      </x:c>
      <x:c r="N382" s="51" t="str">
        <x:v>A benchmark administrator converts market observations into a legally and financially reusable price</x:v>
      </x:c>
      <x:c r="O382" s="51" t="str">
        <x:v>Informational; financial; material</x:v>
      </x:c>
      <x:c r="P382" s="51" t="str">
        <x:v>E1</x:v>
      </x:c>
      <x:c r="Q382" s="51" t="str">
        <x:v>Very high</x:v>
      </x:c>
      <x:c r="R382" s="51" t="str">
        <x:v>SRC-172; SRC-173</x:v>
      </x:c>
      <x:c r="S382" s="51" t="str">
        <x:v>IBA administers regulated benchmarks and ICE publishes the Brent benchmark framework.</x:v>
      </x:c>
      <x:c r="T382" s="51" t="str">
        <x:v>Control of physical oil supply or guarantee against market manipulation.</x:v>
      </x:c>
      <x:c r="U382" s="51" t="str">
        <x:v>Benchmark robustness depends on market liquidity, methodology and surveillance.</x:v>
      </x:c>
      <x:c r="V382" s="51" t="str">
        <x:v>Active</x:v>
      </x:c>
      <x:c r="W382" s="51" t="str">
        <x:v>40;57</x:v>
      </x:c>
      <x:c r="X382" s="51" t="str">
        <x:v>2026-07-27</x:v>
      </x:c>
    </x:row>
    <x:row r="383">
      <x:c r="A383" s="51" t="str">
        <x:v>IDX-008</x:v>
      </x:c>
      <x:c r="B383" s="51" t="str">
        <x:v>Index and benchmark governance</x:v>
      </x:c>
      <x:c r="C383" s="51" t="str">
        <x:v>ACT-ICEBRENTINDEX</x:v>
      </x:c>
      <x:c r="D383" s="51" t="str">
        <x:v>ICE Brent Index</x:v>
      </x:c>
      <x:c r="E383" s="51" t="str">
        <x:v>ACT-GOVERNINGINSTITUTIONALNE</x:v>
      </x:c>
      <x:c r="F383" s="51" t="str">
        <x:v>Governing institutional networks</x:v>
      </x:c>
      <x:c r="G383" s="51" t="str">
        <x:v>Benchmark → market participants</x:v>
      </x:c>
      <x:c r="H383" s="51" t="str">
        <x:v>Ongoing</x:v>
      </x:c>
      <x:c r="I383" s="51" t="str">
        <x:v>Reference pricing and settlement</x:v>
      </x:c>
      <x:c r="J383" s="51" t="str">
        <x:v>INS-086</x:v>
      </x:c>
      <x:c r="K383" s="51" t="str">
        <x:v>Global contracts</x:v>
      </x:c>
      <x:c r="L383" s="51" t="str">
        <x:v>Published benchmark price</x:v>
      </x:c>
      <x:c r="M383" s="51" t="str">
        <x:v>Invoice, derivative, valuation and risk-management terms</x:v>
      </x:c>
      <x:c r="N383" s="51" t="str">
        <x:v>A benchmark can coordinate contracts far beyond the transactions directly used to calculate it</x:v>
      </x:c>
      <x:c r="O383" s="51" t="str">
        <x:v>Informational; financial; material</x:v>
      </x:c>
      <x:c r="P383" s="51" t="str">
        <x:v>S1</x:v>
      </x:c>
      <x:c r="Q383" s="51" t="str">
        <x:v>Very high</x:v>
      </x:c>
      <x:c r="R383" s="51" t="str">
        <x:v>SRC-173</x:v>
      </x:c>
      <x:c r="S383" s="51" t="str">
        <x:v>Brent is used as a global crude reference and futures settlement framework.</x:v>
      </x:c>
      <x:c r="T383" s="51" t="str">
        <x:v>Uniform pricing of all crude grades or ICE control of producer decisions.</x:v>
      </x:c>
      <x:c r="U383" s="51" t="str">
        <x:v>Differentials, transport and quality remain separate.</x:v>
      </x:c>
      <x:c r="V383" s="51" t="str">
        <x:v>Active</x:v>
      </x:c>
      <x:c r="W383" s="51" t="str">
        <x:v>40;57</x:v>
      </x:c>
      <x:c r="X383" s="51" t="str">
        <x:v>2026-07-27</x:v>
      </x:c>
    </x:row>
    <x:row r="384">
      <x:c r="A384" s="51" t="str">
        <x:v>IDX-009</x:v>
      </x:c>
      <x:c r="B384" s="51" t="str">
        <x:v>Index and benchmark governance</x:v>
      </x:c>
      <x:c r="C384" s="51" t="str">
        <x:v>ACT-ICEBENCHMARKADMINISTRATI</x:v>
      </x:c>
      <x:c r="D384" s="51" t="str">
        <x:v>ICE Benchmark Administration</x:v>
      </x:c>
      <x:c r="E384" s="51" t="str">
        <x:v>ACT-LBMAPRECIOUSMETALSPRICES</x:v>
      </x:c>
      <x:c r="F384" s="51" t="str">
        <x:v>LBMA Precious Metals Prices</x:v>
      </x:c>
      <x:c r="G384" s="51" t="str">
        <x:v>Administrator → benchmark set</x:v>
      </x:c>
      <x:c r="H384" s="51" t="str">
        <x:v>Ongoing</x:v>
      </x:c>
      <x:c r="I384" s="51" t="str">
        <x:v>Benchmark administration</x:v>
      </x:c>
      <x:c r="J384" s="51" t="str">
        <x:v>INS-087</x:v>
      </x:c>
      <x:c r="K384" s="51" t="str">
        <x:v>Global precious-metals markets</x:v>
      </x:c>
      <x:c r="L384" s="51" t="str">
        <x:v>Auction and market inputs</x:v>
      </x:c>
      <x:c r="M384" s="51" t="str">
        <x:v>Reference prices for contracts and valuation</x:v>
      </x:c>
      <x:c r="N384" s="51" t="str">
        <x:v>Private benchmark governance coordinates miners, refiners, central banks and investors around common prices</x:v>
      </x:c>
      <x:c r="O384" s="51" t="str">
        <x:v>Informational; financial; material</x:v>
      </x:c>
      <x:c r="P384" s="51" t="str">
        <x:v>E1</x:v>
      </x:c>
      <x:c r="Q384" s="51" t="str">
        <x:v>Very high</x:v>
      </x:c>
      <x:c r="R384" s="51" t="str">
        <x:v>SRC-174</x:v>
      </x:c>
      <x:c r="S384" s="51" t="str">
        <x:v>IBA administers the LBMA precious-metals benchmark prices.</x:v>
      </x:c>
      <x:c r="T384" s="51" t="str">
        <x:v>Ownership of underlying metal or control of all physical transactions.</x:v>
      </x:c>
      <x:c r="U384" s="51" t="str">
        <x:v>Unallocated market structure and participant concentration require separate analysis.</x:v>
      </x:c>
      <x:c r="V384" s="51" t="str">
        <x:v>Active</x:v>
      </x:c>
      <x:c r="W384" s="51" t="str">
        <x:v>40;57</x:v>
      </x:c>
      <x:c r="X384" s="51" t="str">
        <x:v>2026-07-27</x:v>
      </x:c>
    </x:row>
    <x:row r="385">
      <x:c r="A385" s="51" t="str">
        <x:v>INF-001</x:v>
      </x:c>
      <x:c r="B385" s="51" t="str">
        <x:v>AI infrastructure finance</x:v>
      </x:c>
      <x:c r="C385" s="51" t="str">
        <x:v>ACT-BROOKFIELDASSETMANAGEMEN</x:v>
      </x:c>
      <x:c r="D385" s="51" t="str">
        <x:v>Brookfield Asset Management</x:v>
      </x:c>
      <x:c r="E385" s="51" t="str">
        <x:v>ACT-GOVERNINGINSTITUTIONALNE</x:v>
      </x:c>
      <x:c r="F385" s="51" t="str">
        <x:v>Governing institutional networks</x:v>
      </x:c>
      <x:c r="G385" s="51" t="str">
        <x:v>Investor → infrastructure system</x:v>
      </x:c>
      <x:c r="H385" s="51" t="str">
        <x:v>2025 onward</x:v>
      </x:c>
      <x:c r="I385" s="51" t="str">
        <x:v>Global AI-infrastructure investment programme</x:v>
      </x:c>
      <x:c r="J385" s="51" t="str">
        <x:v>INS-058</x:v>
      </x:c>
      <x:c r="K385" s="51" t="str">
        <x:v>$100bn programme</x:v>
      </x:c>
      <x:c r="L385" s="51" t="str">
        <x:v>Institutional capital and infrastructure expertise</x:v>
      </x:c>
      <x:c r="M385" s="51" t="str">
        <x:v>AI factories, power and strategic adjacencies</x:v>
      </x:c>
      <x:c r="N385" s="51" t="str">
        <x:v>Private infrastructure managers convert pensions and institutional savings into control of AI physical substrate</x:v>
      </x:c>
      <x:c r="O385" s="51" t="str">
        <x:v>Financial; ownership; material; technological</x:v>
      </x:c>
      <x:c r="P385" s="51" t="str">
        <x:v>E1</x:v>
      </x:c>
      <x:c r="Q385" s="51" t="str">
        <x:v>Very high</x:v>
      </x:c>
      <x:c r="R385" s="51" t="str">
        <x:v>SRC-120</x:v>
      </x:c>
      <x:c r="S385" s="51" t="str">
        <x:v>Brookfield launched a large AI-infrastructure programme.</x:v>
      </x:c>
      <x:c r="T385" s="51" t="str">
        <x:v>Deployment of the full amount or ownership of every financed project.</x:v>
      </x:c>
      <x:c r="U385" s="51" t="str">
        <x:v>Fundraising, project selection and construction remain staged.</x:v>
      </x:c>
      <x:c r="V385" s="51" t="str">
        <x:v>Active programme</x:v>
      </x:c>
      <x:c r="W385" s="51" t="str">
        <x:v>57;69;76</x:v>
      </x:c>
      <x:c r="X385" s="51" t="str">
        <x:v>2026-07-27</x:v>
      </x:c>
    </x:row>
    <x:row r="386">
      <x:c r="A386" s="51" t="str">
        <x:v>INF-002</x:v>
      </x:c>
      <x:c r="B386" s="51" t="str">
        <x:v>AI infrastructure finance</x:v>
      </x:c>
      <x:c r="C386" s="51" t="str">
        <x:v>ACT-BROOKFIELDASSETMANAGEMEN</x:v>
      </x:c>
      <x:c r="D386" s="51" t="str">
        <x:v>Brookfield Asset Management</x:v>
      </x:c>
      <x:c r="E386" s="51" t="str">
        <x:v>ACT-BLOOMENERGY</x:v>
      </x:c>
      <x:c r="F386" s="51" t="str">
        <x:v>Bloom Energy</x:v>
      </x:c>
      <x:c r="G386" s="51" t="str">
        <x:v>Investor → power supplier</x:v>
      </x:c>
      <x:c r="H386" s="51" t="str">
        <x:v>2025–2026</x:v>
      </x:c>
      <x:c r="I386" s="51" t="str">
        <x:v>Strategic financing partnership</x:v>
      </x:c>
      <x:c r="J386" s="51" t="str">
        <x:v>INS-059</x:v>
      </x:c>
      <x:c r="K386" s="51" t="str">
        <x:v>Up to $25bn framework</x:v>
      </x:c>
      <x:c r="L386" s="51" t="str">
        <x:v>Infrastructure capital</x:v>
      </x:c>
      <x:c r="M386" s="51" t="str">
        <x:v>Rapid on-site generation for data centres</x:v>
      </x:c>
      <x:c r="N386" s="51" t="str">
        <x:v>Capital is converted into power capacity that bypasses or supplements congested grids</x:v>
      </x:c>
      <x:c r="O386" s="51" t="str">
        <x:v>Financial; material; technological</x:v>
      </x:c>
      <x:c r="P386" s="51" t="str">
        <x:v>E1</x:v>
      </x:c>
      <x:c r="Q386" s="51" t="str">
        <x:v>Very high</x:v>
      </x:c>
      <x:c r="R386" s="51" t="str">
        <x:v>SRC-121</x:v>
      </x:c>
      <x:c r="S386" s="51" t="str">
        <x:v>The companies expanded their AI-power financing framework to $25bn.</x:v>
      </x:c>
      <x:c r="T386" s="51" t="str">
        <x:v>Guaranteed deployment of all capital or zero-emission power.</x:v>
      </x:c>
      <x:c r="U386" s="51" t="str">
        <x:v>Fuel, permitting, interconnection and customer economics remain constraints.</x:v>
      </x:c>
      <x:c r="V386" s="51" t="str">
        <x:v>Active</x:v>
      </x:c>
      <x:c r="W386" s="51" t="str">
        <x:v>57;69;76</x:v>
      </x:c>
      <x:c r="X386" s="51" t="str">
        <x:v>2026-07-27</x:v>
      </x:c>
    </x:row>
    <x:row r="387">
      <x:c r="A387" s="51" t="str">
        <x:v>INF-003</x:v>
      </x:c>
      <x:c r="B387" s="51" t="str">
        <x:v>AI infrastructure finance</x:v>
      </x:c>
      <x:c r="C387" s="51" t="str">
        <x:v>ACT-KKR</x:v>
      </x:c>
      <x:c r="D387" s="51" t="str">
        <x:v>KKR</x:v>
      </x:c>
      <x:c r="E387" s="51" t="str">
        <x:v>ACT-ENERGYCAPITALPARTNERS</x:v>
      </x:c>
      <x:c r="F387" s="51" t="str">
        <x:v>Energy Capital Partners</x:v>
      </x:c>
      <x:c r="G387" s="51" t="str">
        <x:v>Investor ↔ investor</x:v>
      </x:c>
      <x:c r="H387" s="51" t="str">
        <x:v>2024 onward</x:v>
      </x:c>
      <x:c r="I387" s="51" t="str">
        <x:v>Strategic digital-and-power infrastructure partnership</x:v>
      </x:c>
      <x:c r="J387" s="51" t="str">
        <x:v>INS-060</x:v>
      </x:c>
      <x:c r="K387" s="51" t="str">
        <x:v>$50bn programme</x:v>
      </x:c>
      <x:c r="L387" s="51" t="str">
        <x:v>Private equity, infrastructure funds and power expertise</x:v>
      </x:c>
      <x:c r="M387" s="51" t="str">
        <x:v>Integrated data-centre, generation and transmission assets</x:v>
      </x:c>
      <x:c r="N387" s="51" t="str">
        <x:v>Private capital combines the demand and energy sides of AI infrastructure</x:v>
      </x:c>
      <x:c r="O387" s="51" t="str">
        <x:v>Financial; ownership; material</x:v>
      </x:c>
      <x:c r="P387" s="51" t="str">
        <x:v>E1</x:v>
      </x:c>
      <x:c r="Q387" s="51" t="str">
        <x:v>Very high</x:v>
      </x:c>
      <x:c r="R387" s="51" t="str">
        <x:v>SRC-122</x:v>
      </x:c>
      <x:c r="S387" s="51" t="str">
        <x:v>KKR and ECP announced a $50bn partnership.</x:v>
      </x:c>
      <x:c r="T387" s="51" t="str">
        <x:v>Deployment of all capital or control of all hyperscaler customers.</x:v>
      </x:c>
      <x:c r="U387" s="51" t="str">
        <x:v>Projects require site-specific contracts and regulatory approvals.</x:v>
      </x:c>
      <x:c r="V387" s="51" t="str">
        <x:v>Active</x:v>
      </x:c>
      <x:c r="W387" s="51" t="str">
        <x:v>57;69;76</x:v>
      </x:c>
      <x:c r="X387" s="51" t="str">
        <x:v>2026-07-27</x:v>
      </x:c>
    </x:row>
    <x:row r="388">
      <x:c r="A388" s="51" t="str">
        <x:v>INF-004</x:v>
      </x:c>
      <x:c r="B388" s="51" t="str">
        <x:v>AI infrastructure finance</x:v>
      </x:c>
      <x:c r="C388" s="51" t="str">
        <x:v>ACT-ENERGYCAPITALPARTNERS</x:v>
      </x:c>
      <x:c r="D388" s="51" t="str">
        <x:v>Energy Capital Partners</x:v>
      </x:c>
      <x:c r="E388" s="51" t="str">
        <x:v>ACT-CALPINE</x:v>
      </x:c>
      <x:c r="F388" s="51" t="str">
        <x:v>Calpine</x:v>
      </x:c>
      <x:c r="G388" s="51" t="str">
        <x:v>Investor → portfolio power company</x:v>
      </x:c>
      <x:c r="H388" s="51" t="str">
        <x:v>2025–2026</x:v>
      </x:c>
      <x:c r="I388" s="51" t="str">
        <x:v>Co-located power arrangement</x:v>
      </x:c>
      <x:c r="J388" s="51" t="str">
        <x:v>INS-061</x:v>
      </x:c>
      <x:c r="K388" s="51" t="str">
        <x:v>Project-specific</x:v>
      </x:c>
      <x:c r="L388" s="51" t="str">
        <x:v>Natural-gas generation and site control</x:v>
      </x:c>
      <x:c r="M388" s="51" t="str">
        <x:v>Dedicated hyperscale data-centre power</x:v>
      </x:c>
      <x:c r="N388" s="51" t="str">
        <x:v>Ownership of generation capacity lowers grid-connection delay for compute customers</x:v>
      </x:c>
      <x:c r="O388" s="51" t="str">
        <x:v>Material; ownership; technological</x:v>
      </x:c>
      <x:c r="P388" s="51" t="str">
        <x:v>E1</x:v>
      </x:c>
      <x:c r="Q388" s="51" t="str">
        <x:v>High</x:v>
      </x:c>
      <x:c r="R388" s="51" t="str">
        <x:v>SRC-122</x:v>
      </x:c>
      <x:c r="S388" s="51" t="str">
        <x:v>The Texas campus is co-located with a Calpine gas plant.</x:v>
      </x:c>
      <x:c r="T388" s="51" t="str">
        <x:v>Complete energy independence, absence of emissions or guaranteed completion.</x:v>
      </x:c>
      <x:c r="U388" s="51" t="str">
        <x:v>Dedicated generation can shift rather than eliminate wider grid and fuel risks.</x:v>
      </x:c>
      <x:c r="V388" s="51" t="str">
        <x:v>Development</x:v>
      </x:c>
      <x:c r="W388" s="51" t="str">
        <x:v>57;69</x:v>
      </x:c>
      <x:c r="X388" s="51" t="str">
        <x:v>2026-07-27</x:v>
      </x:c>
    </x:row>
    <x:row r="389">
      <x:c r="A389" s="51" t="str">
        <x:v>INF-005</x:v>
      </x:c>
      <x:c r="B389" s="51" t="str">
        <x:v>AI infrastructure finance</x:v>
      </x:c>
      <x:c r="C389" s="51" t="str">
        <x:v>ACT-APOLLOGLOBALMANAGEMENT</x:v>
      </x:c>
      <x:c r="D389" s="51" t="str">
        <x:v>Apollo Global Management</x:v>
      </x:c>
      <x:c r="E389" s="51" t="str">
        <x:v>ACT-VALORCOMPUTEINFRASTRUCTU</x:v>
      </x:c>
      <x:c r="F389" s="51" t="str">
        <x:v>Valor Compute Infrastructure</x:v>
      </x:c>
      <x:c r="G389" s="51" t="str">
        <x:v>Credit provider → asset owner</x:v>
      </x:c>
      <x:c r="H389" s="51" t="str">
        <x:v>2026</x:v>
      </x:c>
      <x:c r="I389" s="51" t="str">
        <x:v>Capital solution / private credit</x:v>
      </x:c>
      <x:c r="J389" s="51" t="str">
        <x:v>INS-062</x:v>
      </x:c>
      <x:c r="K389" s="51" t="str">
        <x:v>$3.5bn financing</x:v>
      </x:c>
      <x:c r="L389" s="51" t="str">
        <x:v>Private-credit capital</x:v>
      </x:c>
      <x:c r="M389" s="51" t="str">
        <x:v>Acquisition of GPU compute assets</x:v>
      </x:c>
      <x:c r="N389" s="51" t="str">
        <x:v>Private credit converts future AI lease payments into present hardware ownership</x:v>
      </x:c>
      <x:c r="O389" s="51" t="str">
        <x:v>Financial; ownership; technological</x:v>
      </x:c>
      <x:c r="P389" s="51" t="str">
        <x:v>E1</x:v>
      </x:c>
      <x:c r="Q389" s="51" t="str">
        <x:v>Very high</x:v>
      </x:c>
      <x:c r="R389" s="51" t="str">
        <x:v>SRC-123</x:v>
      </x:c>
      <x:c r="S389" s="51" t="str">
        <x:v>Apollo-led funds financed the compute acquisition.</x:v>
      </x:c>
      <x:c r="T389" s="51" t="str">
        <x:v>Ownership of xAI, the models or all leased hardware.</x:v>
      </x:c>
      <x:c r="U389" s="51" t="str">
        <x:v>Lease creditworthiness, hardware obsolescence and residual value remain risks.</x:v>
      </x:c>
      <x:c r="V389" s="51" t="str">
        <x:v>Active</x:v>
      </x:c>
      <x:c r="W389" s="51" t="str">
        <x:v>57;69;76</x:v>
      </x:c>
      <x:c r="X389" s="51" t="str">
        <x:v>2026-07-27</x:v>
      </x:c>
    </x:row>
    <x:row r="390">
      <x:c r="A390" s="51" t="str">
        <x:v>INF-006</x:v>
      </x:c>
      <x:c r="B390" s="51" t="str">
        <x:v>AI infrastructure finance</x:v>
      </x:c>
      <x:c r="C390" s="51" t="str">
        <x:v>ACT-VALORCOMPUTEINFRASTRUCTU</x:v>
      </x:c>
      <x:c r="D390" s="51" t="str">
        <x:v>Valor Compute Infrastructure</x:v>
      </x:c>
      <x:c r="E390" s="51" t="str">
        <x:v>ACT-XAI</x:v>
      </x:c>
      <x:c r="F390" s="51" t="str">
        <x:v>xAI</x:v>
      </x:c>
      <x:c r="G390" s="51" t="str">
        <x:v>Asset owner → lessee</x:v>
      </x:c>
      <x:c r="H390" s="51" t="str">
        <x:v>2026</x:v>
      </x:c>
      <x:c r="I390" s="51" t="str">
        <x:v>GPU infrastructure lease</x:v>
      </x:c>
      <x:c r="J390" s="51" t="str">
        <x:v>INS-062</x:v>
      </x:c>
      <x:c r="K390" s="51" t="str">
        <x:v>$5.4bn asset acquisition supporting lease</x:v>
      </x:c>
      <x:c r="L390" s="51" t="str">
        <x:v>Nvidia GPU assets and financing</x:v>
      </x:c>
      <x:c r="M390" s="51" t="str">
        <x:v>Dedicated xAI training/inference capacity</x:v>
      </x:c>
      <x:c r="N390" s="51" t="str">
        <x:v>A special-purpose owner separates expensive compute assets from the model company balance sheet</x:v>
      </x:c>
      <x:c r="O390" s="51" t="str">
        <x:v>Financial; material; technological</x:v>
      </x:c>
      <x:c r="P390" s="51" t="str">
        <x:v>E1</x:v>
      </x:c>
      <x:c r="Q390" s="51" t="str">
        <x:v>Very high</x:v>
      </x:c>
      <x:c r="R390" s="51" t="str">
        <x:v>SRC-123</x:v>
      </x:c>
      <x:c r="S390" s="51" t="str">
        <x:v>The financed assets are to be leased to an xAI subsidiary.</x:v>
      </x:c>
      <x:c r="T390" s="51" t="str">
        <x:v>Valor control over xAI models or guarantee against technology obsolescence.</x:v>
      </x:c>
      <x:c r="U390" s="51" t="str">
        <x:v>The structure shifts ownership and financing risk without eliminating it.</x:v>
      </x:c>
      <x:c r="V390" s="51" t="str">
        <x:v>Active</x:v>
      </x:c>
      <x:c r="W390" s="51" t="str">
        <x:v>57;69;76</x:v>
      </x:c>
      <x:c r="X390" s="51" t="str">
        <x:v>2026-07-27</x:v>
      </x:c>
    </x:row>
    <x:row r="391">
      <x:c r="A391" s="51" t="str">
        <x:v>INF-007</x:v>
      </x:c>
      <x:c r="B391" s="51" t="str">
        <x:v>AI infrastructure finance</x:v>
      </x:c>
      <x:c r="C391" s="51" t="str">
        <x:v>ACT-NVIDIA</x:v>
      </x:c>
      <x:c r="D391" s="51" t="str">
        <x:v>NVIDIA</x:v>
      </x:c>
      <x:c r="E391" s="51" t="str">
        <x:v>ACT-OPENAI</x:v>
      </x:c>
      <x:c r="F391" s="51" t="str">
        <x:v>OpenAI</x:v>
      </x:c>
      <x:c r="G391" s="51" t="str">
        <x:v>Proposed guarantor → model lab</x:v>
      </x:c>
      <x:c r="H391" s="51" t="str">
        <x:v>Reported 2026-07</x:v>
      </x:c>
      <x:c r="I391" s="51" t="str">
        <x:v>Proposed financing guarantee</x:v>
      </x:c>
      <x:c r="J391" s="51" t="str">
        <x:v>INS-063</x:v>
      </x:c>
      <x:c r="K391" s="51" t="str">
        <x:v>$250bn guarantee discussed</x:v>
      </x:c>
      <x:c r="L391" s="51" t="str">
        <x:v>Supplier balance sheet and chip economics</x:v>
      </x:c>
      <x:c r="M391" s="51" t="str">
        <x:v>Lower borrowing cost for very large data-centre lease</x:v>
      </x:c>
      <x:c r="N391" s="51" t="str">
        <x:v>A dominant supplier may wrap customer credit to finance demand for its own ecosystem</x:v>
      </x:c>
      <x:c r="O391" s="51" t="str">
        <x:v>Financial; technological; relational</x:v>
      </x:c>
      <x:c r="P391" s="51" t="str">
        <x:v>A1</x:v>
      </x:c>
      <x:c r="Q391" s="51" t="str">
        <x:v>Moderate</x:v>
      </x:c>
      <x:c r="R391" s="51" t="str">
        <x:v>SRC-124</x:v>
      </x:c>
      <x:c r="S391" s="51" t="str">
        <x:v>Reuters reported negotiations over a possible guarantee.</x:v>
      </x:c>
      <x:c r="T391" s="51" t="str">
        <x:v>A signed guarantee, final terms or completed Ohio project.</x:v>
      </x:c>
      <x:c r="U391" s="51" t="str">
        <x:v>The proposal could change and may reflect strategic sales support rather than control.</x:v>
      </x:c>
      <x:c r="V391" s="51" t="str">
        <x:v>Reported negotiations</x:v>
      </x:c>
      <x:c r="W391" s="51" t="str">
        <x:v>57;69;76</x:v>
      </x:c>
      <x:c r="X391" s="51" t="str">
        <x:v>2026-07-27</x:v>
      </x:c>
    </x:row>
    <x:row r="392">
      <x:c r="A392" s="51" t="str">
        <x:v>INF-008</x:v>
      </x:c>
      <x:c r="B392" s="51" t="str">
        <x:v>AI infrastructure finance</x:v>
      </x:c>
      <x:c r="C392" s="51" t="str">
        <x:v>ACT-SBENERGY</x:v>
      </x:c>
      <x:c r="D392" s="51" t="str">
        <x:v>SB Energy</x:v>
      </x:c>
      <x:c r="E392" s="51" t="str">
        <x:v>ACT-OPENAI</x:v>
      </x:c>
      <x:c r="F392" s="51" t="str">
        <x:v>OpenAI</x:v>
      </x:c>
      <x:c r="G392" s="51" t="str">
        <x:v>Developer → prospective tenant</x:v>
      </x:c>
      <x:c r="H392" s="51" t="str">
        <x:v>Reported 2026</x:v>
      </x:c>
      <x:c r="I392" s="51" t="str">
        <x:v>10 GW data-centre development and lease proposal</x:v>
      </x:c>
      <x:c r="J392" s="51" t="str">
        <x:v>INS-063</x:v>
      </x:c>
      <x:c r="K392" s="51" t="str">
        <x:v>Project over $500bn reported</x:v>
      </x:c>
      <x:c r="L392" s="51" t="str">
        <x:v>Energy, land and project development</x:v>
      </x:c>
      <x:c r="M392" s="51" t="str">
        <x:v>Massive dedicated OpenAI compute campus</x:v>
      </x:c>
      <x:c r="N392" s="51" t="str">
        <x:v>Energy development and geopolitical capital are converted into direct model-lab infrastructure</x:v>
      </x:c>
      <x:c r="O392" s="51" t="str">
        <x:v>Material; financial; technological</x:v>
      </x:c>
      <x:c r="P392" s="51" t="str">
        <x:v>A1</x:v>
      </x:c>
      <x:c r="Q392" s="51" t="str">
        <x:v>Moderate</x:v>
      </x:c>
      <x:c r="R392" s="51" t="str">
        <x:v>SRC-124</x:v>
      </x:c>
      <x:c r="S392" s="51" t="str">
        <x:v>Reuters reported SB Energy is developing the proposed Ohio facility.</x:v>
      </x:c>
      <x:c r="T392" s="51" t="str">
        <x:v>Final lease, completion, power availability or government guarantee.</x:v>
      </x:c>
      <x:c r="U392" s="51" t="str">
        <x:v>The project is at financing and development stage.</x:v>
      </x:c>
      <x:c r="V392" s="51" t="str">
        <x:v>Reported / development</x:v>
      </x:c>
      <x:c r="W392" s="51" t="str">
        <x:v>69;76</x:v>
      </x:c>
      <x:c r="X392" s="51" t="str">
        <x:v>2026-07-27</x:v>
      </x:c>
    </x:row>
    <x:row r="393">
      <x:c r="A393" s="51" t="str">
        <x:v>INF-009</x:v>
      </x:c>
      <x:c r="B393" s="51" t="str">
        <x:v>AI infrastructure finance</x:v>
      </x:c>
      <x:c r="C393" s="51" t="str">
        <x:v>ACT-NVIDIA</x:v>
      </x:c>
      <x:c r="D393" s="51" t="str">
        <x:v>NVIDIA</x:v>
      </x:c>
      <x:c r="E393" s="51" t="str">
        <x:v>ACT-SKGROUP</x:v>
      </x:c>
      <x:c r="F393" s="51" t="str">
        <x:v>SK Group</x:v>
      </x:c>
      <x:c r="G393" s="51" t="str">
        <x:v>Technology supplier → conglomerate</x:v>
      </x:c>
      <x:c r="H393" s="51" t="str">
        <x:v>2026</x:v>
      </x:c>
      <x:c r="I393" s="51" t="str">
        <x:v>Strategic AI and memory initiative</x:v>
      </x:c>
      <x:c r="J393" s="51" t="str">
        <x:v>INS-064</x:v>
      </x:c>
      <x:c r="K393" s="51" t="str">
        <x:v>$500bn-plus initiative announced</x:v>
      </x:c>
      <x:c r="L393" s="51" t="str">
        <x:v>GPU platform and industrial capital</x:v>
      </x:c>
      <x:c r="M393" s="51" t="str">
        <x:v>Korean AI data centres and memory ecosystem</x:v>
      </x:c>
      <x:c r="N393" s="51" t="str">
        <x:v>Chip-platform leadership coordinates investment across telecom, memory and cloud infrastructure</x:v>
      </x:c>
      <x:c r="O393" s="51" t="str">
        <x:v>Technological; material; financial</x:v>
      </x:c>
      <x:c r="P393" s="51" t="str">
        <x:v>E2</x:v>
      </x:c>
      <x:c r="Q393" s="51" t="str">
        <x:v>High</x:v>
      </x:c>
      <x:c r="R393" s="51" t="str">
        <x:v>SRC-125</x:v>
      </x:c>
      <x:c r="S393" s="51" t="str">
        <x:v>A large joint initiative was announced.</x:v>
      </x:c>
      <x:c r="T393" s="51" t="str">
        <x:v>A legally committed single investment pool of the entire headline amount.</x:v>
      </x:c>
      <x:c r="U393" s="51" t="str">
        <x:v>The initiative consists of multiple projects and partnerships.</x:v>
      </x:c>
      <x:c r="V393" s="51" t="str">
        <x:v>Announced</x:v>
      </x:c>
      <x:c r="W393" s="51" t="str">
        <x:v>57;69;76</x:v>
      </x:c>
      <x:c r="X393" s="51" t="str">
        <x:v>2026-07-27</x:v>
      </x:c>
    </x:row>
    <x:row r="394">
      <x:c r="A394" s="51" t="str">
        <x:v>INF-010</x:v>
      </x:c>
      <x:c r="B394" s="51" t="str">
        <x:v>AI infrastructure finance</x:v>
      </x:c>
      <x:c r="C394" s="51" t="str">
        <x:v>ACT-SKHYNIX</x:v>
      </x:c>
      <x:c r="D394" s="51" t="str">
        <x:v>SK Hynix</x:v>
      </x:c>
      <x:c r="E394" s="51" t="str">
        <x:v>ACT-NVIDIA</x:v>
      </x:c>
      <x:c r="F394" s="51" t="str">
        <x:v>NVIDIA</x:v>
      </x:c>
      <x:c r="G394" s="51" t="str">
        <x:v>Supplier ↔ platform company</x:v>
      </x:c>
      <x:c r="H394" s="51" t="str">
        <x:v>2026 onward</x:v>
      </x:c>
      <x:c r="I394" s="51" t="str">
        <x:v>High-bandwidth-memory supply and co-development</x:v>
      </x:c>
      <x:c r="J394" s="51" t="str">
        <x:v>INS-064</x:v>
      </x:c>
      <x:c r="K394" s="51" t="str">
        <x:v>Programme scale</x:v>
      </x:c>
      <x:c r="L394" s="51" t="str">
        <x:v>HBM manufacturing</x:v>
      </x:c>
      <x:c r="M394" s="51" t="str">
        <x:v>Memory required for advanced AI accelerators</x:v>
      </x:c>
      <x:c r="N394" s="51" t="str">
        <x:v>A memory chokepoint becomes a co-equal strategic layer with GPU design</x:v>
      </x:c>
      <x:c r="O394" s="51" t="str">
        <x:v>Material; technological</x:v>
      </x:c>
      <x:c r="P394" s="51" t="str">
        <x:v>E2</x:v>
      </x:c>
      <x:c r="Q394" s="51" t="str">
        <x:v>High</x:v>
      </x:c>
      <x:c r="R394" s="51" t="str">
        <x:v>SRC-125</x:v>
      </x:c>
      <x:c r="S394" s="51" t="str">
        <x:v>The companies announced memory supply and joint development.</x:v>
      </x:c>
      <x:c r="T394" s="51" t="str">
        <x:v>Exclusive supply or elimination of alternative memory vendors.</x:v>
      </x:c>
      <x:c r="U394" s="51" t="str">
        <x:v>Capacity, yields and product cycles determine practical leverage.</x:v>
      </x:c>
      <x:c r="V394" s="51" t="str">
        <x:v>Announced</x:v>
      </x:c>
      <x:c r="W394" s="51" t="str">
        <x:v>40;57;76</x:v>
      </x:c>
      <x:c r="X394" s="51" t="str">
        <x:v>2026-07-27</x:v>
      </x:c>
    </x:row>
    <x:row r="395">
      <x:c r="A395" s="51" t="str">
        <x:v>INF-011</x:v>
      </x:c>
      <x:c r="B395" s="51" t="str">
        <x:v>AI infrastructure finance</x:v>
      </x:c>
      <x:c r="C395" s="51" t="str">
        <x:v>ACT-SKTELECOM</x:v>
      </x:c>
      <x:c r="D395" s="51" t="str">
        <x:v>SK Telecom</x:v>
      </x:c>
      <x:c r="E395" s="51" t="str">
        <x:v>ACT-NVIDIA</x:v>
      </x:c>
      <x:c r="F395" s="51" t="str">
        <x:v>NVIDIA</x:v>
      </x:c>
      <x:c r="G395" s="51" t="str">
        <x:v>Operator → supplier</x:v>
      </x:c>
      <x:c r="H395" s="51" t="str">
        <x:v>2026 onward</x:v>
      </x:c>
      <x:c r="I395" s="51" t="str">
        <x:v>2 GW AI data-centre plan</x:v>
      </x:c>
      <x:c r="J395" s="51" t="str">
        <x:v>INS-064</x:v>
      </x:c>
      <x:c r="K395" s="51" t="str">
        <x:v>2 GW planned</x:v>
      </x:c>
      <x:c r="L395" s="51" t="str">
        <x:v>Telecom sites, capital and local demand</x:v>
      </x:c>
      <x:c r="M395" s="51" t="str">
        <x:v>Korean AI-cloud capacity using Nvidia systems</x:v>
      </x:c>
      <x:c r="N395" s="51" t="str">
        <x:v>Telecom infrastructure is converted into sovereign-scale AI compute</x:v>
      </x:c>
      <x:c r="O395" s="51" t="str">
        <x:v>Material; technological; relational</x:v>
      </x:c>
      <x:c r="P395" s="51" t="str">
        <x:v>E2</x:v>
      </x:c>
      <x:c r="Q395" s="51" t="str">
        <x:v>High</x:v>
      </x:c>
      <x:c r="R395" s="51" t="str">
        <x:v>SRC-125</x:v>
      </x:c>
      <x:c r="S395" s="51" t="str">
        <x:v>A 2 GW data-centre plan using Nvidia systems was announced.</x:v>
      </x:c>
      <x:c r="T395" s="51" t="str">
        <x:v>Completed capacity or exclusive use by one company.</x:v>
      </x:c>
      <x:c r="U395" s="51" t="str">
        <x:v>Construction, permitting and power procurement remain open.</x:v>
      </x:c>
      <x:c r="V395" s="51" t="str">
        <x:v>Announced</x:v>
      </x:c>
      <x:c r="W395" s="51" t="str">
        <x:v>57;69;76</x:v>
      </x:c>
      <x:c r="X395" s="51" t="str">
        <x:v>2026-07-27</x:v>
      </x:c>
    </x:row>
    <x:row r="396">
      <x:c r="A396" s="51" t="str">
        <x:v>INF-012</x:v>
      </x:c>
      <x:c r="B396" s="51" t="str">
        <x:v>AI infrastructure finance</x:v>
      </x:c>
      <x:c r="C396" s="51" t="str">
        <x:v>ACT-NAVER</x:v>
      </x:c>
      <x:c r="D396" s="51" t="str">
        <x:v>Naver</x:v>
      </x:c>
      <x:c r="E396" s="51" t="str">
        <x:v>ACT-NVIDIA</x:v>
      </x:c>
      <x:c r="F396" s="51" t="str">
        <x:v>NVIDIA</x:v>
      </x:c>
      <x:c r="G396" s="51" t="str">
        <x:v>Company ↔ strategic investor</x:v>
      </x:c>
      <x:c r="H396" s="51" t="str">
        <x:v>2026</x:v>
      </x:c>
      <x:c r="I396" s="51" t="str">
        <x:v>Reported equity and data-centre partnership</x:v>
      </x:c>
      <x:c r="J396" s="51" t="str">
        <x:v>INS-064</x:v>
      </x:c>
      <x:c r="K396" s="51" t="str">
        <x:v>Approximately $1bn Nvidia equity investment reported</x:v>
      </x:c>
      <x:c r="L396" s="51" t="str">
        <x:v>Korean platform, sovereign-AI demand and Nvidia capital</x:v>
      </x:c>
      <x:c r="M396" s="51" t="str">
        <x:v>Expanded multi-tenant AI-cloud infrastructure</x:v>
      </x:c>
      <x:c r="N396" s="51" t="str">
        <x:v>Supplier equity investment aligns a national platform with the dominant accelerator ecosystem</x:v>
      </x:c>
      <x:c r="O396" s="51" t="str">
        <x:v>Financial; ownership; technological</x:v>
      </x:c>
      <x:c r="P396" s="51" t="str">
        <x:v>E2</x:v>
      </x:c>
      <x:c r="Q396" s="51" t="str">
        <x:v>Moderate</x:v>
      </x:c>
      <x:c r="R396" s="51" t="str">
        <x:v>SRC-125</x:v>
      </x:c>
      <x:c r="S396" s="51" t="str">
        <x:v>Reuters reported Nvidia, Naver and Brookfield cooperation within the wider initiative.</x:v>
      </x:c>
      <x:c r="T396" s="51" t="str">
        <x:v>Final governance rights, exclusive procurement or completed investment terms.</x:v>
      </x:c>
      <x:c r="U396" s="51" t="str">
        <x:v>The detailed transaction structure requires filings.</x:v>
      </x:c>
      <x:c r="V396" s="51" t="str">
        <x:v>Announced / verify filings</x:v>
      </x:c>
      <x:c r="W396" s="51" t="str">
        <x:v>57;76</x:v>
      </x:c>
      <x:c r="X396" s="51" t="str">
        <x:v>2026-07-27</x:v>
      </x:c>
    </x:row>
    <x:row r="397">
      <x:c r="A397" s="51" t="str">
        <x:v>INSUR-001</x:v>
      </x:c>
      <x:c r="B397" s="51" t="str">
        <x:v>Marine insurance, reinsurance and sanctions services</x:v>
      </x:c>
      <x:c r="C397" s="51" t="str">
        <x:v>ACT-PICLUBS</x:v>
      </x:c>
      <x:c r="D397" s="51" t="str">
        <x:v>P&amp;I clubs</x:v>
      </x:c>
      <x:c r="E397" s="51" t="str">
        <x:v>ACT-SHIPOWNERS</x:v>
      </x:c>
      <x:c r="F397" s="51" t="str">
        <x:v>Shipowners</x:v>
      </x:c>
      <x:c r="G397" s="51" t="str">
        <x:v>Mutual insurer → members</x:v>
      </x:c>
      <x:c r="H397" s="51" t="str">
        <x:v>Annual policy year</x:v>
      </x:c>
      <x:c r="I397" s="51" t="str">
        <x:v>Protection and indemnity cover</x:v>
      </x:c>
      <x:c r="J397" s="51" t="str">
        <x:v>INS-207</x:v>
      </x:c>
      <x:c r="K397" s="51" t="str">
        <x:v>Approximately 87% of ocean-going tonnage across the Group</x:v>
      </x:c>
      <x:c r="L397" s="51" t="str">
        <x:v>Premium/call and entered vessel risk</x:v>
      </x:c>
      <x:c r="M397" s="51" t="str">
        <x:v>Third-party liability cover</x:v>
      </x:c>
      <x:c r="N397" s="51" t="str">
        <x:v>Mutual clubs convert uncertain collision, pollution, injury and wreck liabilities into pooled financial protection</x:v>
      </x:c>
      <x:c r="O397" s="51" t="str">
        <x:v>Financial; relational; institutional</x:v>
      </x:c>
      <x:c r="P397" s="51" t="str">
        <x:v>E1</x:v>
      </x:c>
      <x:c r="Q397" s="51" t="str">
        <x:v>Very high</x:v>
      </x:c>
      <x:c r="R397" s="51" t="str">
        <x:v>SRC-368</x:v>
      </x:c>
      <x:c r="S397" s="51" t="str">
        <x:v>International Group clubs cover a large share of ocean-going tonnage.</x:v>
      </x:c>
      <x:c r="T397" s="51" t="str">
        <x:v>Coverage of hull value, cargo price or every maritime risk.</x:v>
      </x:c>
      <x:c r="U397" s="51" t="str">
        <x:v>P&amp;I focuses on defined third-party liabilities.</x:v>
      </x:c>
      <x:c r="V397" s="51" t="str">
        <x:v>Active</x:v>
      </x:c>
      <x:c r="W397" s="51" t="str">
        <x:v>36;57</x:v>
      </x:c>
      <x:c r="X397" s="51" t="str">
        <x:v>2026-07-27</x:v>
      </x:c>
    </x:row>
    <x:row r="398">
      <x:c r="A398" s="51" t="str">
        <x:v>INSUR-002</x:v>
      </x:c>
      <x:c r="B398" s="51" t="str">
        <x:v>Marine insurance, reinsurance and sanctions services</x:v>
      </x:c>
      <x:c r="C398" s="51" t="str">
        <x:v>ACT-INTERNATIONALGROUPOFPICL</x:v>
      </x:c>
      <x:c r="D398" s="51" t="str">
        <x:v>International Group of P&amp;I Clubs</x:v>
      </x:c>
      <x:c r="E398" s="51" t="str">
        <x:v>ACT-PICLUBS</x:v>
      </x:c>
      <x:c r="F398" s="51" t="str">
        <x:v>P&amp;I clubs</x:v>
      </x:c>
      <x:c r="G398" s="51" t="str">
        <x:v>Group → member clubs</x:v>
      </x:c>
      <x:c r="H398" s="51" t="str">
        <x:v>Ongoing</x:v>
      </x:c>
      <x:c r="I398" s="51" t="str">
        <x:v>Claims pooling and collective reinsurance</x:v>
      </x:c>
      <x:c r="J398" s="51" t="str">
        <x:v>INS-207</x:v>
      </x:c>
      <x:c r="K398" s="51" t="str">
        <x:v>Large claims pooled above club retentions</x:v>
      </x:c>
      <x:c r="L398" s="51" t="str">
        <x:v>Club claims and capital</x:v>
      </x:c>
      <x:c r="M398" s="51" t="str">
        <x:v>Shared loss and reinsurance capacity</x:v>
      </x:c>
      <x:c r="N398" s="51" t="str">
        <x:v>Pooling allows individually competing mutuals to provide much higher liability limits than isolated balance sheets</x:v>
      </x:c>
      <x:c r="O398" s="51" t="str">
        <x:v>Financial; institutional; relational</x:v>
      </x:c>
      <x:c r="P398" s="51" t="str">
        <x:v>E1</x:v>
      </x:c>
      <x:c r="Q398" s="51" t="str">
        <x:v>Very high</x:v>
      </x:c>
      <x:c r="R398" s="51" t="str">
        <x:v>SRC-368; SRC-369</x:v>
      </x:c>
      <x:c r="S398" s="51" t="str">
        <x:v>The Group pools large claims and buys collective excess reinsurance.</x:v>
      </x:c>
      <x:c r="T398" s="51" t="str">
        <x:v>One insurer controlling member underwriting or guaranteed payment of excluded claims.</x:v>
      </x:c>
      <x:c r="U398" s="51" t="str">
        <x:v>Clubs retain individual underwriting and membership decisions.</x:v>
      </x:c>
      <x:c r="V398" s="51" t="str">
        <x:v>Active</x:v>
      </x:c>
      <x:c r="W398" s="51" t="str">
        <x:v>36;57</x:v>
      </x:c>
      <x:c r="X398" s="51" t="str">
        <x:v>2026-07-27</x:v>
      </x:c>
    </x:row>
    <x:row r="399">
      <x:c r="A399" s="51" t="str">
        <x:v>INSUR-003</x:v>
      </x:c>
      <x:c r="B399" s="51" t="str">
        <x:v>Marine insurance, reinsurance and sanctions services</x:v>
      </x:c>
      <x:c r="C399" s="51" t="str">
        <x:v>ACT-MARINEREINSURERS</x:v>
      </x:c>
      <x:c r="D399" s="51" t="str">
        <x:v>Marine reinsurers</x:v>
      </x:c>
      <x:c r="E399" s="51" t="str">
        <x:v>ACT-INTERNATIONALGROUPOFPICL</x:v>
      </x:c>
      <x:c r="F399" s="51" t="str">
        <x:v>International Group of P&amp;I Clubs</x:v>
      </x:c>
      <x:c r="G399" s="51" t="str">
        <x:v>Reinsurers → pool</x:v>
      </x:c>
      <x:c r="H399" s="51" t="str">
        <x:v>2026/27</x:v>
      </x:c>
      <x:c r="I399" s="51" t="str">
        <x:v>Group excess-of-loss reinsurance</x:v>
      </x:c>
      <x:c r="J399" s="51" t="str">
        <x:v>INS-207</x:v>
      </x:c>
      <x:c r="K399" s="51" t="str">
        <x:v>Layered programme including private placements</x:v>
      </x:c>
      <x:c r="L399" s="51" t="str">
        <x:v>Premium and pooled catastrophe exposure</x:v>
      </x:c>
      <x:c r="M399" s="51" t="str">
        <x:v>High-layer loss capacity</x:v>
      </x:c>
      <x:c r="N399" s="51" t="str">
        <x:v>Reinsurance converts rare maritime catastrophes into losses shared across global capital providers</x:v>
      </x:c>
      <x:c r="O399" s="51" t="str">
        <x:v>Financial; relational; adaptive</x:v>
      </x:c>
      <x:c r="P399" s="51" t="str">
        <x:v>E1</x:v>
      </x:c>
      <x:c r="Q399" s="51" t="str">
        <x:v>High</x:v>
      </x:c>
      <x:c r="R399" s="51" t="str">
        <x:v>SRC-369</x:v>
      </x:c>
      <x:c r="S399" s="51" t="str">
        <x:v>The International Group finalised a large collective reinsurance structure for 2026/27.</x:v>
      </x:c>
      <x:c r="T399" s="51" t="str">
        <x:v>Unlimited coverage for every risk or no counterparty risk.</x:v>
      </x:c>
      <x:c r="U399" s="51" t="str">
        <x:v>Programme layers, exclusions and limits apply.</x:v>
      </x:c>
      <x:c r="V399" s="51" t="str">
        <x:v>Active</x:v>
      </x:c>
      <x:c r="W399" s="51" t="str">
        <x:v>36;57</x:v>
      </x:c>
      <x:c r="X399" s="51" t="str">
        <x:v>2026-07-27</x:v>
      </x:c>
    </x:row>
    <x:row r="400">
      <x:c r="A400" s="51" t="str">
        <x:v>INSUR-004</x:v>
      </x:c>
      <x:c r="B400" s="51" t="str">
        <x:v>Marine insurance, reinsurance and sanctions services</x:v>
      </x:c>
      <x:c r="C400" s="51" t="str">
        <x:v>ACT-LLOYDSMARKET</x:v>
      </x:c>
      <x:c r="D400" s="51" t="str">
        <x:v>Lloyd's market</x:v>
      </x:c>
      <x:c r="E400" s="51" t="str">
        <x:v>ACT-MARINEUNDERWRITERSANDBRO</x:v>
      </x:c>
      <x:c r="F400" s="51" t="str">
        <x:v>Marine underwriters and brokers</x:v>
      </x:c>
      <x:c r="G400" s="51" t="str">
        <x:v>Marketplace → professionals</x:v>
      </x:c>
      <x:c r="H400" s="51" t="str">
        <x:v>Ongoing</x:v>
      </x:c>
      <x:c r="I400" s="51" t="str">
        <x:v>Syndicate licensing, capital and placement infrastructure</x:v>
      </x:c>
      <x:c r="J400" s="51" t="str">
        <x:v>INS-208</x:v>
      </x:c>
      <x:c r="K400" s="51" t="str">
        <x:v>£57.9 billion total market premium in 2025</x:v>
      </x:c>
      <x:c r="L400" s="51" t="str">
        <x:v>Broker submissions and syndicate capital</x:v>
      </x:c>
      <x:c r="M400" s="51" t="str">
        <x:v>Bound insurance contracts</x:v>
      </x:c>
      <x:c r="N400" s="51" t="str">
        <x:v>A marketplace aggregates specialist underwriting judgment and capital without one balance sheet writing every risk</x:v>
      </x:c>
      <x:c r="O400" s="51" t="str">
        <x:v>Financial; informational; relational</x:v>
      </x:c>
      <x:c r="P400" s="51" t="str">
        <x:v>E1</x:v>
      </x:c>
      <x:c r="Q400" s="51" t="str">
        <x:v>Very high</x:v>
      </x:c>
      <x:c r="R400" s="51" t="str">
        <x:v>SRC-370</x:v>
      </x:c>
      <x:c r="S400" s="51" t="str">
        <x:v>Lloyd's provides a marketplace for syndicates and brokers backed by central capital structures.</x:v>
      </x:c>
      <x:c r="T400" s="51" t="str">
        <x:v>Lloyd's Corporation directly underwriting every policy.</x:v>
      </x:c>
      <x:c r="U400" s="51" t="str">
        <x:v>Risk is written by syndicates and managing agents.</x:v>
      </x:c>
      <x:c r="V400" s="51" t="str">
        <x:v>Active</x:v>
      </x:c>
      <x:c r="W400" s="51" t="str">
        <x:v>36;57</x:v>
      </x:c>
      <x:c r="X400" s="51" t="str">
        <x:v>2026-07-27</x:v>
      </x:c>
    </x:row>
    <x:row r="401">
      <x:c r="A401" s="51" t="str">
        <x:v>INSUR-005</x:v>
      </x:c>
      <x:c r="B401" s="51" t="str">
        <x:v>Marine insurance, reinsurance and sanctions services</x:v>
      </x:c>
      <x:c r="C401" s="51" t="str">
        <x:v>ACT-PRICECAPCOALITION</x:v>
      </x:c>
      <x:c r="D401" s="51" t="str">
        <x:v>Price Cap Coalition</x:v>
      </x:c>
      <x:c r="E401" s="51" t="str">
        <x:v>ACT-MARITIMESERVICEPROVIDERS</x:v>
      </x:c>
      <x:c r="F401" s="51" t="str">
        <x:v>Maritime service providers</x:v>
      </x:c>
      <x:c r="G401" s="51" t="str">
        <x:v>Coalition → service firms</x:v>
      </x:c>
      <x:c r="H401" s="51" t="str">
        <x:v>2022–present</x:v>
      </x:c>
      <x:c r="I401" s="51" t="str">
        <x:v>Price-cap and petroleum-services restrictions</x:v>
      </x:c>
      <x:c r="J401" s="51" t="str">
        <x:v>INS-209</x:v>
      </x:c>
      <x:c r="K401" s="51" t="str">
        <x:v>Policy-specific</x:v>
      </x:c>
      <x:c r="L401" s="51" t="str">
        <x:v>Sanctions jurisdiction and Russian-origin cargo information</x:v>
      </x:c>
      <x:c r="M401" s="51" t="str">
        <x:v>Eligibility or prohibition for insurance, finance and transport services</x:v>
      </x:c>
      <x:c r="N401" s="51" t="str">
        <x:v>Sanctions convert coalition control over maritime services into leverage over commodity revenue</x:v>
      </x:c>
      <x:c r="O401" s="51" t="str">
        <x:v>Geopolitical; financial; enforcement</x:v>
      </x:c>
      <x:c r="P401" s="51" t="str">
        <x:v>E1</x:v>
      </x:c>
      <x:c r="Q401" s="51" t="str">
        <x:v>Very high</x:v>
      </x:c>
      <x:c r="R401" s="51" t="str">
        <x:v>SRC-371; SRC-372</x:v>
      </x:c>
      <x:c r="S401" s="51" t="str">
        <x:v>Coalition rules restrict specified maritime and petroleum services for Russian-origin oil.</x:v>
      </x:c>
      <x:c r="T401" s="51" t="str">
        <x:v>Physical prevention of all Russian exports or universal global compliance.</x:v>
      </x:c>
      <x:c r="U401" s="51" t="str">
        <x:v>Non-coalition service networks and evasion strategies exist.</x:v>
      </x:c>
      <x:c r="V401" s="51" t="str">
        <x:v>Active and amended</x:v>
      </x:c>
      <x:c r="W401" s="51" t="str">
        <x:v>36;57</x:v>
      </x:c>
      <x:c r="X401" s="51" t="str">
        <x:v>2026-07-27</x:v>
      </x:c>
    </x:row>
    <x:row r="402">
      <x:c r="A402" s="51" t="str">
        <x:v>INSUR-006</x:v>
      </x:c>
      <x:c r="B402" s="51" t="str">
        <x:v>Marine insurance, reinsurance and sanctions services</x:v>
      </x:c>
      <x:c r="C402" s="51" t="str">
        <x:v>ACT-MARITIMESERVICEPROVIDERS</x:v>
      </x:c>
      <x:c r="D402" s="51" t="str">
        <x:v>Maritime service providers</x:v>
      </x:c>
      <x:c r="E402" s="51" t="str">
        <x:v>ACT-RUSSIANORIGINOILCARGOES</x:v>
      </x:c>
      <x:c r="F402" s="51" t="str">
        <x:v>Russian-origin oil cargoes</x:v>
      </x:c>
      <x:c r="G402" s="51" t="str">
        <x:v>Service firms → cargo</x:v>
      </x:c>
      <x:c r="H402" s="51" t="str">
        <x:v>Voyage-specific</x:v>
      </x:c>
      <x:c r="I402" s="51" t="str">
        <x:v>Attestation, due diligence and service provision</x:v>
      </x:c>
      <x:c r="J402" s="51" t="str">
        <x:v>INS-209</x:v>
      </x:c>
      <x:c r="K402" s="51" t="str">
        <x:v>Cargo-specific</x:v>
      </x:c>
      <x:c r="L402" s="51" t="str">
        <x:v>Price and transaction documentation</x:v>
      </x:c>
      <x:c r="M402" s="51" t="str">
        <x:v>Insurance, broking, finance or transport eligibility</x:v>
      </x:c>
      <x:c r="N402" s="51" t="str">
        <x:v>Documentary compliance determines whether a physical cargo can access major service networks</x:v>
      </x:c>
      <x:c r="O402" s="51" t="str">
        <x:v>Informational; financial; enforcement</x:v>
      </x:c>
      <x:c r="P402" s="51" t="str">
        <x:v>E1</x:v>
      </x:c>
      <x:c r="Q402" s="51" t="str">
        <x:v>High</x:v>
      </x:c>
      <x:c r="R402" s="51" t="str">
        <x:v>SRC-371</x:v>
      </x:c>
      <x:c r="S402" s="51" t="str">
        <x:v>OFAC guidance establishes recordkeeping and attestation expectations for service providers.</x:v>
      </x:c>
      <x:c r="T402" s="51" t="str">
        <x:v>Truth of every attestation or compliance by every jurisdiction.</x:v>
      </x:c>
      <x:c r="U402" s="51" t="str">
        <x:v>Service providers rely on risk-based information and may face deceptive practices.</x:v>
      </x:c>
      <x:c r="V402" s="51" t="str">
        <x:v>Active</x:v>
      </x:c>
      <x:c r="W402" s="51" t="str">
        <x:v>36;57</x:v>
      </x:c>
      <x:c r="X402" s="51" t="str">
        <x:v>2026-07-27</x:v>
      </x:c>
    </x:row>
    <x:row r="403">
      <x:c r="A403" s="51" t="str">
        <x:v>INSUR-007</x:v>
      </x:c>
      <x:c r="B403" s="51" t="str">
        <x:v>Marine insurance, reinsurance and sanctions services</x:v>
      </x:c>
      <x:c r="C403" s="51" t="str">
        <x:v>ACT-PICLUBS</x:v>
      </x:c>
      <x:c r="D403" s="51" t="str">
        <x:v>P&amp;I clubs</x:v>
      </x:c>
      <x:c r="E403" s="51" t="str">
        <x:v>ACT-RUSSIANORIGINOILCARGOES</x:v>
      </x:c>
      <x:c r="F403" s="51" t="str">
        <x:v>Russian-origin oil cargoes</x:v>
      </x:c>
      <x:c r="G403" s="51" t="str">
        <x:v>Insurer → cargo-related vessel</x:v>
      </x:c>
      <x:c r="H403" s="51" t="str">
        <x:v>Voyage-specific</x:v>
      </x:c>
      <x:c r="I403" s="51" t="str">
        <x:v>Sanctions-screened liability cover</x:v>
      </x:c>
      <x:c r="J403" s="51" t="str">
        <x:v>INS-207; INS-209</x:v>
      </x:c>
      <x:c r="K403" s="51" t="str">
        <x:v>Policy-specific</x:v>
      </x:c>
      <x:c r="L403" s="51" t="str">
        <x:v>Vessel, cargo, price-cap and counterparty information</x:v>
      </x:c>
      <x:c r="M403" s="51" t="str">
        <x:v>Cover, denial or termination</x:v>
      </x:c>
      <x:c r="N403" s="51" t="str">
        <x:v>Insurance access becomes a sanctions enforcement point because vessels require credible liability protection for ports and counterparties</x:v>
      </x:c>
      <x:c r="O403" s="51" t="str">
        <x:v>Financial; geopolitical; enforcement</x:v>
      </x:c>
      <x:c r="P403" s="51" t="str">
        <x:v>S1</x:v>
      </x:c>
      <x:c r="Q403" s="51" t="str">
        <x:v>High</x:v>
      </x:c>
      <x:c r="R403" s="51" t="str">
        <x:v>SRC-368; SRC-371</x:v>
      </x:c>
      <x:c r="S403" s="51" t="str">
        <x:v>P&amp;I clubs are major maritime service providers subject to applicable sanctions.</x:v>
      </x:c>
      <x:c r="T403" s="51" t="str">
        <x:v>Complete inability of uncovered vessels to sail or proof of cargo illegality.</x:v>
      </x:c>
      <x:c r="U403" s="51" t="str">
        <x:v>Alternative insurers and self-insurance may exist with different credibility.</x:v>
      </x:c>
      <x:c r="V403" s="51" t="str">
        <x:v>Active mechanism</x:v>
      </x:c>
      <x:c r="W403" s="51" t="str">
        <x:v>36;57</x:v>
      </x:c>
      <x:c r="X403" s="51" t="str">
        <x:v>2026-07-27</x:v>
      </x:c>
    </x:row>
    <x:row r="404">
      <x:c r="A404" s="51" t="str">
        <x:v>ISR-001</x:v>
      </x:c>
      <x:c r="B404" s="51" t="str">
        <x:v>US–Israel security</x:v>
      </x:c>
      <x:c r="C404" s="51" t="str">
        <x:v>ACT-UNITEDSTATES</x:v>
      </x:c>
      <x:c r="D404" s="51" t="str">
        <x:v>United States</x:v>
      </x:c>
      <x:c r="E404" s="51" t="str">
        <x:v>ACT-STATEOFISRAEL</x:v>
      </x:c>
      <x:c r="F404" s="51" t="str">
        <x:v>State of Israel</x:v>
      </x:c>
      <x:c r="G404" s="51" t="str">
        <x:v>A → B</x:v>
      </x:c>
      <x:c r="H404" s="51" t="str">
        <x:v>2025–2026 notice</x:v>
      </x:c>
      <x:c r="I404" s="51" t="str">
        <x:v>Possible Foreign Military Sale</x:v>
      </x:c>
      <x:c r="J404" s="51" t="str">
        <x:v>INS-012</x:v>
      </x:c>
      <x:c r="K404" s="51" t="str">
        <x:v>$6.75bn</x:v>
      </x:c>
      <x:c r="L404" s="51" t="str">
        <x:v>US defence production and approval</x:v>
      </x:c>
      <x:c r="M404" s="51" t="str">
        <x:v>Israeli military equipment/support</x:v>
      </x:c>
      <x:c r="N404" s="51" t="str">
        <x:v>Alliance institutions convert US industrial capacity into Israeli military capability</x:v>
      </x:c>
      <x:c r="O404" s="51" t="str">
        <x:v>Material; financial; enforcement; relational</x:v>
      </x:c>
      <x:c r="P404" s="51" t="str">
        <x:v>E1</x:v>
      </x:c>
      <x:c r="Q404" s="51" t="str">
        <x:v>Very high</x:v>
      </x:c>
      <x:c r="R404" s="51" t="str">
        <x:v>SRC-034</x:v>
      </x:c>
      <x:c r="S404" s="51" t="str">
        <x:v>The State Department approved and DSCA notified Congress of a possible sale.</x:v>
      </x:c>
      <x:c r="T404" s="51" t="str">
        <x:v>Final delivery/use or Israeli control over US policy.</x:v>
      </x:c>
      <x:c r="U404" s="51" t="str">
        <x:v>Possible sales can change before contract and delivery.</x:v>
      </x:c>
      <x:c r="V404" s="51" t="str">
        <x:v>Notified / possible</x:v>
      </x:c>
      <x:c r="W404" s="51" t="str">
        <x:v>50;57</x:v>
      </x:c>
      <x:c r="X404" s="51" t="str">
        <x:v>2026-07-27</x:v>
      </x:c>
    </x:row>
    <x:row r="405">
      <x:c r="A405" s="51" t="str">
        <x:v>ISR-002</x:v>
      </x:c>
      <x:c r="B405" s="51" t="str">
        <x:v>US–Israel security</x:v>
      </x:c>
      <x:c r="C405" s="51" t="str">
        <x:v>ACT-UNITEDSTATES</x:v>
      </x:c>
      <x:c r="D405" s="51" t="str">
        <x:v>United States</x:v>
      </x:c>
      <x:c r="E405" s="51" t="str">
        <x:v>ACT-STATEOFISRAEL</x:v>
      </x:c>
      <x:c r="F405" s="51" t="str">
        <x:v>State of Israel</x:v>
      </x:c>
      <x:c r="G405" s="51" t="str">
        <x:v>A → B</x:v>
      </x:c>
      <x:c r="H405" s="51" t="str">
        <x:v>2025–2026 notice</x:v>
      </x:c>
      <x:c r="I405" s="51" t="str">
        <x:v>Possible Foreign Military Sale</x:v>
      </x:c>
      <x:c r="J405" s="51" t="str">
        <x:v>INS-013</x:v>
      </x:c>
      <x:c r="K405" s="51" t="str">
        <x:v>$2.04bn</x:v>
      </x:c>
      <x:c r="L405" s="51" t="str">
        <x:v>US defence production and approval</x:v>
      </x:c>
      <x:c r="M405" s="51" t="str">
        <x:v>Israeli military equipment/support</x:v>
      </x:c>
      <x:c r="N405" s="51" t="str">
        <x:v>Alliance institutions convert US industrial capacity into Israeli military capability</x:v>
      </x:c>
      <x:c r="O405" s="51" t="str">
        <x:v>Material; financial; enforcement; relational</x:v>
      </x:c>
      <x:c r="P405" s="51" t="str">
        <x:v>E1</x:v>
      </x:c>
      <x:c r="Q405" s="51" t="str">
        <x:v>Very high</x:v>
      </x:c>
      <x:c r="R405" s="51" t="str">
        <x:v>SRC-035</x:v>
      </x:c>
      <x:c r="S405" s="51" t="str">
        <x:v>The State Department approved and DSCA notified Congress of a possible sale.</x:v>
      </x:c>
      <x:c r="T405" s="51" t="str">
        <x:v>Final delivery/use or Israeli control over US policy.</x:v>
      </x:c>
      <x:c r="U405" s="51" t="str">
        <x:v>Possible sales can change before contract and delivery.</x:v>
      </x:c>
      <x:c r="V405" s="51" t="str">
        <x:v>Notified / possible</x:v>
      </x:c>
      <x:c r="W405" s="51" t="str">
        <x:v>50;57</x:v>
      </x:c>
      <x:c r="X405" s="51" t="str">
        <x:v>2026-07-27</x:v>
      </x:c>
    </x:row>
    <x:row r="406">
      <x:c r="A406" s="51" t="str">
        <x:v>ISR-003</x:v>
      </x:c>
      <x:c r="B406" s="51" t="str">
        <x:v>US–Israel security</x:v>
      </x:c>
      <x:c r="C406" s="51" t="str">
        <x:v>ACT-UNITEDSTATES</x:v>
      </x:c>
      <x:c r="D406" s="51" t="str">
        <x:v>United States</x:v>
      </x:c>
      <x:c r="E406" s="51" t="str">
        <x:v>ACT-STATEOFISRAEL</x:v>
      </x:c>
      <x:c r="F406" s="51" t="str">
        <x:v>State of Israel</x:v>
      </x:c>
      <x:c r="G406" s="51" t="str">
        <x:v>A → B</x:v>
      </x:c>
      <x:c r="H406" s="51" t="str">
        <x:v>2025–2026 notice</x:v>
      </x:c>
      <x:c r="I406" s="51" t="str">
        <x:v>Possible Foreign Military Sale</x:v>
      </x:c>
      <x:c r="J406" s="51" t="str">
        <x:v>INS-014</x:v>
      </x:c>
      <x:c r="K406" s="51" t="str">
        <x:v>$675.7m</x:v>
      </x:c>
      <x:c r="L406" s="51" t="str">
        <x:v>US defence production and approval</x:v>
      </x:c>
      <x:c r="M406" s="51" t="str">
        <x:v>Israeli military equipment/support</x:v>
      </x:c>
      <x:c r="N406" s="51" t="str">
        <x:v>Alliance institutions convert US industrial capacity into Israeli military capability</x:v>
      </x:c>
      <x:c r="O406" s="51" t="str">
        <x:v>Material; financial; enforcement; relational</x:v>
      </x:c>
      <x:c r="P406" s="51" t="str">
        <x:v>E1</x:v>
      </x:c>
      <x:c r="Q406" s="51" t="str">
        <x:v>Very high</x:v>
      </x:c>
      <x:c r="R406" s="51" t="str">
        <x:v>SRC-036</x:v>
      </x:c>
      <x:c r="S406" s="51" t="str">
        <x:v>The State Department approved and DSCA notified Congress of a possible sale.</x:v>
      </x:c>
      <x:c r="T406" s="51" t="str">
        <x:v>Final delivery/use or Israeli control over US policy.</x:v>
      </x:c>
      <x:c r="U406" s="51" t="str">
        <x:v>Possible sales can change before contract and delivery.</x:v>
      </x:c>
      <x:c r="V406" s="51" t="str">
        <x:v>Notified / possible</x:v>
      </x:c>
      <x:c r="W406" s="51" t="str">
        <x:v>50;57</x:v>
      </x:c>
      <x:c r="X406" s="51" t="str">
        <x:v>2026-07-27</x:v>
      </x:c>
    </x:row>
    <x:row r="407">
      <x:c r="A407" s="51" t="str">
        <x:v>ISR-004</x:v>
      </x:c>
      <x:c r="B407" s="51" t="str">
        <x:v>US–Israel security</x:v>
      </x:c>
      <x:c r="C407" s="51" t="str">
        <x:v>ACT-UNITEDSTATES</x:v>
      </x:c>
      <x:c r="D407" s="51" t="str">
        <x:v>United States</x:v>
      </x:c>
      <x:c r="E407" s="51" t="str">
        <x:v>ACT-STATEOFISRAEL</x:v>
      </x:c>
      <x:c r="F407" s="51" t="str">
        <x:v>State of Israel</x:v>
      </x:c>
      <x:c r="G407" s="51" t="str">
        <x:v>A → B</x:v>
      </x:c>
      <x:c r="H407" s="51" t="str">
        <x:v>2025–2026 notice</x:v>
      </x:c>
      <x:c r="I407" s="51" t="str">
        <x:v>Possible Foreign Military Sale</x:v>
      </x:c>
      <x:c r="J407" s="51" t="str">
        <x:v>INS-015</x:v>
      </x:c>
      <x:c r="K407" s="51" t="str">
        <x:v>$660m</x:v>
      </x:c>
      <x:c r="L407" s="51" t="str">
        <x:v>US defence production and approval</x:v>
      </x:c>
      <x:c r="M407" s="51" t="str">
        <x:v>Israeli military equipment/support</x:v>
      </x:c>
      <x:c r="N407" s="51" t="str">
        <x:v>Alliance institutions convert US industrial capacity into Israeli military capability</x:v>
      </x:c>
      <x:c r="O407" s="51" t="str">
        <x:v>Material; financial; enforcement; relational</x:v>
      </x:c>
      <x:c r="P407" s="51" t="str">
        <x:v>E1</x:v>
      </x:c>
      <x:c r="Q407" s="51" t="str">
        <x:v>Very high</x:v>
      </x:c>
      <x:c r="R407" s="51" t="str">
        <x:v>SRC-037</x:v>
      </x:c>
      <x:c r="S407" s="51" t="str">
        <x:v>The State Department approved and DSCA notified Congress of a possible sale.</x:v>
      </x:c>
      <x:c r="T407" s="51" t="str">
        <x:v>Final delivery/use or Israeli control over US policy.</x:v>
      </x:c>
      <x:c r="U407" s="51" t="str">
        <x:v>Possible sales can change before contract and delivery.</x:v>
      </x:c>
      <x:c r="V407" s="51" t="str">
        <x:v>Notified / possible</x:v>
      </x:c>
      <x:c r="W407" s="51" t="str">
        <x:v>50;57</x:v>
      </x:c>
      <x:c r="X407" s="51" t="str">
        <x:v>2026-07-27</x:v>
      </x:c>
    </x:row>
    <x:row r="408">
      <x:c r="A408" s="51" t="str">
        <x:v>ISR-005</x:v>
      </x:c>
      <x:c r="B408" s="51" t="str">
        <x:v>US–Israel security</x:v>
      </x:c>
      <x:c r="C408" s="51" t="str">
        <x:v>ACT-UNITEDSTATES</x:v>
      </x:c>
      <x:c r="D408" s="51" t="str">
        <x:v>United States</x:v>
      </x:c>
      <x:c r="E408" s="51" t="str">
        <x:v>ACT-STATEOFISRAEL</x:v>
      </x:c>
      <x:c r="F408" s="51" t="str">
        <x:v>State of Israel</x:v>
      </x:c>
      <x:c r="G408" s="51" t="str">
        <x:v>A → B</x:v>
      </x:c>
      <x:c r="H408" s="51" t="str">
        <x:v>2025–2026 notice</x:v>
      </x:c>
      <x:c r="I408" s="51" t="str">
        <x:v>Possible Foreign Military Sale</x:v>
      </x:c>
      <x:c r="J408" s="51" t="str">
        <x:v>INS-016</x:v>
      </x:c>
      <x:c r="K408" s="51" t="str">
        <x:v>$510m</x:v>
      </x:c>
      <x:c r="L408" s="51" t="str">
        <x:v>US defence production and approval</x:v>
      </x:c>
      <x:c r="M408" s="51" t="str">
        <x:v>Israeli military equipment/support</x:v>
      </x:c>
      <x:c r="N408" s="51" t="str">
        <x:v>Alliance institutions convert US industrial capacity into Israeli military capability</x:v>
      </x:c>
      <x:c r="O408" s="51" t="str">
        <x:v>Material; financial; enforcement; relational</x:v>
      </x:c>
      <x:c r="P408" s="51" t="str">
        <x:v>E1</x:v>
      </x:c>
      <x:c r="Q408" s="51" t="str">
        <x:v>Very high</x:v>
      </x:c>
      <x:c r="R408" s="51" t="str">
        <x:v>SRC-038</x:v>
      </x:c>
      <x:c r="S408" s="51" t="str">
        <x:v>The State Department approved and DSCA notified Congress of a possible sale.</x:v>
      </x:c>
      <x:c r="T408" s="51" t="str">
        <x:v>Final delivery/use or Israeli control over US policy.</x:v>
      </x:c>
      <x:c r="U408" s="51" t="str">
        <x:v>Possible sales can change before contract and delivery.</x:v>
      </x:c>
      <x:c r="V408" s="51" t="str">
        <x:v>Notified / possible</x:v>
      </x:c>
      <x:c r="W408" s="51" t="str">
        <x:v>50;57</x:v>
      </x:c>
      <x:c r="X408" s="51" t="str">
        <x:v>2026-07-27</x:v>
      </x:c>
    </x:row>
    <x:row r="409">
      <x:c r="A409" s="51" t="str">
        <x:v>ISR-006</x:v>
      </x:c>
      <x:c r="B409" s="51" t="str">
        <x:v>US–Israel security</x:v>
      </x:c>
      <x:c r="C409" s="51" t="str">
        <x:v>ACT-UNITEDSTATES</x:v>
      </x:c>
      <x:c r="D409" s="51" t="str">
        <x:v>United States</x:v>
      </x:c>
      <x:c r="E409" s="51" t="str">
        <x:v>ACT-STATEOFISRAEL</x:v>
      </x:c>
      <x:c r="F409" s="51" t="str">
        <x:v>State of Israel</x:v>
      </x:c>
      <x:c r="G409" s="51" t="str">
        <x:v>A → B</x:v>
      </x:c>
      <x:c r="H409" s="51" t="str">
        <x:v>2025–2026 notice</x:v>
      </x:c>
      <x:c r="I409" s="51" t="str">
        <x:v>Possible Foreign Military Sale</x:v>
      </x:c>
      <x:c r="J409" s="51" t="str">
        <x:v>INS-017</x:v>
      </x:c>
      <x:c r="K409" s="51" t="str">
        <x:v>$3.8bn</x:v>
      </x:c>
      <x:c r="L409" s="51" t="str">
        <x:v>US defence production and approval</x:v>
      </x:c>
      <x:c r="M409" s="51" t="str">
        <x:v>Israeli military equipment/support</x:v>
      </x:c>
      <x:c r="N409" s="51" t="str">
        <x:v>Alliance institutions convert US industrial capacity into Israeli military capability</x:v>
      </x:c>
      <x:c r="O409" s="51" t="str">
        <x:v>Material; financial; enforcement; relational</x:v>
      </x:c>
      <x:c r="P409" s="51" t="str">
        <x:v>E1</x:v>
      </x:c>
      <x:c r="Q409" s="51" t="str">
        <x:v>Very high</x:v>
      </x:c>
      <x:c r="R409" s="51" t="str">
        <x:v>SRC-039</x:v>
      </x:c>
      <x:c r="S409" s="51" t="str">
        <x:v>The State Department approved and DSCA notified Congress of a possible sale.</x:v>
      </x:c>
      <x:c r="T409" s="51" t="str">
        <x:v>Final delivery/use or Israeli control over US policy.</x:v>
      </x:c>
      <x:c r="U409" s="51" t="str">
        <x:v>Possible sales can change before contract and delivery.</x:v>
      </x:c>
      <x:c r="V409" s="51" t="str">
        <x:v>Notified / possible</x:v>
      </x:c>
      <x:c r="W409" s="51" t="str">
        <x:v>50;57</x:v>
      </x:c>
      <x:c r="X409" s="51" t="str">
        <x:v>2026-07-27</x:v>
      </x:c>
    </x:row>
    <x:row r="410">
      <x:c r="A410" s="51" t="str">
        <x:v>ISR-007</x:v>
      </x:c>
      <x:c r="B410" s="51" t="str">
        <x:v>US–Israel security</x:v>
      </x:c>
      <x:c r="C410" s="51" t="str">
        <x:v>ACT-UNITEDSTATES</x:v>
      </x:c>
      <x:c r="D410" s="51" t="str">
        <x:v>United States</x:v>
      </x:c>
      <x:c r="E410" s="51" t="str">
        <x:v>ACT-STATEOFISRAEL</x:v>
      </x:c>
      <x:c r="F410" s="51" t="str">
        <x:v>State of Israel</x:v>
      </x:c>
      <x:c r="G410" s="51" t="str">
        <x:v>A → B</x:v>
      </x:c>
      <x:c r="H410" s="51" t="str">
        <x:v>2025–2026 notice</x:v>
      </x:c>
      <x:c r="I410" s="51" t="str">
        <x:v>Possible Foreign Military Sale</x:v>
      </x:c>
      <x:c r="J410" s="51" t="str">
        <x:v>INS-018</x:v>
      </x:c>
      <x:c r="K410" s="51" t="str">
        <x:v>$1.98bn</x:v>
      </x:c>
      <x:c r="L410" s="51" t="str">
        <x:v>US defence production and approval</x:v>
      </x:c>
      <x:c r="M410" s="51" t="str">
        <x:v>Israeli military equipment/support</x:v>
      </x:c>
      <x:c r="N410" s="51" t="str">
        <x:v>Alliance institutions convert US industrial capacity into Israeli military capability</x:v>
      </x:c>
      <x:c r="O410" s="51" t="str">
        <x:v>Material; financial; enforcement; relational</x:v>
      </x:c>
      <x:c r="P410" s="51" t="str">
        <x:v>E1</x:v>
      </x:c>
      <x:c r="Q410" s="51" t="str">
        <x:v>Very high</x:v>
      </x:c>
      <x:c r="R410" s="51" t="str">
        <x:v>SRC-040</x:v>
      </x:c>
      <x:c r="S410" s="51" t="str">
        <x:v>The State Department approved and DSCA notified Congress of a possible sale.</x:v>
      </x:c>
      <x:c r="T410" s="51" t="str">
        <x:v>Final delivery/use or Israeli control over US policy.</x:v>
      </x:c>
      <x:c r="U410" s="51" t="str">
        <x:v>Possible sales can change before contract and delivery.</x:v>
      </x:c>
      <x:c r="V410" s="51" t="str">
        <x:v>Notified / possible</x:v>
      </x:c>
      <x:c r="W410" s="51" t="str">
        <x:v>50;57</x:v>
      </x:c>
      <x:c r="X410" s="51" t="str">
        <x:v>2026-07-27</x:v>
      </x:c>
    </x:row>
    <x:row r="411">
      <x:c r="A411" s="51" t="str">
        <x:v>ISR-008</x:v>
      </x:c>
      <x:c r="B411" s="51" t="str">
        <x:v>US–Israel security</x:v>
      </x:c>
      <x:c r="C411" s="51" t="str">
        <x:v>ACT-AIPAC</x:v>
      </x:c>
      <x:c r="D411" s="51" t="str">
        <x:v>AIPAC</x:v>
      </x:c>
      <x:c r="E411" s="51" t="str">
        <x:v>ACT-UNITEDDEMOCRACYPROJECT</x:v>
      </x:c>
      <x:c r="F411" s="51" t="str">
        <x:v>United Democracy Project</x:v>
      </x:c>
      <x:c r="G411" s="51" t="str">
        <x:v>Organisation → committee</x:v>
      </x:c>
      <x:c r="H411" s="51" t="str">
        <x:v>Ongoing</x:v>
      </x:c>
      <x:c r="I411" s="51" t="str">
        <x:v>Affiliation / political funding network</x:v>
      </x:c>
      <x:c r="J411" s="51" t="str">
        <x:v>INS-021</x:v>
      </x:c>
      <x:c r="K411" s="51" t="str">
        <x:v>Committee-scale</x:v>
      </x:c>
      <x:c r="L411" s="51" t="str">
        <x:v>Donor and advocacy network</x:v>
      </x:c>
      <x:c r="M411" s="51" t="str">
        <x:v>Independent electoral spending</x:v>
      </x:c>
      <x:c r="N411" s="51" t="str">
        <x:v>Organised interests convert concentrated funding into campaign pressure</x:v>
      </x:c>
      <x:c r="O411" s="51" t="str">
        <x:v>Financial; relational; narrative</x:v>
      </x:c>
      <x:c r="P411" s="51" t="str">
        <x:v>E1</x:v>
      </x:c>
      <x:c r="Q411" s="51" t="str">
        <x:v>Very high</x:v>
      </x:c>
      <x:c r="R411" s="51" t="str">
        <x:v>SRC-041; SRC-042</x:v>
      </x:c>
      <x:c r="S411" s="51" t="str">
        <x:v>UDP is an AIPAC-affiliated super PAC with FEC activity.</x:v>
      </x:c>
      <x:c r="T411" s="51" t="str">
        <x:v>Israeli-government command or control of supported candidates.</x:v>
      </x:c>
      <x:c r="U411" s="51" t="str">
        <x:v>US donors and campaign-finance law structure the relationship.</x:v>
      </x:c>
      <x:c r="V411" s="51" t="str">
        <x:v>Active</x:v>
      </x:c>
      <x:c r="W411" s="51" t="str">
        <x:v>11;57</x:v>
      </x:c>
      <x:c r="X411" s="51" t="str">
        <x:v>2026-07-27</x:v>
      </x:c>
    </x:row>
    <x:row r="412">
      <x:c r="A412" s="51" t="str">
        <x:v>ISR-009</x:v>
      </x:c>
      <x:c r="B412" s="51" t="str">
        <x:v>US–Israel security</x:v>
      </x:c>
      <x:c r="C412" s="51" t="str">
        <x:v>ACT-UNITEDDEMOCRACYPROJECT</x:v>
      </x:c>
      <x:c r="D412" s="51" t="str">
        <x:v>United Democracy Project</x:v>
      </x:c>
      <x:c r="E412" s="51" t="str">
        <x:v>ACT-HALEYSTEVENS</x:v>
      </x:c>
      <x:c r="F412" s="51" t="str">
        <x:v>Haley Stevens</x:v>
      </x:c>
      <x:c r="G412" s="51" t="str">
        <x:v>Committee → candidate</x:v>
      </x:c>
      <x:c r="H412" s="51" t="str">
        <x:v>2026 primary</x:v>
      </x:c>
      <x:c r="I412" s="51" t="str">
        <x:v>Independent expenditure support</x:v>
      </x:c>
      <x:c r="J412" s="51" t="str">
        <x:v>INS-021</x:v>
      </x:c>
      <x:c r="K412" s="51" t="str">
        <x:v>~$30m reported</x:v>
      </x:c>
      <x:c r="L412" s="51" t="str">
        <x:v>Campaign funds</x:v>
      </x:c>
      <x:c r="M412" s="51" t="str">
        <x:v>Advertising and support</x:v>
      </x:c>
      <x:c r="N412" s="51" t="str">
        <x:v>Outside spending increases visibility and electoral incentives</x:v>
      </x:c>
      <x:c r="O412" s="51" t="str">
        <x:v>Financial; narrative; relational</x:v>
      </x:c>
      <x:c r="P412" s="51" t="str">
        <x:v>E1</x:v>
      </x:c>
      <x:c r="Q412" s="51" t="str">
        <x:v>Very high</x:v>
      </x:c>
      <x:c r="R412" s="51" t="str">
        <x:v>SRC-041; SRC-042</x:v>
      </x:c>
      <x:c r="S412" s="51" t="str">
        <x:v>AIPAC-linked groups spent a record amount supporting Stevens.</x:v>
      </x:c>
      <x:c r="T412" s="51" t="str">
        <x:v>A legal obligation to follow every donor preference.</x:v>
      </x:c>
      <x:c r="U412" s="51" t="str">
        <x:v>Candidate positions, party support and voters also matter.</x:v>
      </x:c>
      <x:c r="V412" s="51" t="str">
        <x:v>Ongoing at source date</x:v>
      </x:c>
      <x:c r="W412" s="51" t="str">
        <x:v>11;57</x:v>
      </x:c>
      <x:c r="X412" s="51" t="str">
        <x:v>2026-07-27</x:v>
      </x:c>
    </x:row>
    <x:row r="413">
      <x:c r="A413" s="51" t="str">
        <x:v>ISR-010</x:v>
      </x:c>
      <x:c r="B413" s="51" t="str">
        <x:v>US–Israel security</x:v>
      </x:c>
      <x:c r="C413" s="51" t="str">
        <x:v>ACT-UNITEDDEMOCRACYPROJECT</x:v>
      </x:c>
      <x:c r="D413" s="51" t="str">
        <x:v>United Democracy Project</x:v>
      </x:c>
      <x:c r="E413" s="51" t="str">
        <x:v>ACT-ABDULELSAYED</x:v>
      </x:c>
      <x:c r="F413" s="51" t="str">
        <x:v>Abdul El-Sayed</x:v>
      </x:c>
      <x:c r="G413" s="51" t="str">
        <x:v>Committee → opposing candidate</x:v>
      </x:c>
      <x:c r="H413" s="51" t="str">
        <x:v>2026 primary</x:v>
      </x:c>
      <x:c r="I413" s="51" t="str">
        <x:v>Electoral opposition/pressure</x:v>
      </x:c>
      <x:c r="J413" s="51" t="str">
        <x:v>INS-021</x:v>
      </x:c>
      <x:c r="K413" s="51" t="str">
        <x:v>Part of reported spending</x:v>
      </x:c>
      <x:c r="L413" s="51" t="str">
        <x:v>Campaign funds</x:v>
      </x:c>
      <x:c r="M413" s="51" t="str">
        <x:v>Opposition advertising</x:v>
      </x:c>
      <x:c r="N413" s="51" t="str">
        <x:v>Organised spending can raise the electoral cost of dissent</x:v>
      </x:c>
      <x:c r="O413" s="51" t="str">
        <x:v>Financial; narrative; relational</x:v>
      </x:c>
      <x:c r="P413" s="51" t="str">
        <x:v>E1</x:v>
      </x:c>
      <x:c r="Q413" s="51" t="str">
        <x:v>High</x:v>
      </x:c>
      <x:c r="R413" s="51" t="str">
        <x:v>SRC-042</x:v>
      </x:c>
      <x:c r="S413" s="51" t="str">
        <x:v>The spending occurred in a contest featuring El-Sayed as principal opponent.</x:v>
      </x:c>
      <x:c r="T413" s="51" t="str">
        <x:v>Control over voters or proof all spending was solely about Israel.</x:v>
      </x:c>
      <x:c r="U413" s="51" t="str">
        <x:v>Primaries contain multiple strategic considerations.</x:v>
      </x:c>
      <x:c r="V413" s="51" t="str">
        <x:v>Ongoing at source date</x:v>
      </x:c>
      <x:c r="W413" s="51" t="str">
        <x:v>11;57</x:v>
      </x:c>
      <x:c r="X413" s="51" t="str">
        <x:v>2026-07-27</x:v>
      </x:c>
    </x:row>
    <x:row r="414">
      <x:c r="A414" s="51" t="str">
        <x:v>ISR-011</x:v>
      </x:c>
      <x:c r="B414" s="51" t="str">
        <x:v>US–Israel security</x:v>
      </x:c>
      <x:c r="C414" s="51" t="str">
        <x:v>ACT-AIPAC</x:v>
      </x:c>
      <x:c r="D414" s="51" t="str">
        <x:v>AIPAC</x:v>
      </x:c>
      <x:c r="E414" s="51" t="str">
        <x:v>ACT-UNITEDSTATESCONGRESS</x:v>
      </x:c>
      <x:c r="F414" s="51" t="str">
        <x:v>United States Congress</x:v>
      </x:c>
      <x:c r="G414" s="51" t="str">
        <x:v>Organisation → legislature</x:v>
      </x:c>
      <x:c r="H414" s="51" t="str">
        <x:v>Ongoing</x:v>
      </x:c>
      <x:c r="I414" s="51" t="str">
        <x:v>Advocacy, lobbying and donor mobilisation</x:v>
      </x:c>
      <x:c r="J414" s="51" t="str"/>
      <x:c r="K414" s="51" t="str">
        <x:v>Large but dispersed</x:v>
      </x:c>
      <x:c r="L414" s="51" t="str">
        <x:v>Political resources</x:v>
      </x:c>
      <x:c r="M414" s="51" t="str">
        <x:v>Access, information and electoral incentives</x:v>
      </x:c>
      <x:c r="N414" s="51" t="str">
        <x:v>Concentrated organisation can influence policy agendas</x:v>
      </x:c>
      <x:c r="O414" s="51" t="str">
        <x:v>Relational; narrative; financial</x:v>
      </x:c>
      <x:c r="P414" s="51" t="str">
        <x:v>S1</x:v>
      </x:c>
      <x:c r="Q414" s="51" t="str">
        <x:v>High</x:v>
      </x:c>
      <x:c r="R414" s="51" t="str">
        <x:v>SRC-041; SRC-042</x:v>
      </x:c>
      <x:c r="S414" s="51" t="str">
        <x:v>AIPAC/affiliates conduct documented advocacy and spending.</x:v>
      </x:c>
      <x:c r="T414" s="51" t="str">
        <x:v>Total control of Congress or foreign command.</x:v>
      </x:c>
      <x:c r="U414" s="51" t="str">
        <x:v>Other interests, parties and voters shape policy.</x:v>
      </x:c>
      <x:c r="V414" s="51" t="str">
        <x:v>Ongoing</x:v>
      </x:c>
      <x:c r="W414" s="51" t="str">
        <x:v>10;11;57</x:v>
      </x:c>
      <x:c r="X414" s="51" t="str">
        <x:v>2026-07-27</x:v>
      </x:c>
    </x:row>
    <x:row r="415">
      <x:c r="A415" s="51" t="str">
        <x:v>ISR-012</x:v>
      </x:c>
      <x:c r="B415" s="51" t="str">
        <x:v>US–Israel security</x:v>
      </x:c>
      <x:c r="C415" s="51" t="str">
        <x:v>ACT-STATEOFISRAEL</x:v>
      </x:c>
      <x:c r="D415" s="51" t="str">
        <x:v>State of Israel</x:v>
      </x:c>
      <x:c r="E415" s="51" t="str">
        <x:v>ACT-UNITEDSTATES</x:v>
      </x:c>
      <x:c r="F415" s="51" t="str">
        <x:v>United States</x:v>
      </x:c>
      <x:c r="G415" s="51" t="str">
        <x:v>Bidirectional</x:v>
      </x:c>
      <x:c r="H415" s="51" t="str">
        <x:v>Ongoing</x:v>
      </x:c>
      <x:c r="I415" s="51" t="str">
        <x:v>Strategic alliance and dependence</x:v>
      </x:c>
      <x:c r="J415" s="51" t="str"/>
      <x:c r="K415" s="51" t="str">
        <x:v>System-level</x:v>
      </x:c>
      <x:c r="L415" s="51" t="str">
        <x:v>Security, technology and political support</x:v>
      </x:c>
      <x:c r="M415" s="51" t="str">
        <x:v>Military capability and alliance integration</x:v>
      </x:c>
      <x:c r="N415" s="51" t="str">
        <x:v>Allied states exchange capabilities while retaining separate interests</x:v>
      </x:c>
      <x:c r="O415" s="51" t="str">
        <x:v>Relational; enforcement; technological</x:v>
      </x:c>
      <x:c r="P415" s="51" t="str">
        <x:v>S1</x:v>
      </x:c>
      <x:c r="Q415" s="51" t="str">
        <x:v>High</x:v>
      </x:c>
      <x:c r="R415" s="51" t="str">
        <x:v>SRC-030; SRC-034; SRC-051</x:v>
      </x:c>
      <x:c r="S415" s="51" t="str">
        <x:v>Extensive formal military and technology relationships exist.</x:v>
      </x:c>
      <x:c r="T415" s="51" t="str">
        <x:v>One state wholly controls the other.</x:v>
      </x:c>
      <x:c r="U415" s="51" t="str">
        <x:v>The relationship is asymmetric and contested in different domains.</x:v>
      </x:c>
      <x:c r="V415" s="51" t="str">
        <x:v>Active</x:v>
      </x:c>
      <x:c r="W415" s="51" t="str">
        <x:v>50;57</x:v>
      </x:c>
      <x:c r="X415" s="51" t="str">
        <x:v>2026-07-27</x:v>
      </x:c>
    </x:row>
    <x:row r="416">
      <x:c r="A416" s="51" t="str">
        <x:v>ISR-013</x:v>
      </x:c>
      <x:c r="B416" s="51" t="str">
        <x:v>Evidence boundary</x:v>
      </x:c>
      <x:c r="C416" s="51" t="str">
        <x:v>ACT-STATEOFISRAEL</x:v>
      </x:c>
      <x:c r="D416" s="51" t="str">
        <x:v>State of Israel</x:v>
      </x:c>
      <x:c r="E416" s="51" t="str">
        <x:v>ACT-UNITEDSTATES</x:v>
      </x:c>
      <x:c r="F416" s="51" t="str">
        <x:v>United States</x:v>
      </x:c>
      <x:c r="G416" s="51" t="str">
        <x:v>Claim boundary</x:v>
      </x:c>
      <x:c r="H416" s="51" t="str">
        <x:v>Current review</x:v>
      </x:c>
      <x:c r="I416" s="51" t="str">
        <x:v>Unsupported total-control claim</x:v>
      </x:c>
      <x:c r="J416" s="51" t="str"/>
      <x:c r="K416" s="51" t="str">
        <x:v>N/A</x:v>
      </x:c>
      <x:c r="L416" s="51" t="str">
        <x:v>Alliance, lobbying and technology ties</x:v>
      </x:c>
      <x:c r="M416" s="51" t="str">
        <x:v>Claimed control of US government</x:v>
      </x:c>
      <x:c r="N416" s="51" t="str">
        <x:v>Documented influence is inflated into total command</x:v>
      </x:c>
      <x:c r="O416" s="51" t="str">
        <x:v>Relational; narrative</x:v>
      </x:c>
      <x:c r="P416" s="51" t="str">
        <x:v>U1</x:v>
      </x:c>
      <x:c r="Q416" s="51" t="str">
        <x:v>Very low</x:v>
      </x:c>
      <x:c r="R416" s="51" t="str">
        <x:v>SRC-034; SRC-041; SRC-042</x:v>
      </x:c>
      <x:c r="S416" s="51" t="str">
        <x:v>Israel has substantial alliance and advocacy relationships.</x:v>
      </x:c>
      <x:c r="T416" s="51" t="str">
        <x:v>Israel controls the entire US government or global financial system.</x:v>
      </x:c>
      <x:c r="U416" s="51" t="str">
        <x:v>Influence is real but institutionally mediated and contested.</x:v>
      </x:c>
      <x:c r="V416" s="51" t="str">
        <x:v>Unsupported</x:v>
      </x:c>
      <x:c r="W416" s="51" t="str">
        <x:v>50;57;59</x:v>
      </x:c>
      <x:c r="X416" s="51" t="str">
        <x:v>2026-07-27</x:v>
      </x:c>
    </x:row>
    <x:row r="417">
      <x:c r="A417" s="51" t="str">
        <x:v>KNO-001</x:v>
      </x:c>
      <x:c r="B417" s="51" t="str">
        <x:v>Knowledge ownership and intellectual property</x:v>
      </x:c>
      <x:c r="C417" s="51" t="str">
        <x:v>ACT-WORLDINTELLECTUALPROPERT</x:v>
      </x:c>
      <x:c r="D417" s="51" t="str">
        <x:v>World Intellectual Property Organization</x:v>
      </x:c>
      <x:c r="E417" s="51" t="str">
        <x:v>ACT-GENERATIVEAIPATENTFAMILI</x:v>
      </x:c>
      <x:c r="F417" s="51" t="str">
        <x:v>Generative AI patent families</x:v>
      </x:c>
      <x:c r="G417" s="51" t="str">
        <x:v>International organisation → knowledge map</x:v>
      </x:c>
      <x:c r="H417" s="51" t="str">
        <x:v>2024–2026</x:v>
      </x:c>
      <x:c r="I417" s="51" t="str">
        <x:v>Patent analytics and publication</x:v>
      </x:c>
      <x:c r="J417" s="51" t="str">
        <x:v>INS-095</x:v>
      </x:c>
      <x:c r="K417" s="51" t="str">
        <x:v>54,000 inventions in decade through 2023; 37,808 in 2025</x:v>
      </x:c>
      <x:c r="L417" s="51" t="str">
        <x:v>Patent-office publication data</x:v>
      </x:c>
      <x:c r="M417" s="51" t="str">
        <x:v>Comparable patent-family landscape</x:v>
      </x:c>
      <x:c r="N417" s="51" t="str">
        <x:v>An international institution converts fragmented territorial filings into a global map of technological claims</x:v>
      </x:c>
      <x:c r="O417" s="51" t="str">
        <x:v>Informational; institutional; ownership</x:v>
      </x:c>
      <x:c r="P417" s="51" t="str">
        <x:v>E1</x:v>
      </x:c>
      <x:c r="Q417" s="51" t="str">
        <x:v>Very high</x:v>
      </x:c>
      <x:c r="R417" s="51" t="str">
        <x:v>SRC-187; SRC-188; SRC-189; SRC-661; SRC-662; SRC-663; SRC-687</x:v>
      </x:c>
      <x:c r="S417" s="51" t="str">
        <x:v>WIPO documented rapid growth and geographic concentration in GenAI patenting.</x:v>
      </x:c>
      <x:c r="T417" s="51" t="str">
        <x:v>Commercial value, technical superiority or enforceability of every patent family.</x:v>
      </x:c>
      <x:c r="U417" s="51" t="str">
        <x:v>Patent counts vary in quality and may not capture trade secrets or open research.</x:v>
      </x:c>
      <x:c r="V417" s="51" t="str">
        <x:v>Active analytics</x:v>
      </x:c>
      <x:c r="W417" s="51" t="str">
        <x:v>57;75</x:v>
      </x:c>
      <x:c r="X417" s="51" t="str">
        <x:v>2026-07-27</x:v>
      </x:c>
    </x:row>
    <x:row r="418">
      <x:c r="A418" s="51" t="str">
        <x:v>KNO-002</x:v>
      </x:c>
      <x:c r="B418" s="51" t="str">
        <x:v>Knowledge ownership and intellectual property</x:v>
      </x:c>
      <x:c r="C418" s="51" t="str">
        <x:v>ACT-PATENTAPPLICANTSANDASSIG</x:v>
      </x:c>
      <x:c r="D418" s="51" t="str">
        <x:v>Patent applicants and assignees</x:v>
      </x:c>
      <x:c r="E418" s="51" t="str">
        <x:v>ACT-PATENTOFFICES</x:v>
      </x:c>
      <x:c r="F418" s="51" t="str">
        <x:v>Patent offices</x:v>
      </x:c>
      <x:c r="G418" s="51" t="str">
        <x:v>Applicant → authority</x:v>
      </x:c>
      <x:c r="H418" s="51" t="str">
        <x:v>Ongoing</x:v>
      </x:c>
      <x:c r="I418" s="51" t="str">
        <x:v>Patent application and examination</x:v>
      </x:c>
      <x:c r="J418" s="51" t="str">
        <x:v>INS-095</x:v>
      </x:c>
      <x:c r="K418" s="51" t="str">
        <x:v>Global territorial filings</x:v>
      </x:c>
      <x:c r="L418" s="51" t="str">
        <x:v>Technical disclosure and legal claims</x:v>
      </x:c>
      <x:c r="M418" s="51" t="str">
        <x:v>Time-limited exclusionary rights if granted</x:v>
      </x:c>
      <x:c r="N418" s="51" t="str">
        <x:v>Public disclosure is exchanged for legally enforceable rights within specific jurisdictions</x:v>
      </x:c>
      <x:c r="O418" s="51" t="str">
        <x:v>Ownership; informational; institutional</x:v>
      </x:c>
      <x:c r="P418" s="51" t="str">
        <x:v>S1</x:v>
      </x:c>
      <x:c r="Q418" s="51" t="str">
        <x:v>Very high</x:v>
      </x:c>
      <x:c r="R418" s="51" t="str">
        <x:v>SRC-187; SRC-661; SRC-662; SRC-663; SRC-687</x:v>
      </x:c>
      <x:c r="S418" s="51" t="str">
        <x:v>Patent systems require disclosure and examination before grant.</x:v>
      </x:c>
      <x:c r="T418" s="51" t="str">
        <x:v>Global monopoly, automatic validity or practical ability to exclude without litigation.</x:v>
      </x:c>
      <x:c r="U418" s="51" t="str">
        <x:v>Rights are territorial, claim-specific and challengeable.</x:v>
      </x:c>
      <x:c r="V418" s="51" t="str">
        <x:v>Active</x:v>
      </x:c>
      <x:c r="W418" s="51" t="str">
        <x:v>55;57</x:v>
      </x:c>
      <x:c r="X418" s="51" t="str">
        <x:v>2026-07-27</x:v>
      </x:c>
    </x:row>
    <x:row r="419">
      <x:c r="A419" s="51" t="str">
        <x:v>KNO-003</x:v>
      </x:c>
      <x:c r="B419" s="51" t="str">
        <x:v>Knowledge ownership and intellectual property</x:v>
      </x:c>
      <x:c r="C419" s="51" t="str">
        <x:v>ACT-PATENTOFFICES</x:v>
      </x:c>
      <x:c r="D419" s="51" t="str">
        <x:v>Patent offices</x:v>
      </x:c>
      <x:c r="E419" s="51" t="str">
        <x:v>ACT-PATENTAPPLICANTSANDASSIG</x:v>
      </x:c>
      <x:c r="F419" s="51" t="str">
        <x:v>Patent applicants and assignees</x:v>
      </x:c>
      <x:c r="G419" s="51" t="str">
        <x:v>Authority → applicant</x:v>
      </x:c>
      <x:c r="H419" s="51" t="str">
        <x:v>Ongoing</x:v>
      </x:c>
      <x:c r="I419" s="51" t="str">
        <x:v>Grant, rejection and claim-scope determination</x:v>
      </x:c>
      <x:c r="J419" s="51" t="str">
        <x:v>INS-095</x:v>
      </x:c>
      <x:c r="K419" s="51" t="str">
        <x:v>Application-specific</x:v>
      </x:c>
      <x:c r="L419" s="51" t="str">
        <x:v>Examination authority</x:v>
      </x:c>
      <x:c r="M419" s="51" t="str">
        <x:v>Patent grant, rejection or narrowed claims</x:v>
      </x:c>
      <x:c r="N419" s="51" t="str">
        <x:v>Administrative examination converts a technical application into a legally recognised property claim</x:v>
      </x:c>
      <x:c r="O419" s="51" t="str">
        <x:v>Ownership; institutional; enforcement</x:v>
      </x:c>
      <x:c r="P419" s="51" t="str">
        <x:v>S1</x:v>
      </x:c>
      <x:c r="Q419" s="51" t="str">
        <x:v>High</x:v>
      </x:c>
      <x:c r="R419" s="51" t="str">
        <x:v>SRC-187; SRC-661; SRC-662; SRC-663; SRC-687</x:v>
      </x:c>
      <x:c r="S419" s="51" t="str">
        <x:v>Patent offices determine whether applications satisfy legal requirements.</x:v>
      </x:c>
      <x:c r="T419" s="51" t="str">
        <x:v>Technical merit beyond the legal criteria or guaranteed commercial return.</x:v>
      </x:c>
      <x:c r="U419" s="51" t="str">
        <x:v>Courts and opposition proceedings can later alter rights.</x:v>
      </x:c>
      <x:c r="V419" s="51" t="str">
        <x:v>Active</x:v>
      </x:c>
      <x:c r="W419" s="51" t="str">
        <x:v>55;57</x:v>
      </x:c>
      <x:c r="X419" s="51" t="str">
        <x:v>2026-07-27</x:v>
      </x:c>
    </x:row>
    <x:row r="420">
      <x:c r="A420" s="51" t="str">
        <x:v>KNO-004</x:v>
      </x:c>
      <x:c r="B420" s="51" t="str">
        <x:v>Knowledge ownership and intellectual property</x:v>
      </x:c>
      <x:c r="C420" s="51" t="str">
        <x:v>ACT-OPENAI</x:v>
      </x:c>
      <x:c r="D420" s="51" t="str">
        <x:v>OpenAI</x:v>
      </x:c>
      <x:c r="E420" s="51" t="str">
        <x:v>ACT-TRADESECRETS</x:v>
      </x:c>
      <x:c r="F420" s="51" t="str">
        <x:v>Trade secrets</x:v>
      </x:c>
      <x:c r="G420" s="51" t="str">
        <x:v>Company → control mechanism</x:v>
      </x:c>
      <x:c r="H420" s="51" t="str">
        <x:v>Pre-2023 and ongoing</x:v>
      </x:c>
      <x:c r="I420" s="51" t="str">
        <x:v>Confidential technical information strategy</x:v>
      </x:c>
      <x:c r="J420" s="51" t="str"/>
      <x:c r="K420" s="51" t="str">
        <x:v>Undisclosed</x:v>
      </x:c>
      <x:c r="L420" s="51" t="str">
        <x:v>Model methods, training systems and operational know-how</x:v>
      </x:c>
      <x:c r="M420" s="51" t="str">
        <x:v>Restricted access and delayed public disclosure</x:v>
      </x:c>
      <x:c r="N420" s="51" t="str">
        <x:v>Trade-secret protection converts organisational secrecy into an exclusion mechanism without patent publication</x:v>
      </x:c>
      <x:c r="O420" s="51" t="str">
        <x:v>Informational; ownership</x:v>
      </x:c>
      <x:c r="P420" s="51" t="str">
        <x:v>E2</x:v>
      </x:c>
      <x:c r="Q420" s="51" t="str">
        <x:v>Moderate</x:v>
      </x:c>
      <x:c r="R420" s="51" t="str">
        <x:v>SRC-189</x:v>
      </x:c>
      <x:c r="S420" s="51" t="str">
        <x:v>WIPO reported that OpenAI initially appeared to rely heavily on trade secrets before building a patent portfolio.</x:v>
      </x:c>
      <x:c r="T420" s="51" t="str">
        <x:v>The contents or scope of every trade secret, or absence of patents before 2023.</x:v>
      </x:c>
      <x:c r="U420" s="51" t="str">
        <x:v>Public inference from filings cannot reveal confidential material.</x:v>
      </x:c>
      <x:c r="V420" s="51" t="str">
        <x:v>Active / evolving</x:v>
      </x:c>
      <x:c r="W420" s="51" t="str">
        <x:v>57;75</x:v>
      </x:c>
      <x:c r="X420" s="51" t="str">
        <x:v>2026-07-27</x:v>
      </x:c>
    </x:row>
    <x:row r="421">
      <x:c r="A421" s="51" t="str">
        <x:v>KNO-005</x:v>
      </x:c>
      <x:c r="B421" s="51" t="str">
        <x:v>Knowledge ownership and intellectual property</x:v>
      </x:c>
      <x:c r="C421" s="51" t="str">
        <x:v>ACT-OPENAI</x:v>
      </x:c>
      <x:c r="D421" s="51" t="str">
        <x:v>OpenAI</x:v>
      </x:c>
      <x:c r="E421" s="51" t="str">
        <x:v>ACT-PATENTOFFICES</x:v>
      </x:c>
      <x:c r="F421" s="51" t="str">
        <x:v>Patent offices</x:v>
      </x:c>
      <x:c r="G421" s="51" t="str">
        <x:v>Company → authorities</x:v>
      </x:c>
      <x:c r="H421" s="51" t="str">
        <x:v>2023 onward</x:v>
      </x:c>
      <x:c r="I421" s="51" t="str">
        <x:v>Patent filing strategy</x:v>
      </x:c>
      <x:c r="J421" s="51" t="str">
        <x:v>INS-095</x:v>
      </x:c>
      <x:c r="K421" s="51" t="str">
        <x:v>Six US patents published in Q1 2024 reported by WIPO</x:v>
      </x:c>
      <x:c r="L421" s="51" t="str">
        <x:v>Selected technical inventions</x:v>
      </x:c>
      <x:c r="M421" s="51" t="str">
        <x:v>Published applications and potential exclusionary rights</x:v>
      </x:c>
      <x:c r="N421" s="51" t="str">
        <x:v>A frontier lab can shift from secrecy toward a mixed patent-and-trade-secret strategy</x:v>
      </x:c>
      <x:c r="O421" s="51" t="str">
        <x:v>Ownership; informational</x:v>
      </x:c>
      <x:c r="P421" s="51" t="str">
        <x:v>E1</x:v>
      </x:c>
      <x:c r="Q421" s="51" t="str">
        <x:v>High</x:v>
      </x:c>
      <x:c r="R421" s="51" t="str">
        <x:v>SRC-189</x:v>
      </x:c>
      <x:c r="S421" s="51" t="str">
        <x:v>WIPO identified six OpenAI US patent publications in early 2024.</x:v>
      </x:c>
      <x:c r="T421" s="51" t="str">
        <x:v>A large patent portfolio, broad enforceability or ownership of general AI concepts.</x:v>
      </x:c>
      <x:c r="U421" s="51" t="str">
        <x:v>Claim scope and later filings require direct patent-family review.</x:v>
      </x:c>
      <x:c r="V421" s="51" t="str">
        <x:v>Active / expand patent review</x:v>
      </x:c>
      <x:c r="W421" s="51" t="str">
        <x:v>57;75</x:v>
      </x:c>
      <x:c r="X421" s="51" t="str">
        <x:v>2026-07-27</x:v>
      </x:c>
    </x:row>
    <x:row r="422">
      <x:c r="A422" s="51" t="str">
        <x:v>KNO-006</x:v>
      </x:c>
      <x:c r="B422" s="51" t="str">
        <x:v>Knowledge ownership and intellectual property</x:v>
      </x:c>
      <x:c r="C422" s="51" t="str">
        <x:v>ACT-ARMHOLDINGS</x:v>
      </x:c>
      <x:c r="D422" s="51" t="str">
        <x:v>Arm Holdings</x:v>
      </x:c>
      <x:c r="E422" s="51" t="str">
        <x:v>ACT-ARMARCHITECTURELICENSEES</x:v>
      </x:c>
      <x:c r="F422" s="51" t="str">
        <x:v>Arm architecture licensees</x:v>
      </x:c>
      <x:c r="G422" s="51" t="str">
        <x:v>IP owner → licensees</x:v>
      </x:c>
      <x:c r="H422" s="51" t="str">
        <x:v>Ongoing</x:v>
      </x:c>
      <x:c r="I422" s="51" t="str">
        <x:v>Architecture, core and subsystem licensing</x:v>
      </x:c>
      <x:c r="J422" s="51" t="str">
        <x:v>INS-096</x:v>
      </x:c>
      <x:c r="K422" s="51" t="str">
        <x:v>$2.31bn licensing revenue FYE26</x:v>
      </x:c>
      <x:c r="L422" s="51" t="str">
        <x:v>Processor architecture, cores and system IP</x:v>
      </x:c>
      <x:c r="M422" s="51" t="str">
        <x:v>Right to design or ship compatible processors</x:v>
      </x:c>
      <x:c r="N422" s="51" t="str">
        <x:v>A licensor monetises control of an instruction-set and software ecosystem without manufacturing most customer chips</x:v>
      </x:c>
      <x:c r="O422" s="51" t="str">
        <x:v>Ownership; technological; financial</x:v>
      </x:c>
      <x:c r="P422" s="51" t="str">
        <x:v>E1</x:v>
      </x:c>
      <x:c r="Q422" s="51" t="str">
        <x:v>Very high</x:v>
      </x:c>
      <x:c r="R422" s="51" t="str">
        <x:v>SRC-190; SRC-191</x:v>
      </x:c>
      <x:c r="S422" s="51" t="str">
        <x:v>Arm reports substantial licensing revenue from its IP business.</x:v>
      </x:c>
      <x:c r="T422" s="51" t="str">
        <x:v>Ownership of licensee chips, fabs or end products.</x:v>
      </x:c>
      <x:c r="U422" s="51" t="str">
        <x:v>Licence terms and architectural freedom vary by customer.</x:v>
      </x:c>
      <x:c r="V422" s="51" t="str">
        <x:v>Active</x:v>
      </x:c>
      <x:c r="W422" s="51" t="str">
        <x:v>43;57;76</x:v>
      </x:c>
      <x:c r="X422" s="51" t="str">
        <x:v>2026-07-27</x:v>
      </x:c>
    </x:row>
    <x:row r="423">
      <x:c r="A423" s="51" t="str">
        <x:v>KNO-007</x:v>
      </x:c>
      <x:c r="B423" s="51" t="str">
        <x:v>Knowledge ownership and intellectual property</x:v>
      </x:c>
      <x:c r="C423" s="51" t="str">
        <x:v>ACT-ARMARCHITECTURELICENSEES</x:v>
      </x:c>
      <x:c r="D423" s="51" t="str">
        <x:v>Arm architecture licensees</x:v>
      </x:c>
      <x:c r="E423" s="51" t="str">
        <x:v>ACT-ARMHOLDINGS</x:v>
      </x:c>
      <x:c r="F423" s="51" t="str">
        <x:v>Arm Holdings</x:v>
      </x:c>
      <x:c r="G423" s="51" t="str">
        <x:v>Licensees → IP owner</x:v>
      </x:c>
      <x:c r="H423" s="51" t="str">
        <x:v>Ongoing</x:v>
      </x:c>
      <x:c r="I423" s="51" t="str">
        <x:v>Royalty payments</x:v>
      </x:c>
      <x:c r="J423" s="51" t="str">
        <x:v>INS-096</x:v>
      </x:c>
      <x:c r="K423" s="51" t="str">
        <x:v>$2.61bn royalty revenue FYE26</x:v>
      </x:c>
      <x:c r="L423" s="51" t="str">
        <x:v>Shipment of Arm-based products</x:v>
      </x:c>
      <x:c r="M423" s="51" t="str">
        <x:v>Per-unit or revenue-linked payments</x:v>
      </x:c>
      <x:c r="N423" s="51" t="str">
        <x:v>Installed architecture converts downstream device volume into recurring upstream income</x:v>
      </x:c>
      <x:c r="O423" s="51" t="str">
        <x:v>Financial; ownership; relational</x:v>
      </x:c>
      <x:c r="P423" s="51" t="str">
        <x:v>E1</x:v>
      </x:c>
      <x:c r="Q423" s="51" t="str">
        <x:v>Very high</x:v>
      </x:c>
      <x:c r="R423" s="51" t="str">
        <x:v>SRC-190</x:v>
      </x:c>
      <x:c r="S423" s="51" t="str">
        <x:v>Arm reported record royalty revenue in FYE26.</x:v>
      </x:c>
      <x:c r="T423" s="51" t="str">
        <x:v>A uniform royalty rate or Arm control of customer pricing.</x:v>
      </x:c>
      <x:c r="U423" s="51" t="str">
        <x:v>Royalties depend on contract, product category and shipment mix.</x:v>
      </x:c>
      <x:c r="V423" s="51" t="str">
        <x:v>Active</x:v>
      </x:c>
      <x:c r="W423" s="51" t="str">
        <x:v>57;76</x:v>
      </x:c>
      <x:c r="X423" s="51" t="str">
        <x:v>2026-07-27</x:v>
      </x:c>
    </x:row>
    <x:row r="424">
      <x:c r="A424" s="51" t="str">
        <x:v>KNO-008</x:v>
      </x:c>
      <x:c r="B424" s="51" t="str">
        <x:v>Knowledge ownership and intellectual property</x:v>
      </x:c>
      <x:c r="C424" s="51" t="str">
        <x:v>ACT-SOFTBANKGROUP</x:v>
      </x:c>
      <x:c r="D424" s="51" t="str">
        <x:v>SoftBank Group</x:v>
      </x:c>
      <x:c r="E424" s="51" t="str">
        <x:v>ACT-ARMHOLDINGS</x:v>
      </x:c>
      <x:c r="F424" s="51" t="str">
        <x:v>Arm Holdings</x:v>
      </x:c>
      <x:c r="G424" s="51" t="str">
        <x:v>Parent investor → company</x:v>
      </x:c>
      <x:c r="H424" s="51" t="str">
        <x:v>2016–present</x:v>
      </x:c>
      <x:c r="I424" s="51" t="str">
        <x:v>Controlling ownership / strategic investment</x:v>
      </x:c>
      <x:c r="J424" s="51" t="str"/>
      <x:c r="K424" s="51" t="str">
        <x:v>Controlling shareholder relationship</x:v>
      </x:c>
      <x:c r="L424" s="51" t="str">
        <x:v>Investment capital and strategic control</x:v>
      </x:c>
      <x:c r="M424" s="51" t="str">
        <x:v>Economic exposure to global processor-IP royalties</x:v>
      </x:c>
      <x:c r="N424" s="51" t="str">
        <x:v>A diversified investment group acquires a strategic intellectual-property tollbooth</x:v>
      </x:c>
      <x:c r="O424" s="51" t="str">
        <x:v>Ownership; financial; technological</x:v>
      </x:c>
      <x:c r="P424" s="51" t="str">
        <x:v>E2</x:v>
      </x:c>
      <x:c r="Q424" s="51" t="str">
        <x:v>High</x:v>
      </x:c>
      <x:c r="R424" s="51" t="str">
        <x:v>SRC-190; SRC-191</x:v>
      </x:c>
      <x:c r="S424" s="51" t="str">
        <x:v>SoftBank remains Arm's controlling shareholder following Arm's public listing.</x:v>
      </x:c>
      <x:c r="T424" s="51" t="str">
        <x:v>Control of every Arm licensing decision or direct ownership of licensee products.</x:v>
      </x:c>
      <x:c r="U424" s="51" t="str">
        <x:v>Public shareholders and Arm governance remain separate actors.</x:v>
      </x:c>
      <x:c r="V424" s="51" t="str">
        <x:v>Active</x:v>
      </x:c>
      <x:c r="W424" s="51" t="str">
        <x:v>56;57</x:v>
      </x:c>
      <x:c r="X424" s="51" t="str">
        <x:v>2026-07-27</x:v>
      </x:c>
    </x:row>
    <x:row r="425">
      <x:c r="A425" s="51" t="str">
        <x:v>KNO-009</x:v>
      </x:c>
      <x:c r="B425" s="51" t="str">
        <x:v>Knowledge ownership and intellectual property</x:v>
      </x:c>
      <x:c r="C425" s="51" t="str">
        <x:v>ACT-ARMCHINA</x:v>
      </x:c>
      <x:c r="D425" s="51" t="str">
        <x:v>Arm China</x:v>
      </x:c>
      <x:c r="E425" s="51" t="str">
        <x:v>ACT-ARMHOLDINGS</x:v>
      </x:c>
      <x:c r="F425" s="51" t="str">
        <x:v>Arm Holdings</x:v>
      </x:c>
      <x:c r="G425" s="51" t="str">
        <x:v>Regional intermediary → IP owner</x:v>
      </x:c>
      <x:c r="H425" s="51" t="str">
        <x:v>Ongoing</x:v>
      </x:c>
      <x:c r="I425" s="51" t="str">
        <x:v>Sub-licensing and royalty-sharing relationship</x:v>
      </x:c>
      <x:c r="J425" s="51" t="str">
        <x:v>INS-096</x:v>
      </x:c>
      <x:c r="K425" s="51" t="str">
        <x:v>Share of China licensing and royalty revenue</x:v>
      </x:c>
      <x:c r="L425" s="51" t="str">
        <x:v>China customer licences and royalties</x:v>
      </x:c>
      <x:c r="M425" s="51" t="str">
        <x:v>Revenue remitted to Arm</x:v>
      </x:c>
      <x:c r="N425" s="51" t="str">
        <x:v>A regional intermediary converts local market access into revenue while creating governance and collection dependence</x:v>
      </x:c>
      <x:c r="O425" s="51" t="str">
        <x:v>Financial; relational; informational</x:v>
      </x:c>
      <x:c r="P425" s="51" t="str">
        <x:v>E2</x:v>
      </x:c>
      <x:c r="Q425" s="51" t="str">
        <x:v>High</x:v>
      </x:c>
      <x:c r="R425" s="51" t="str">
        <x:v>SRC-191</x:v>
      </x:c>
      <x:c r="S425" s="51" t="str">
        <x:v>Arm reports revenue derived from its relationship with Arm China.</x:v>
      </x:c>
      <x:c r="T425" s="51" t="str">
        <x:v>Direct Arm operational control over Arm China or complete visibility into all sublicences.</x:v>
      </x:c>
      <x:c r="U425" s="51" t="str">
        <x:v>The relationship has distinct governance and collection risks.</x:v>
      </x:c>
      <x:c r="V425" s="51" t="str">
        <x:v>Active</x:v>
      </x:c>
      <x:c r="W425" s="51" t="str">
        <x:v>43;57</x:v>
      </x:c>
      <x:c r="X425" s="51" t="str">
        <x:v>2026-07-27</x:v>
      </x:c>
    </x:row>
    <x:row r="426">
      <x:c r="A426" s="51" t="str">
        <x:v>KNO-010</x:v>
      </x:c>
      <x:c r="B426" s="51" t="str">
        <x:v>Open standards and interoperability</x:v>
      </x:c>
      <x:c r="C426" s="51" t="str">
        <x:v>ACT-RISCVINTERNATIONAL</x:v>
      </x:c>
      <x:c r="D426" s="51" t="str">
        <x:v>RISC-V International</x:v>
      </x:c>
      <x:c r="E426" s="51" t="str">
        <x:v>ACT-RISCVISA</x:v>
      </x:c>
      <x:c r="F426" s="51" t="str">
        <x:v>RISC-V ISA</x:v>
      </x:c>
      <x:c r="G426" s="51" t="str">
        <x:v>Standards body → open standard</x:v>
      </x:c>
      <x:c r="H426" s="51" t="str">
        <x:v>Ongoing</x:v>
      </x:c>
      <x:c r="I426" s="51" t="str">
        <x:v>Specification governance and ratification</x:v>
      </x:c>
      <x:c r="J426" s="51" t="str">
        <x:v>INS-097</x:v>
      </x:c>
      <x:c r="K426" s="51" t="str">
        <x:v>Global membership ecosystem</x:v>
      </x:c>
      <x:c r="L426" s="51" t="str">
        <x:v>Member proposals and technical consensus</x:v>
      </x:c>
      <x:c r="M426" s="51" t="str">
        <x:v>Free public architecture specifications</x:v>
      </x:c>
      <x:c r="N426" s="51" t="str">
        <x:v>Collective governance converts distributed contributions into a stable common technical interface</x:v>
      </x:c>
      <x:c r="O426" s="51" t="str">
        <x:v>Institutional; informational; technological</x:v>
      </x:c>
      <x:c r="P426" s="51" t="str">
        <x:v>E1</x:v>
      </x:c>
      <x:c r="Q426" s="51" t="str">
        <x:v>Very high</x:v>
      </x:c>
      <x:c r="R426" s="51" t="str">
        <x:v>SRC-192; SRC-193</x:v>
      </x:c>
      <x:c r="S426" s="51" t="str">
        <x:v>RISC-V International maintains and publishes ratified specifications.</x:v>
      </x:c>
      <x:c r="T426" s="51" t="str">
        <x:v>Open-source implementation of every processor or absence of commercial IP.</x:v>
      </x:c>
      <x:c r="U426" s="51" t="str">
        <x:v>The ISA is open; verified cores, tools and software may still be proprietary.</x:v>
      </x:c>
      <x:c r="V426" s="51" t="str">
        <x:v>Active</x:v>
      </x:c>
      <x:c r="W426" s="51" t="str">
        <x:v>57;76</x:v>
      </x:c>
      <x:c r="X426" s="51" t="str">
        <x:v>2026-07-27</x:v>
      </x:c>
    </x:row>
    <x:row r="427">
      <x:c r="A427" s="51" t="str">
        <x:v>KNO-011</x:v>
      </x:c>
      <x:c r="B427" s="51" t="str">
        <x:v>Open standards and interoperability</x:v>
      </x:c>
      <x:c r="C427" s="51" t="str">
        <x:v>ACT-UCBERKELEY</x:v>
      </x:c>
      <x:c r="D427" s="51" t="str">
        <x:v>UC Berkeley</x:v>
      </x:c>
      <x:c r="E427" s="51" t="str">
        <x:v>ACT-RISCVISA</x:v>
      </x:c>
      <x:c r="F427" s="51" t="str">
        <x:v>RISC-V ISA</x:v>
      </x:c>
      <x:c r="G427" s="51" t="str">
        <x:v>University → standard</x:v>
      </x:c>
      <x:c r="H427" s="51" t="str">
        <x:v>2010s</x:v>
      </x:c>
      <x:c r="I427" s="51" t="str">
        <x:v>Originating research relationship</x:v>
      </x:c>
      <x:c r="J427" s="51" t="str">
        <x:v>INS-097</x:v>
      </x:c>
      <x:c r="K427" s="51" t="str">
        <x:v>Academic research origin</x:v>
      </x:c>
      <x:c r="L427" s="51" t="str">
        <x:v>University research and teaching</x:v>
      </x:c>
      <x:c r="M427" s="51" t="str">
        <x:v>Open processor architecture</x:v>
      </x:c>
      <x:c r="N427" s="51" t="str">
        <x:v>Publicly supported academic research can become global industrial infrastructure</x:v>
      </x:c>
      <x:c r="O427" s="51" t="str">
        <x:v>Informational; institutional; technological</x:v>
      </x:c>
      <x:c r="P427" s="51" t="str">
        <x:v>E1</x:v>
      </x:c>
      <x:c r="Q427" s="51" t="str">
        <x:v>High</x:v>
      </x:c>
      <x:c r="R427" s="51" t="str">
        <x:v>SRC-192</x:v>
      </x:c>
      <x:c r="S427" s="51" t="str">
        <x:v>RISC-V originated from UC Berkeley research.</x:v>
      </x:c>
      <x:c r="T427" s="51" t="str">
        <x:v>Continuing Berkeley control over the standard or commercial ecosystem.</x:v>
      </x:c>
      <x:c r="U427" s="51" t="str">
        <x:v>Governance moved to an independent international organisation.</x:v>
      </x:c>
      <x:c r="V427" s="51" t="str">
        <x:v>Historical origin</x:v>
      </x:c>
      <x:c r="W427" s="51" t="str">
        <x:v>57;75</x:v>
      </x:c>
      <x:c r="X427" s="51" t="str">
        <x:v>2026-07-27</x:v>
      </x:c>
    </x:row>
    <x:row r="428">
      <x:c r="A428" s="51" t="str">
        <x:v>KNO-012</x:v>
      </x:c>
      <x:c r="B428" s="51" t="str">
        <x:v>Open standards and interoperability</x:v>
      </x:c>
      <x:c r="C428" s="51" t="str">
        <x:v>ACT-RISCVISA</x:v>
      </x:c>
      <x:c r="D428" s="51" t="str">
        <x:v>RISC-V ISA</x:v>
      </x:c>
      <x:c r="E428" s="51" t="str">
        <x:v>ACT-SIFIVE</x:v>
      </x:c>
      <x:c r="F428" s="51" t="str">
        <x:v>SiFive</x:v>
      </x:c>
      <x:c r="G428" s="51" t="str">
        <x:v>Standard → company</x:v>
      </x:c>
      <x:c r="H428" s="51" t="str">
        <x:v>2015–present</x:v>
      </x:c>
      <x:c r="I428" s="51" t="str">
        <x:v>Commercial implementation and IP business</x:v>
      </x:c>
      <x:c r="J428" s="51" t="str">
        <x:v>INS-097</x:v>
      </x:c>
      <x:c r="K428" s="51" t="str">
        <x:v>Company-specific</x:v>
      </x:c>
      <x:c r="L428" s="51" t="str">
        <x:v>Open architecture specifications</x:v>
      </x:c>
      <x:c r="M428" s="51" t="str">
        <x:v>Verified commercial cores and custom silicon services</x:v>
      </x:c>
      <x:c r="N428" s="51" t="str">
        <x:v>Open standards can support proprietary implementation businesses rather than eliminating commercial rents</x:v>
      </x:c>
      <x:c r="O428" s="51" t="str">
        <x:v>Technological; financial; ownership</x:v>
      </x:c>
      <x:c r="P428" s="51" t="str">
        <x:v>E2</x:v>
      </x:c>
      <x:c r="Q428" s="51" t="str">
        <x:v>High</x:v>
      </x:c>
      <x:c r="R428" s="51" t="str">
        <x:v>SRC-192</x:v>
      </x:c>
      <x:c r="S428" s="51" t="str">
        <x:v>SiFive was formed by RISC-V founders and commercialises RISC-V IP.</x:v>
      </x:c>
      <x:c r="T428" s="51" t="str">
        <x:v>Ownership of the RISC-V standard or control over other implementers.</x:v>
      </x:c>
      <x:c r="U428" s="51" t="str">
        <x:v>Multiple commercial and open implementations compete.</x:v>
      </x:c>
      <x:c r="V428" s="51" t="str">
        <x:v>Active</x:v>
      </x:c>
      <x:c r="W428" s="51" t="str">
        <x:v>57;76</x:v>
      </x:c>
      <x:c r="X428" s="51" t="str">
        <x:v>2026-07-27</x:v>
      </x:c>
    </x:row>
    <x:row r="429">
      <x:c r="A429" s="51" t="str">
        <x:v>KNO-013</x:v>
      </x:c>
      <x:c r="B429" s="51" t="str">
        <x:v>Open standards and interoperability</x:v>
      </x:c>
      <x:c r="C429" s="51" t="str">
        <x:v>ACT-RISCVINTERNATIONAL</x:v>
      </x:c>
      <x:c r="D429" s="51" t="str">
        <x:v>RISC-V International</x:v>
      </x:c>
      <x:c r="E429" s="51" t="str">
        <x:v>ACT-ISOIECJTC1SC42</x:v>
      </x:c>
      <x:c r="F429" s="51" t="str">
        <x:v>ISO/IEC JTC 1/SC 42</x:v>
      </x:c>
      <x:c r="G429" s="51" t="str">
        <x:v>Standards organisation → international standardisation system</x:v>
      </x:c>
      <x:c r="H429" s="51" t="str">
        <x:v>2025–present</x:v>
      </x:c>
      <x:c r="I429" s="51" t="str">
        <x:v>PAS submitter recognition / standards pathway</x:v>
      </x:c>
      <x:c r="J429" s="51" t="str">
        <x:v>INS-097</x:v>
      </x:c>
      <x:c r="K429" s="51" t="str">
        <x:v>ISA standardisation</x:v>
      </x:c>
      <x:c r="L429" s="51" t="str">
        <x:v>Open industry specification and governance documentation</x:v>
      </x:c>
      <x:c r="M429" s="51" t="str">
        <x:v>Potential ISO/IEC recognition</x:v>
      </x:c>
      <x:c r="N429" s="51" t="str">
        <x:v>An industry standard seeks additional legitimacy and procurement portability through formal international standardisation</x:v>
      </x:c>
      <x:c r="O429" s="51" t="str">
        <x:v>Institutional; informational; technological</x:v>
      </x:c>
      <x:c r="P429" s="51" t="str">
        <x:v>E2</x:v>
      </x:c>
      <x:c r="Q429" s="51" t="str">
        <x:v>Moderate</x:v>
      </x:c>
      <x:c r="R429" s="51" t="str">
        <x:v>SRC-192</x:v>
      </x:c>
      <x:c r="S429" s="51" t="str">
        <x:v>RISC-V reported recognition as an ISO/IEC JTC 1 PAS Submitter.</x:v>
      </x:c>
      <x:c r="T429" s="51" t="str">
        <x:v>That the RISC-V ISA is already an ISO standard or that SC 42 handles processor ISAs specifically.</x:v>
      </x:c>
      <x:c r="U429" s="51" t="str">
        <x:v>The relevant JTC 1 process and subcommittee path require exact procedural verification.</x:v>
      </x:c>
      <x:c r="V429" s="51" t="str">
        <x:v>In process / committee mapping needed</x:v>
      </x:c>
      <x:c r="W429" s="51" t="str">
        <x:v>57;76</x:v>
      </x:c>
      <x:c r="X429" s="51" t="str">
        <x:v>2026-07-27</x:v>
      </x:c>
    </x:row>
    <x:row r="430">
      <x:c r="A430" s="51" t="str">
        <x:v>KUS-001</x:v>
      </x:c>
      <x:c r="B430" s="51" t="str">
        <x:v>Political family–sovereign capital</x:v>
      </x:c>
      <x:c r="C430" s="51" t="str">
        <x:v>ACT-JAREDKUSHNER</x:v>
      </x:c>
      <x:c r="D430" s="51" t="str">
        <x:v>Jared Kushner</x:v>
      </x:c>
      <x:c r="E430" s="51" t="str">
        <x:v>ACT-AFFINITYPARTNERS</x:v>
      </x:c>
      <x:c r="F430" s="51" t="str">
        <x:v>Affinity Partners</x:v>
      </x:c>
      <x:c r="G430" s="51" t="str">
        <x:v>Person → firm</x:v>
      </x:c>
      <x:c r="H430" s="51" t="str">
        <x:v>2021–present</x:v>
      </x:c>
      <x:c r="I430" s="51" t="str">
        <x:v>Sole ownership</x:v>
      </x:c>
      <x:c r="J430" s="51" t="str">
        <x:v>INS-031</x:v>
      </x:c>
      <x:c r="K430" s="51" t="str">
        <x:v>$4.8 billion AUM at end-2024</x:v>
      </x:c>
      <x:c r="L430" s="51" t="str">
        <x:v>Former-government relationships and private ownership</x:v>
      </x:c>
      <x:c r="M430" s="51" t="str">
        <x:v>Investment-management fees and deal control</x:v>
      </x:c>
      <x:c r="N430" s="51" t="str">
        <x:v>A former public official converts network access and reputation into a private investment platform</x:v>
      </x:c>
      <x:c r="O430" s="51" t="str">
        <x:v>Financial; relational; ownership</x:v>
      </x:c>
      <x:c r="P430" s="51" t="str">
        <x:v>E1</x:v>
      </x:c>
      <x:c r="Q430" s="51" t="str">
        <x:v>Very high</x:v>
      </x:c>
      <x:c r="R430" s="51" t="str">
        <x:v>SRC-070</x:v>
      </x:c>
      <x:c r="S430" s="51" t="str">
        <x:v>Reuters reported Kushner is Affinity's sole owner and the firm reached $4.8 billion AUM.</x:v>
      </x:c>
      <x:c r="T430" s="51" t="str">
        <x:v>That all capital was a reward for public policy or that investments are directed by Trump.</x:v>
      </x:c>
      <x:c r="U430" s="51" t="str">
        <x:v>Investors may pursue commercial, diplomatic and relationship objectives simultaneously.</x:v>
      </x:c>
      <x:c r="V430" s="51" t="str">
        <x:v>Active</x:v>
      </x:c>
      <x:c r="W430" s="51" t="str">
        <x:v>52;56;57</x:v>
      </x:c>
      <x:c r="X430" s="51" t="str">
        <x:v>2026-07-27</x:v>
      </x:c>
    </x:row>
    <x:row r="431">
      <x:c r="A431" s="51" t="str">
        <x:v>KUS-002</x:v>
      </x:c>
      <x:c r="B431" s="51" t="str">
        <x:v>Political family–sovereign capital</x:v>
      </x:c>
      <x:c r="C431" s="51" t="str">
        <x:v>ACT-PUBLICINVESTMENTFUND</x:v>
      </x:c>
      <x:c r="D431" s="51" t="str">
        <x:v>Public Investment Fund</x:v>
      </x:c>
      <x:c r="E431" s="51" t="str">
        <x:v>ACT-AFFINITYPARTNERS</x:v>
      </x:c>
      <x:c r="F431" s="51" t="str">
        <x:v>Affinity Partners</x:v>
      </x:c>
      <x:c r="G431" s="51" t="str">
        <x:v>Fund → firm</x:v>
      </x:c>
      <x:c r="H431" s="51" t="str">
        <x:v>2021–present</x:v>
      </x:c>
      <x:c r="I431" s="51" t="str">
        <x:v>Fund commitment</x:v>
      </x:c>
      <x:c r="J431" s="51" t="str">
        <x:v>INS-031</x:v>
      </x:c>
      <x:c r="K431" s="51" t="str">
        <x:v>$2 billion identified</x:v>
      </x:c>
      <x:c r="L431" s="51" t="str">
        <x:v>Saudi sovereign capital</x:v>
      </x:c>
      <x:c r="M431" s="51" t="str">
        <x:v>Capital controlled by Kushner-owned manager</x:v>
      </x:c>
      <x:c r="N431" s="51" t="str">
        <x:v>Sovereign capital is converted into a long-term financial and relational tie to a former US official</x:v>
      </x:c>
      <x:c r="O431" s="51" t="str">
        <x:v>Financial; relational; ownership</x:v>
      </x:c>
      <x:c r="P431" s="51" t="str">
        <x:v>E1</x:v>
      </x:c>
      <x:c r="Q431" s="51" t="str">
        <x:v>Very high</x:v>
      </x:c>
      <x:c r="R431" s="51" t="str">
        <x:v>SRC-070</x:v>
      </x:c>
      <x:c r="S431" s="51" t="str">
        <x:v>Congressional investigators identified a $2 billion PIF investment.</x:v>
      </x:c>
      <x:c r="T431" s="51" t="str">
        <x:v>A proven policy payoff or Saudi command over US policy.</x:v>
      </x:c>
      <x:c r="U431" s="51" t="str">
        <x:v>Commercial return and strategic relationship-building can coexist.</x:v>
      </x:c>
      <x:c r="V431" s="51" t="str">
        <x:v>Active</x:v>
      </x:c>
      <x:c r="W431" s="51" t="str">
        <x:v>56;57</x:v>
      </x:c>
      <x:c r="X431" s="51" t="str">
        <x:v>2026-07-27</x:v>
      </x:c>
    </x:row>
    <x:row r="432">
      <x:c r="A432" s="51" t="str">
        <x:v>KUS-003</x:v>
      </x:c>
      <x:c r="B432" s="51" t="str">
        <x:v>Political family–sovereign capital</x:v>
      </x:c>
      <x:c r="C432" s="51" t="str">
        <x:v>ACT-QATARINVESTMENTAUTHORITY</x:v>
      </x:c>
      <x:c r="D432" s="51" t="str">
        <x:v>Qatar Investment Authority</x:v>
      </x:c>
      <x:c r="E432" s="51" t="str">
        <x:v>ACT-AFFINITYPARTNERS</x:v>
      </x:c>
      <x:c r="F432" s="51" t="str">
        <x:v>Affinity Partners</x:v>
      </x:c>
      <x:c r="G432" s="51" t="str">
        <x:v>Fund → firm</x:v>
      </x:c>
      <x:c r="H432" s="51" t="str">
        <x:v>2024</x:v>
      </x:c>
      <x:c r="I432" s="51" t="str">
        <x:v>Additional fund commitment</x:v>
      </x:c>
      <x:c r="J432" s="51" t="str">
        <x:v>INS-031</x:v>
      </x:c>
      <x:c r="K432" s="51" t="str">
        <x:v>Part of $1.5 billion injection</x:v>
      </x:c>
      <x:c r="L432" s="51" t="str">
        <x:v>Qatari sovereign capital</x:v>
      </x:c>
      <x:c r="M432" s="51" t="str">
        <x:v>Expanded Kushner-managed investment capacity</x:v>
      </x:c>
      <x:c r="N432" s="51" t="str">
        <x:v>Sovereign capital builds durable access through an elite-owned investment manager</x:v>
      </x:c>
      <x:c r="O432" s="51" t="str">
        <x:v>Financial; relational</x:v>
      </x:c>
      <x:c r="P432" s="51" t="str">
        <x:v>E1</x:v>
      </x:c>
      <x:c r="Q432" s="51" t="str">
        <x:v>Very high</x:v>
      </x:c>
      <x:c r="R432" s="51" t="str">
        <x:v>SRC-070</x:v>
      </x:c>
      <x:c r="S432" s="51" t="str">
        <x:v>QIA was identified as an investor in Affinity's 2024 capital injection.</x:v>
      </x:c>
      <x:c r="T432" s="51" t="str">
        <x:v>Control over Kushner, Trump policy, or every Affinity investment.</x:v>
      </x:c>
      <x:c r="U432" s="51" t="str">
        <x:v>Exact rights and fee terms require fund documents.</x:v>
      </x:c>
      <x:c r="V432" s="51" t="str">
        <x:v>Active</x:v>
      </x:c>
      <x:c r="W432" s="51" t="str">
        <x:v>56;57</x:v>
      </x:c>
      <x:c r="X432" s="51" t="str">
        <x:v>2026-07-27</x:v>
      </x:c>
    </x:row>
    <x:row r="433">
      <x:c r="A433" s="51" t="str">
        <x:v>KUS-004</x:v>
      </x:c>
      <x:c r="B433" s="51" t="str">
        <x:v>Political family–sovereign capital</x:v>
      </x:c>
      <x:c r="C433" s="51" t="str">
        <x:v>ACT-LUNATE</x:v>
      </x:c>
      <x:c r="D433" s="51" t="str">
        <x:v>Lunate</x:v>
      </x:c>
      <x:c r="E433" s="51" t="str">
        <x:v>ACT-AFFINITYPARTNERS</x:v>
      </x:c>
      <x:c r="F433" s="51" t="str">
        <x:v>Affinity Partners</x:v>
      </x:c>
      <x:c r="G433" s="51" t="str">
        <x:v>Manager → firm</x:v>
      </x:c>
      <x:c r="H433" s="51" t="str">
        <x:v>2024</x:v>
      </x:c>
      <x:c r="I433" s="51" t="str">
        <x:v>Additional fund commitment</x:v>
      </x:c>
      <x:c r="J433" s="51" t="str">
        <x:v>INS-031</x:v>
      </x:c>
      <x:c r="K433" s="51" t="str">
        <x:v>Part of $1.5 billion injection</x:v>
      </x:c>
      <x:c r="L433" s="51" t="str">
        <x:v>Abu Dhabi investment capital</x:v>
      </x:c>
      <x:c r="M433" s="51" t="str">
        <x:v>Expanded Kushner-managed investment capacity</x:v>
      </x:c>
      <x:c r="N433" s="51" t="str">
        <x:v>Regional capital is converted into a relationship with a politically connected private manager</x:v>
      </x:c>
      <x:c r="O433" s="51" t="str">
        <x:v>Financial; relational</x:v>
      </x:c>
      <x:c r="P433" s="51" t="str">
        <x:v>E1</x:v>
      </x:c>
      <x:c r="Q433" s="51" t="str">
        <x:v>High</x:v>
      </x:c>
      <x:c r="R433" s="51" t="str">
        <x:v>SRC-070</x:v>
      </x:c>
      <x:c r="S433" s="51" t="str">
        <x:v>Lunate was identified as an Affinity investor.</x:v>
      </x:c>
      <x:c r="T433" s="51" t="str">
        <x:v>Direct UAE government command or a corrupt exchange.</x:v>
      </x:c>
      <x:c r="U433" s="51" t="str">
        <x:v>Lunate's ownership and mandate should be separately mapped.</x:v>
      </x:c>
      <x:c r="V433" s="51" t="str">
        <x:v>Active</x:v>
      </x:c>
      <x:c r="W433" s="51" t="str">
        <x:v>56;57</x:v>
      </x:c>
      <x:c r="X433" s="51" t="str">
        <x:v>2026-07-27</x:v>
      </x:c>
    </x:row>
    <x:row r="434">
      <x:c r="A434" s="51" t="str">
        <x:v>LAND-001</x:v>
      </x:c>
      <x:c r="B434" s="51" t="str">
        <x:v>Land records, zoning and development rights</x:v>
      </x:c>
      <x:c r="C434" s="51" t="str">
        <x:v>ACT-LOCALGOVERNMENTS</x:v>
      </x:c>
      <x:c r="D434" s="51" t="str">
        <x:v>Local governments</x:v>
      </x:c>
      <x:c r="E434" s="51" t="str">
        <x:v>ACT-CITYPLANNINGDEPARTMENTS</x:v>
      </x:c>
      <x:c r="F434" s="51" t="str">
        <x:v>City planning departments</x:v>
      </x:c>
      <x:c r="G434" s="51" t="str">
        <x:v>Government → planning agency</x:v>
      </x:c>
      <x:c r="H434" s="51" t="str">
        <x:v>Ongoing</x:v>
      </x:c>
      <x:c r="I434" s="51" t="str">
        <x:v>Delegated land-use planning authority</x:v>
      </x:c>
      <x:c r="J434" s="51" t="str">
        <x:v>INS-158</x:v>
      </x:c>
      <x:c r="K434" s="51" t="str">
        <x:v>Jurisdiction-specific</x:v>
      </x:c>
      <x:c r="L434" s="51" t="str">
        <x:v>Legislative police power and local plans</x:v>
      </x:c>
      <x:c r="M434" s="51" t="str">
        <x:v>Zoning maps, text amendments and development policy</x:v>
      </x:c>
      <x:c r="N434" s="51" t="str">
        <x:v>Local law converts territorial authority into rules governing use and density</x:v>
      </x:c>
      <x:c r="O434" s="51" t="str">
        <x:v>Institutional; material; distributional</x:v>
      </x:c>
      <x:c r="P434" s="51" t="str">
        <x:v>S1</x:v>
      </x:c>
      <x:c r="Q434" s="51" t="str">
        <x:v>High</x:v>
      </x:c>
      <x:c r="R434" s="51" t="str">
        <x:v>SRC-289</x:v>
      </x:c>
      <x:c r="S434" s="51" t="str">
        <x:v>Local planning departments administer zoning and land-use policy.</x:v>
      </x:c>
      <x:c r="T434" s="51" t="str">
        <x:v>Uniform national zoning authority or identical procedures across cities.</x:v>
      </x:c>
      <x:c r="U434" s="51" t="str">
        <x:v>State enabling laws and local charters vary.</x:v>
      </x:c>
      <x:c r="V434" s="51" t="str">
        <x:v>Active</x:v>
      </x:c>
      <x:c r="W434" s="51" t="str">
        <x:v>22;57</x:v>
      </x:c>
      <x:c r="X434" s="51" t="str">
        <x:v>2026-07-27</x:v>
      </x:c>
    </x:row>
    <x:row r="435">
      <x:c r="A435" s="51" t="str">
        <x:v>LAND-002</x:v>
      </x:c>
      <x:c r="B435" s="51" t="str">
        <x:v>Land records, zoning and development rights</x:v>
      </x:c>
      <x:c r="C435" s="51" t="str">
        <x:v>ACT-CITYPLANNINGDEPARTMENTS</x:v>
      </x:c>
      <x:c r="D435" s="51" t="str">
        <x:v>City planning departments</x:v>
      </x:c>
      <x:c r="E435" s="51" t="str">
        <x:v>ACT-CITYPLANNINGCOMMISSIONS</x:v>
      </x:c>
      <x:c r="F435" s="51" t="str">
        <x:v>City planning commissions</x:v>
      </x:c>
      <x:c r="G435" s="51" t="str">
        <x:v>Agency → commission</x:v>
      </x:c>
      <x:c r="H435" s="51" t="str">
        <x:v>Ongoing</x:v>
      </x:c>
      <x:c r="I435" s="51" t="str">
        <x:v>Application review and recommendation</x:v>
      </x:c>
      <x:c r="J435" s="51" t="str">
        <x:v>INS-158; INS-159</x:v>
      </x:c>
      <x:c r="K435" s="51" t="str">
        <x:v>Project-specific</x:v>
      </x:c>
      <x:c r="L435" s="51" t="str">
        <x:v>Plans, environmental review and applicant materials</x:v>
      </x:c>
      <x:c r="M435" s="51" t="str">
        <x:v>Commission decision or recommendation</x:v>
      </x:c>
      <x:c r="N435" s="51" t="str">
        <x:v>Professional planning analysis is converted into quasi-legislative development permission</x:v>
      </x:c>
      <x:c r="O435" s="51" t="str">
        <x:v>Institutional; informational; material</x:v>
      </x:c>
      <x:c r="P435" s="51" t="str">
        <x:v>S1</x:v>
      </x:c>
      <x:c r="Q435" s="51" t="str">
        <x:v>High</x:v>
      </x:c>
      <x:c r="R435" s="51" t="str">
        <x:v>SRC-289; SRC-290</x:v>
      </x:c>
      <x:c r="S435" s="51" t="str">
        <x:v>Planning commissions review defined applications and special permits.</x:v>
      </x:c>
      <x:c r="T435" s="51" t="str">
        <x:v>Automatic approval or authority over every building permit.</x:v>
      </x:c>
      <x:c r="U435" s="51" t="str">
        <x:v>Legislatures, appeals bodies and building departments have separate roles.</x:v>
      </x:c>
      <x:c r="V435" s="51" t="str">
        <x:v>Active</x:v>
      </x:c>
      <x:c r="W435" s="51" t="str">
        <x:v>22;57</x:v>
      </x:c>
      <x:c r="X435" s="51" t="str">
        <x:v>2026-07-27</x:v>
      </x:c>
    </x:row>
    <x:row r="436">
      <x:c r="A436" s="51" t="str">
        <x:v>LAND-003</x:v>
      </x:c>
      <x:c r="B436" s="51" t="str">
        <x:v>Land records, zoning and development rights</x:v>
      </x:c>
      <x:c r="C436" s="51" t="str">
        <x:v>ACT-NEWYORKCITYZONINGRESOLUT</x:v>
      </x:c>
      <x:c r="D436" s="51" t="str">
        <x:v>New York City Zoning Resolution</x:v>
      </x:c>
      <x:c r="E436" s="51" t="str">
        <x:v>ACT-PROPERTYOWNERSANDDEVELOP</x:v>
      </x:c>
      <x:c r="F436" s="51" t="str">
        <x:v>Property owners and developers</x:v>
      </x:c>
      <x:c r="G436" s="51" t="str">
        <x:v>Code → landowners</x:v>
      </x:c>
      <x:c r="H436" s="51" t="str">
        <x:v>Ongoing</x:v>
      </x:c>
      <x:c r="I436" s="51" t="str">
        <x:v>Use, bulk and density controls</x:v>
      </x:c>
      <x:c r="J436" s="51" t="str">
        <x:v>INS-158</x:v>
      </x:c>
      <x:c r="K436" s="51" t="str">
        <x:v>Parcel-specific</x:v>
      </x:c>
      <x:c r="L436" s="51" t="str">
        <x:v>Parcel location, zoning district and proposed use</x:v>
      </x:c>
      <x:c r="M436" s="51" t="str">
        <x:v>Permitted development envelope</x:v>
      </x:c>
      <x:c r="N436" s="51" t="str">
        <x:v>Zoning converts land ownership into a bounded bundle of possible uses rather than an unlimited right</x:v>
      </x:c>
      <x:c r="O436" s="51" t="str">
        <x:v>Ownership; institutional; material</x:v>
      </x:c>
      <x:c r="P436" s="51" t="str">
        <x:v>E1</x:v>
      </x:c>
      <x:c r="Q436" s="51" t="str">
        <x:v>Very high</x:v>
      </x:c>
      <x:c r="R436" s="51" t="str">
        <x:v>SRC-289; SRC-290; SRC-291</x:v>
      </x:c>
      <x:c r="S436" s="51" t="str">
        <x:v>NYC zoning defines allowed use, floor area and special-permit procedures.</x:v>
      </x:c>
      <x:c r="T436" s="51" t="str">
        <x:v>A universal model for all US cities.</x:v>
      </x:c>
      <x:c r="U436" s="51" t="str">
        <x:v>NYC is a high-capacity example with city-specific rules.</x:v>
      </x:c>
      <x:c r="V436" s="51" t="str">
        <x:v>Active</x:v>
      </x:c>
      <x:c r="W436" s="51" t="str">
        <x:v>22;57</x:v>
      </x:c>
      <x:c r="X436" s="51" t="str">
        <x:v>2026-07-27</x:v>
      </x:c>
    </x:row>
    <x:row r="437">
      <x:c r="A437" s="51" t="str">
        <x:v>LAND-004</x:v>
      </x:c>
      <x:c r="B437" s="51" t="str">
        <x:v>Land records, zoning and development rights</x:v>
      </x:c>
      <x:c r="C437" s="51" t="str">
        <x:v>ACT-PROPERTYOWNERSANDDEVELOP</x:v>
      </x:c>
      <x:c r="D437" s="51" t="str">
        <x:v>Property owners and developers</x:v>
      </x:c>
      <x:c r="E437" s="51" t="str">
        <x:v>ACT-NEWYORKCITYCITYPLANNINGC</x:v>
      </x:c>
      <x:c r="F437" s="51" t="str">
        <x:v>New York City City Planning Commission</x:v>
      </x:c>
      <x:c r="G437" s="51" t="str">
        <x:v>Applicant → commission</x:v>
      </x:c>
      <x:c r="H437" s="51" t="str">
        <x:v>Project-specific</x:v>
      </x:c>
      <x:c r="I437" s="51" t="str">
        <x:v>Special-permit application</x:v>
      </x:c>
      <x:c r="J437" s="51" t="str">
        <x:v>INS-159</x:v>
      </x:c>
      <x:c r="K437" s="51" t="str">
        <x:v>Project-specific</x:v>
      </x:c>
      <x:c r="L437" s="51" t="str">
        <x:v>Development proposal and required findings</x:v>
      </x:c>
      <x:c r="M437" s="51" t="str">
        <x:v>Permission, conditions or denial</x:v>
      </x:c>
      <x:c r="N437" s="51" t="str">
        <x:v>A landowner exchanges disclosure, hearings and findings for discretionary development rights</x:v>
      </x:c>
      <x:c r="O437" s="51" t="str">
        <x:v>Material; institutional; relational</x:v>
      </x:c>
      <x:c r="P437" s="51" t="str">
        <x:v>E1</x:v>
      </x:c>
      <x:c r="Q437" s="51" t="str">
        <x:v>Very high</x:v>
      </x:c>
      <x:c r="R437" s="51" t="str">
        <x:v>SRC-290</x:v>
      </x:c>
      <x:c r="S437" s="51" t="str">
        <x:v>The Commission may grant defined special permits after notice, hearing and findings.</x:v>
      </x:c>
      <x:c r="T437" s="51" t="str">
        <x:v>Political corruption or approval of all applications.</x:v>
      </x:c>
      <x:c r="U437" s="51" t="str">
        <x:v>Public process and legal standards constrain discretion.</x:v>
      </x:c>
      <x:c r="V437" s="51" t="str">
        <x:v>Application-specific</x:v>
      </x:c>
      <x:c r="W437" s="51" t="str">
        <x:v>22;57</x:v>
      </x:c>
      <x:c r="X437" s="51" t="str">
        <x:v>2026-07-27</x:v>
      </x:c>
    </x:row>
    <x:row r="438">
      <x:c r="A438" s="51" t="str">
        <x:v>LAND-005</x:v>
      </x:c>
      <x:c r="B438" s="51" t="str">
        <x:v>Land records, zoning and development rights</x:v>
      </x:c>
      <x:c r="C438" s="51" t="str">
        <x:v>ACT-NEWYORKCITYCITYPLANNINGC</x:v>
      </x:c>
      <x:c r="D438" s="51" t="str">
        <x:v>New York City City Planning Commission</x:v>
      </x:c>
      <x:c r="E438" s="51" t="str">
        <x:v>ACT-PROPERTYOWNERSANDDEVELOP</x:v>
      </x:c>
      <x:c r="F438" s="51" t="str">
        <x:v>Property owners and developers</x:v>
      </x:c>
      <x:c r="G438" s="51" t="str">
        <x:v>Commission → applicant</x:v>
      </x:c>
      <x:c r="H438" s="51" t="str">
        <x:v>Project-specific</x:v>
      </x:c>
      <x:c r="I438" s="51" t="str">
        <x:v>Special permit or modification</x:v>
      </x:c>
      <x:c r="J438" s="51" t="str">
        <x:v>INS-159</x:v>
      </x:c>
      <x:c r="K438" s="51" t="str">
        <x:v>Project-specific</x:v>
      </x:c>
      <x:c r="L438" s="51" t="str">
        <x:v>Planning findings and public record</x:v>
      </x:c>
      <x:c r="M438" s="51" t="str">
        <x:v>Expanded or modified use and bulk rights</x:v>
      </x:c>
      <x:c r="N438" s="51" t="str">
        <x:v>Administrative permission can increase land value without transferring title</x:v>
      </x:c>
      <x:c r="O438" s="51" t="str">
        <x:v>Material; financial; institutional</x:v>
      </x:c>
      <x:c r="P438" s="51" t="str">
        <x:v>S1</x:v>
      </x:c>
      <x:c r="Q438" s="51" t="str">
        <x:v>High</x:v>
      </x:c>
      <x:c r="R438" s="51" t="str">
        <x:v>SRC-290</x:v>
      </x:c>
      <x:c r="S438" s="51" t="str">
        <x:v>A granted special permit changes the lawful development envelope.</x:v>
      </x:c>
      <x:c r="T438" s="51" t="str">
        <x:v>Guaranteed profitability or construction completion.</x:v>
      </x:c>
      <x:c r="U438" s="51" t="str">
        <x:v>Financing, building permits and market demand remain separate.</x:v>
      </x:c>
      <x:c r="V438" s="51" t="str">
        <x:v>Application-specific</x:v>
      </x:c>
      <x:c r="W438" s="51" t="str">
        <x:v>22;57</x:v>
      </x:c>
      <x:c r="X438" s="51" t="str">
        <x:v>2026-07-27</x:v>
      </x:c>
    </x:row>
    <x:row r="439">
      <x:c r="A439" s="51" t="str">
        <x:v>LAND-006</x:v>
      </x:c>
      <x:c r="B439" s="51" t="str">
        <x:v>Land records, zoning and development rights</x:v>
      </x:c>
      <x:c r="C439" s="51" t="str">
        <x:v>ACT-TRANSFERABLEDEVELOPMENTR</x:v>
      </x:c>
      <x:c r="D439" s="51" t="str">
        <x:v>Transferable development rights</x:v>
      </x:c>
      <x:c r="E439" s="51" t="str">
        <x:v>ACT-PROPERTYOWNERSANDDEVELOP</x:v>
      </x:c>
      <x:c r="F439" s="51" t="str">
        <x:v>Property owners and developers</x:v>
      </x:c>
      <x:c r="G439" s="51" t="str">
        <x:v>Entitlement → owners</x:v>
      </x:c>
      <x:c r="H439" s="51" t="str">
        <x:v>Defined districts and transactions</x:v>
      </x:c>
      <x:c r="I439" s="51" t="str">
        <x:v>Development-right transfer</x:v>
      </x:c>
      <x:c r="J439" s="51" t="str">
        <x:v>INS-160</x:v>
      </x:c>
      <x:c r="K439" s="51" t="str">
        <x:v>Floor-area specific</x:v>
      </x:c>
      <x:c r="L439" s="51" t="str">
        <x:v>Unused development capacity on granting site</x:v>
      </x:c>
      <x:c r="M439" s="51" t="str">
        <x:v>Additional buildable floor area on receiving site</x:v>
      </x:c>
      <x:c r="N439" s="51" t="str">
        <x:v>Zoning turns an abstract regulatory permission into a transferable economic asset</x:v>
      </x:c>
      <x:c r="O439" s="51" t="str">
        <x:v>Ownership; material; financial</x:v>
      </x:c>
      <x:c r="P439" s="51" t="str">
        <x:v>E1</x:v>
      </x:c>
      <x:c r="Q439" s="51" t="str">
        <x:v>High</x:v>
      </x:c>
      <x:c r="R439" s="51" t="str">
        <x:v>SRC-291</x:v>
      </x:c>
      <x:c r="S439" s="51" t="str">
        <x:v>NYC rules allow defined transfers of development rights from qualifying sites.</x:v>
      </x:c>
      <x:c r="T439" s="51" t="str">
        <x:v>A freely tradeable citywide market or severability in all jurisdictions.</x:v>
      </x:c>
      <x:c r="U439" s="51" t="str">
        <x:v>Transfers require statutory conditions and approvals.</x:v>
      </x:c>
      <x:c r="V439" s="51" t="str">
        <x:v>Active in defined districts</x:v>
      </x:c>
      <x:c r="W439" s="51" t="str">
        <x:v>22;57</x:v>
      </x:c>
      <x:c r="X439" s="51" t="str">
        <x:v>2026-07-27</x:v>
      </x:c>
    </x:row>
    <x:row r="440">
      <x:c r="A440" s="51" t="str">
        <x:v>LAND-007</x:v>
      </x:c>
      <x:c r="B440" s="51" t="str">
        <x:v>Land records, zoning and development rights</x:v>
      </x:c>
      <x:c r="C440" s="51" t="str">
        <x:v>ACT-BUILDINGDEPARTMENTS</x:v>
      </x:c>
      <x:c r="D440" s="51" t="str">
        <x:v>Building departments</x:v>
      </x:c>
      <x:c r="E440" s="51" t="str">
        <x:v>ACT-PROPERTYOWNERSANDDEVELOP</x:v>
      </x:c>
      <x:c r="F440" s="51" t="str">
        <x:v>Property owners and developers</x:v>
      </x:c>
      <x:c r="G440" s="51" t="str">
        <x:v>Permit authority → applicant</x:v>
      </x:c>
      <x:c r="H440" s="51" t="str">
        <x:v>Construction stage</x:v>
      </x:c>
      <x:c r="I440" s="51" t="str">
        <x:v>Building permit and code enforcement</x:v>
      </x:c>
      <x:c r="J440" s="51" t="str">
        <x:v>INS-158</x:v>
      </x:c>
      <x:c r="K440" s="51" t="str">
        <x:v>Project-specific</x:v>
      </x:c>
      <x:c r="L440" s="51" t="str">
        <x:v>Approved plans, fees and code compliance</x:v>
      </x:c>
      <x:c r="M440" s="51" t="str">
        <x:v>Legal authority to construct</x:v>
      </x:c>
      <x:c r="N440" s="51" t="str">
        <x:v>Even valuable land and zoning rights remain unusable until technical permit requirements are satisfied</x:v>
      </x:c>
      <x:c r="O440" s="51" t="str">
        <x:v>Institutional; material; enforcement</x:v>
      </x:c>
      <x:c r="P440" s="51" t="str">
        <x:v>S1</x:v>
      </x:c>
      <x:c r="Q440" s="51" t="str">
        <x:v>High</x:v>
      </x:c>
      <x:c r="R440" s="51" t="str">
        <x:v>SRC-289</x:v>
      </x:c>
      <x:c r="S440" s="51" t="str">
        <x:v>Building permits are required for covered construction.</x:v>
      </x:c>
      <x:c r="T440" s="51" t="str">
        <x:v>Approval of financing, zoning changes or final occupancy.</x:v>
      </x:c>
      <x:c r="U440" s="51" t="str">
        <x:v>Separate permits and inspections can apply.</x:v>
      </x:c>
      <x:c r="V440" s="51" t="str">
        <x:v>Active</x:v>
      </x:c>
      <x:c r="W440" s="51" t="str">
        <x:v>22;57</x:v>
      </x:c>
      <x:c r="X440" s="51" t="str">
        <x:v>2026-07-27</x:v>
      </x:c>
    </x:row>
    <x:row r="441">
      <x:c r="A441" s="51" t="str">
        <x:v>LAND-008</x:v>
      </x:c>
      <x:c r="B441" s="51" t="str">
        <x:v>Land records, zoning and development rights</x:v>
      </x:c>
      <x:c r="C441" s="51" t="str">
        <x:v>ACT-RESIDENTSANDCOMMUNITYBOA</x:v>
      </x:c>
      <x:c r="D441" s="51" t="str">
        <x:v>Residents and community boards</x:v>
      </x:c>
      <x:c r="E441" s="51" t="str">
        <x:v>ACT-CITYPLANNINGCOMMISSIONS</x:v>
      </x:c>
      <x:c r="F441" s="51" t="str">
        <x:v>City planning commissions</x:v>
      </x:c>
      <x:c r="G441" s="51" t="str">
        <x:v>Public stakeholders → commission</x:v>
      </x:c>
      <x:c r="H441" s="51" t="str">
        <x:v>Application-specific</x:v>
      </x:c>
      <x:c r="I441" s="51" t="str">
        <x:v>Hearing, comment and political participation</x:v>
      </x:c>
      <x:c r="J441" s="51" t="str">
        <x:v>INS-159</x:v>
      </x:c>
      <x:c r="K441" s="51" t="str">
        <x:v>Project-specific</x:v>
      </x:c>
      <x:c r="L441" s="51" t="str">
        <x:v>Local knowledge, support and objections</x:v>
      </x:c>
      <x:c r="M441" s="51" t="str">
        <x:v>Public record and political pressure</x:v>
      </x:c>
      <x:c r="N441" s="51" t="str">
        <x:v>Participation can alter conditions and legitimacy without granting residents a formal ownership right in the parcel</x:v>
      </x:c>
      <x:c r="O441" s="51" t="str">
        <x:v>Relational; narrative; institutional</x:v>
      </x:c>
      <x:c r="P441" s="51" t="str">
        <x:v>S1</x:v>
      </x:c>
      <x:c r="Q441" s="51" t="str">
        <x:v>Moderate</x:v>
      </x:c>
      <x:c r="R441" s="51" t="str">
        <x:v>SRC-290</x:v>
      </x:c>
      <x:c r="S441" s="51" t="str">
        <x:v>Special-permit processes include notice and hearing.</x:v>
      </x:c>
      <x:c r="T441" s="51" t="str">
        <x:v>A resident veto or equal influence among participants.</x:v>
      </x:c>
      <x:c r="U441" s="51" t="str">
        <x:v>Procedural rights and political weight vary.</x:v>
      </x:c>
      <x:c r="V441" s="51" t="str">
        <x:v>Application-specific</x:v>
      </x:c>
      <x:c r="W441" s="51" t="str">
        <x:v>22;57</x:v>
      </x:c>
      <x:c r="X441" s="51" t="str">
        <x:v>2026-07-27</x:v>
      </x:c>
    </x:row>
    <x:row r="442">
      <x:c r="A442" s="51" t="str">
        <x:v>LAW-001</x:v>
      </x:c>
      <x:c r="B442" s="51" t="str">
        <x:v>Corporate law and governance</x:v>
      </x:c>
      <x:c r="C442" s="51" t="str">
        <x:v>ACT-DELAWAREDIVISIONOFCORPOR</x:v>
      </x:c>
      <x:c r="D442" s="51" t="str">
        <x:v>Delaware Division of Corporations</x:v>
      </x:c>
      <x:c r="E442" s="51" t="str">
        <x:v>ACT-DELAWARECORPORATIONSANDA</x:v>
      </x:c>
      <x:c r="F442" s="51" t="str">
        <x:v>Delaware corporations and alternative entities</x:v>
      </x:c>
      <x:c r="G442" s="51" t="str">
        <x:v>Registry → entities</x:v>
      </x:c>
      <x:c r="H442" s="51" t="str">
        <x:v>Ongoing</x:v>
      </x:c>
      <x:c r="I442" s="51" t="str">
        <x:v>Formation, filing and maintenance</x:v>
      </x:c>
      <x:c r="J442" s="51" t="str">
        <x:v>INS-114</x:v>
      </x:c>
      <x:c r="K442" s="51" t="str">
        <x:v>2,287,728 entities at end-2025</x:v>
      </x:c>
      <x:c r="L442" s="51" t="str">
        <x:v>Formation documents, fees and legal choices</x:v>
      </x:c>
      <x:c r="M442" s="51" t="str">
        <x:v>Recognised legal entity and public filing record</x:v>
      </x:c>
      <x:c r="N442" s="51" t="str">
        <x:v>Administrative filing converts private organisational intent into a state-recognised legal person</x:v>
      </x:c>
      <x:c r="O442" s="51" t="str">
        <x:v>Institutional; ownership; financial</x:v>
      </x:c>
      <x:c r="P442" s="51" t="str">
        <x:v>E1</x:v>
      </x:c>
      <x:c r="Q442" s="51" t="str">
        <x:v>Very high</x:v>
      </x:c>
      <x:c r="R442" s="51" t="str">
        <x:v>SRC-221</x:v>
      </x:c>
      <x:c r="S442" s="51" t="str">
        <x:v>Delaware reported more than 2.28 million active entities and 334,461 formations in 2025.</x:v>
      </x:c>
      <x:c r="T442" s="51" t="str">
        <x:v>Economic substance, beneficial ownership or lawful conduct of every entity.</x:v>
      </x:c>
      <x:c r="U442" s="51" t="str">
        <x:v>Formation is administrative recognition, not substantive approval of business activity.</x:v>
      </x:c>
      <x:c r="V442" s="51" t="str">
        <x:v>Active</x:v>
      </x:c>
      <x:c r="W442" s="51" t="str">
        <x:v>55;57</x:v>
      </x:c>
      <x:c r="X442" s="51" t="str">
        <x:v>2026-07-27</x:v>
      </x:c>
    </x:row>
    <x:row r="443">
      <x:c r="A443" s="51" t="str">
        <x:v>LAW-002</x:v>
      </x:c>
      <x:c r="B443" s="51" t="str">
        <x:v>Corporate law and governance</x:v>
      </x:c>
      <x:c r="C443" s="51" t="str">
        <x:v>ACT-DELAWAREGENERALCORPORATI</x:v>
      </x:c>
      <x:c r="D443" s="51" t="str">
        <x:v>Delaware General Corporation Law</x:v>
      </x:c>
      <x:c r="E443" s="51" t="str">
        <x:v>ACT-CORPORATEBOARDSOFDIRECTO</x:v>
      </x:c>
      <x:c r="F443" s="51" t="str">
        <x:v>Corporate boards of directors</x:v>
      </x:c>
      <x:c r="G443" s="51" t="str">
        <x:v>Legal framework → boards</x:v>
      </x:c>
      <x:c r="H443" s="51" t="str">
        <x:v>Ongoing</x:v>
      </x:c>
      <x:c r="I443" s="51" t="str">
        <x:v>Delegation of management authority</x:v>
      </x:c>
      <x:c r="J443" s="51" t="str">
        <x:v>INS-115</x:v>
      </x:c>
      <x:c r="K443" s="51" t="str">
        <x:v>System-wide</x:v>
      </x:c>
      <x:c r="L443" s="51" t="str">
        <x:v>Corporate charter, statute and election</x:v>
      </x:c>
      <x:c r="M443" s="51" t="str">
        <x:v>Authority to manage business and affairs</x:v>
      </x:c>
      <x:c r="N443" s="51" t="str">
        <x:v>Corporate law converts investor capital into delegated board authority rather than direct daily shareholder control</x:v>
      </x:c>
      <x:c r="O443" s="51" t="str">
        <x:v>Institutional; ownership; governance</x:v>
      </x:c>
      <x:c r="P443" s="51" t="str">
        <x:v>E1</x:v>
      </x:c>
      <x:c r="Q443" s="51" t="str">
        <x:v>Very high</x:v>
      </x:c>
      <x:c r="R443" s="51" t="str">
        <x:v>SRC-222</x:v>
      </x:c>
      <x:c r="S443" s="51" t="str">
        <x:v>DGCL assigns broad management authority to boards subject to law and governing documents.</x:v>
      </x:c>
      <x:c r="T443" s="51" t="str">
        <x:v>Unlimited discretion, immunity from fiduciary duties or direct ownership of corporate assets by directors.</x:v>
      </x:c>
      <x:c r="U443" s="51" t="str">
        <x:v>Charters, bylaws, contracts and judicial review constrain authority.</x:v>
      </x:c>
      <x:c r="V443" s="51" t="str">
        <x:v>Active</x:v>
      </x:c>
      <x:c r="W443" s="51" t="str">
        <x:v>55;57</x:v>
      </x:c>
      <x:c r="X443" s="51" t="str">
        <x:v>2026-07-27</x:v>
      </x:c>
    </x:row>
    <x:row r="444">
      <x:c r="A444" s="51" t="str">
        <x:v>LAW-003</x:v>
      </x:c>
      <x:c r="B444" s="51" t="str">
        <x:v>Corporate law and governance</x:v>
      </x:c>
      <x:c r="C444" s="51" t="str">
        <x:v>ACT-CORPORATESTOCKHOLDERS</x:v>
      </x:c>
      <x:c r="D444" s="51" t="str">
        <x:v>Corporate stockholders</x:v>
      </x:c>
      <x:c r="E444" s="51" t="str">
        <x:v>ACT-CORPORATEBOARDSOFDIRECTO</x:v>
      </x:c>
      <x:c r="F444" s="51" t="str">
        <x:v>Corporate boards of directors</x:v>
      </x:c>
      <x:c r="G444" s="51" t="str">
        <x:v>Stockholders → boards</x:v>
      </x:c>
      <x:c r="H444" s="51" t="str">
        <x:v>Ongoing</x:v>
      </x:c>
      <x:c r="I444" s="51" t="str">
        <x:v>Election and removal rights</x:v>
      </x:c>
      <x:c r="J444" s="51" t="str">
        <x:v>INS-115</x:v>
      </x:c>
      <x:c r="K444" s="51" t="str">
        <x:v>Company-specific</x:v>
      </x:c>
      <x:c r="L444" s="51" t="str">
        <x:v>Voting rights attached to shares</x:v>
      </x:c>
      <x:c r="M444" s="51" t="str">
        <x:v>Board composition and accountability</x:v>
      </x:c>
      <x:c r="N444" s="51" t="str">
        <x:v>Periodic voting converts dispersed economic ownership into delegated managerial selection</x:v>
      </x:c>
      <x:c r="O444" s="51" t="str">
        <x:v>Ownership; relational; institutional</x:v>
      </x:c>
      <x:c r="P444" s="51" t="str">
        <x:v>E1</x:v>
      </x:c>
      <x:c r="Q444" s="51" t="str">
        <x:v>High</x:v>
      </x:c>
      <x:c r="R444" s="51" t="str">
        <x:v>SRC-222</x:v>
      </x:c>
      <x:c r="S444" s="51" t="str">
        <x:v>Stockholders hold voting rights defined by law, charter and share class.</x:v>
      </x:c>
      <x:c r="T444" s="51" t="str">
        <x:v>Direct control of daily operations or equal voting power across all securities.</x:v>
      </x:c>
      <x:c r="U444" s="51" t="str">
        <x:v>Dual-class structures, intermediated ownership and turnout affect practical control.</x:v>
      </x:c>
      <x:c r="V444" s="51" t="str">
        <x:v>Active</x:v>
      </x:c>
      <x:c r="W444" s="51" t="str">
        <x:v>55;57</x:v>
      </x:c>
      <x:c r="X444" s="51" t="str">
        <x:v>2026-07-27</x:v>
      </x:c>
    </x:row>
    <x:row r="445">
      <x:c r="A445" s="51" t="str">
        <x:v>LAW-004</x:v>
      </x:c>
      <x:c r="B445" s="51" t="str">
        <x:v>Corporate law and governance</x:v>
      </x:c>
      <x:c r="C445" s="51" t="str">
        <x:v>ACT-DELAWARECOURTOFCHANCERY</x:v>
      </x:c>
      <x:c r="D445" s="51" t="str">
        <x:v>Delaware Court of Chancery</x:v>
      </x:c>
      <x:c r="E445" s="51" t="str">
        <x:v>ACT-DELAWARECORPORATIONSANDA</x:v>
      </x:c>
      <x:c r="F445" s="51" t="str">
        <x:v>Delaware corporations and alternative entities</x:v>
      </x:c>
      <x:c r="G445" s="51" t="str">
        <x:v>Court → entities</x:v>
      </x:c>
      <x:c r="H445" s="51" t="str">
        <x:v>Ongoing</x:v>
      </x:c>
      <x:c r="I445" s="51" t="str">
        <x:v>Equitable and internal-affairs jurisdiction</x:v>
      </x:c>
      <x:c r="J445" s="51" t="str">
        <x:v>INS-114</x:v>
      </x:c>
      <x:c r="K445" s="51" t="str">
        <x:v>Major corporate caseload</x:v>
      </x:c>
      <x:c r="L445" s="51" t="str">
        <x:v>Fiduciary, merger and governance disputes</x:v>
      </x:c>
      <x:c r="M445" s="51" t="str">
        <x:v>Orders, injunctions, damages or transaction review</x:v>
      </x:c>
      <x:c r="N445" s="51" t="str">
        <x:v>A specialised court converts open-textured fiduciary standards into enforceable limits on corporate power</x:v>
      </x:c>
      <x:c r="O445" s="51" t="str">
        <x:v>Institutional; enforcement; ownership</x:v>
      </x:c>
      <x:c r="P445" s="51" t="str">
        <x:v>E1</x:v>
      </x:c>
      <x:c r="Q445" s="51" t="str">
        <x:v>Very high</x:v>
      </x:c>
      <x:c r="R445" s="51" t="str">
        <x:v>SRC-223; SRC-224</x:v>
      </x:c>
      <x:c r="S445" s="51" t="str">
        <x:v>The Court of Chancery is a principal forum for internal-affairs disputes involving Delaware entities.</x:v>
      </x:c>
      <x:c r="T445" s="51" t="str">
        <x:v>Guaranteed investor victory, absence of litigation cost or universal jurisdiction over all business disputes.</x:v>
      </x:c>
      <x:c r="U445" s="51" t="str">
        <x:v>Appeals proceed to the Delaware Supreme Court and many disputes settle.</x:v>
      </x:c>
      <x:c r="V445" s="51" t="str">
        <x:v>Active</x:v>
      </x:c>
      <x:c r="W445" s="51" t="str">
        <x:v>55;57</x:v>
      </x:c>
      <x:c r="X445" s="51" t="str">
        <x:v>2026-07-27</x:v>
      </x:c>
    </x:row>
    <x:row r="446">
      <x:c r="A446" s="51" t="str">
        <x:v>LAW-005</x:v>
      </x:c>
      <x:c r="B446" s="51" t="str">
        <x:v>Corporate law and governance</x:v>
      </x:c>
      <x:c r="C446" s="51" t="str">
        <x:v>ACT-DELAWARESUPREMECOURT</x:v>
      </x:c>
      <x:c r="D446" s="51" t="str">
        <x:v>Delaware Supreme Court</x:v>
      </x:c>
      <x:c r="E446" s="51" t="str">
        <x:v>ACT-DELAWARECOURTOFCHANCERY</x:v>
      </x:c>
      <x:c r="F446" s="51" t="str">
        <x:v>Delaware Court of Chancery</x:v>
      </x:c>
      <x:c r="G446" s="51" t="str">
        <x:v>Appellate court → trial court</x:v>
      </x:c>
      <x:c r="H446" s="51" t="str">
        <x:v>Ongoing</x:v>
      </x:c>
      <x:c r="I446" s="51" t="str">
        <x:v>Direct appellate review</x:v>
      </x:c>
      <x:c r="J446" s="51" t="str">
        <x:v>INS-114</x:v>
      </x:c>
      <x:c r="K446" s="51" t="str">
        <x:v>State corporate-law system</x:v>
      </x:c>
      <x:c r="L446" s="51" t="str">
        <x:v>Chancery decisions and legal arguments</x:v>
      </x:c>
      <x:c r="M446" s="51" t="str">
        <x:v>Final state precedent and remand instructions</x:v>
      </x:c>
      <x:c r="N446" s="51" t="str">
        <x:v>Appellate review converts individual disputes into binding corporate-law doctrine</x:v>
      </x:c>
      <x:c r="O446" s="51" t="str">
        <x:v>Institutional; enforcement; informational</x:v>
      </x:c>
      <x:c r="P446" s="51" t="str">
        <x:v>E1</x:v>
      </x:c>
      <x:c r="Q446" s="51" t="str">
        <x:v>Very high</x:v>
      </x:c>
      <x:c r="R446" s="51" t="str">
        <x:v>SRC-221; SRC-224</x:v>
      </x:c>
      <x:c r="S446" s="51" t="str">
        <x:v>Delaware describes direct appeals from Chancery to its Supreme Court.</x:v>
      </x:c>
      <x:c r="T446" s="51" t="str">
        <x:v>Uniform outcomes or absence of judicial discretion.</x:v>
      </x:c>
      <x:c r="U446" s="51" t="str">
        <x:v>Federal law and other jurisdictions remain separate.</x:v>
      </x:c>
      <x:c r="V446" s="51" t="str">
        <x:v>Active</x:v>
      </x:c>
      <x:c r="W446" s="51" t="str">
        <x:v>55;57</x:v>
      </x:c>
      <x:c r="X446" s="51" t="str">
        <x:v>2026-07-27</x:v>
      </x:c>
    </x:row>
    <x:row r="447">
      <x:c r="A447" s="51" t="str">
        <x:v>LAW-006</x:v>
      </x:c>
      <x:c r="B447" s="51" t="str">
        <x:v>Corporate law and governance</x:v>
      </x:c>
      <x:c r="C447" s="51" t="str">
        <x:v>ACT-GLASSLEWIS</x:v>
      </x:c>
      <x:c r="D447" s="51" t="str">
        <x:v>Glass Lewis</x:v>
      </x:c>
      <x:c r="E447" s="51" t="str">
        <x:v>ACT-INVESTMENTADVISERSWITHPR</x:v>
      </x:c>
      <x:c r="F447" s="51" t="str">
        <x:v>Investment advisers with proxy authority</x:v>
      </x:c>
      <x:c r="G447" s="51" t="str">
        <x:v>Advisor → fiduciary intermediaries</x:v>
      </x:c>
      <x:c r="H447" s="51" t="str">
        <x:v>2026</x:v>
      </x:c>
      <x:c r="I447" s="51" t="str">
        <x:v>Proxy research and benchmark recommendations</x:v>
      </x:c>
      <x:c r="J447" s="51" t="str">
        <x:v>INS-116</x:v>
      </x:c>
      <x:c r="K447" s="51" t="str">
        <x:v>Market-wide</x:v>
      </x:c>
      <x:c r="L447" s="51" t="str">
        <x:v>Issuer filings, governance data and policy guidelines</x:v>
      </x:c>
      <x:c r="M447" s="51" t="str">
        <x:v>Voting recommendations and analysis</x:v>
      </x:c>
      <x:c r="N447" s="51" t="str">
        <x:v>Proxy advisers compress complex ballot information into reusable recommendations for institutions</x:v>
      </x:c>
      <x:c r="O447" s="51" t="str">
        <x:v>Informational; relational; governance</x:v>
      </x:c>
      <x:c r="P447" s="51" t="str">
        <x:v>E1</x:v>
      </x:c>
      <x:c r="Q447" s="51" t="str">
        <x:v>Very high</x:v>
      </x:c>
      <x:c r="R447" s="51" t="str">
        <x:v>SRC-225</x:v>
      </x:c>
      <x:c r="S447" s="51" t="str">
        <x:v>Glass Lewis publishes benchmark proxy voting policies and company-specific research.</x:v>
      </x:c>
      <x:c r="T447" s="51" t="str">
        <x:v>Automatic voting by every client, ownership of shares or legal delegation of final voting authority.</x:v>
      </x:c>
      <x:c r="U447" s="51" t="str">
        <x:v>Clients can adopt custom policies or reject recommendations.</x:v>
      </x:c>
      <x:c r="V447" s="51" t="str">
        <x:v>Active</x:v>
      </x:c>
      <x:c r="W447" s="51" t="str">
        <x:v>55;57</x:v>
      </x:c>
      <x:c r="X447" s="51" t="str">
        <x:v>2026-07-27</x:v>
      </x:c>
    </x:row>
    <x:row r="448">
      <x:c r="A448" s="51" t="str">
        <x:v>LAW-007</x:v>
      </x:c>
      <x:c r="B448" s="51" t="str">
        <x:v>Corporate law and governance</x:v>
      </x:c>
      <x:c r="C448" s="51" t="str">
        <x:v>ACT-INSTITUTIONALSHAREHOLDER</x:v>
      </x:c>
      <x:c r="D448" s="51" t="str">
        <x:v>Institutional Shareholder Services</x:v>
      </x:c>
      <x:c r="E448" s="51" t="str">
        <x:v>ACT-INVESTMENTADVISERSWITHPR</x:v>
      </x:c>
      <x:c r="F448" s="51" t="str">
        <x:v>Investment advisers with proxy authority</x:v>
      </x:c>
      <x:c r="G448" s="51" t="str">
        <x:v>Advisor → fiduciary intermediaries</x:v>
      </x:c>
      <x:c r="H448" s="51" t="str">
        <x:v>Ongoing</x:v>
      </x:c>
      <x:c r="I448" s="51" t="str">
        <x:v>Proxy research and voting infrastructure</x:v>
      </x:c>
      <x:c r="J448" s="51" t="str"/>
      <x:c r="K448" s="51" t="str">
        <x:v>Global proxy market</x:v>
      </x:c>
      <x:c r="L448" s="51" t="str">
        <x:v>Governance research, data and client policies</x:v>
      </x:c>
      <x:c r="M448" s="51" t="str">
        <x:v>Recommendations and operational voting support</x:v>
      </x:c>
      <x:c r="N448" s="51" t="str">
        <x:v>A governance intermediary can influence dispersed voting by becoming embedded in institutional workflows</x:v>
      </x:c>
      <x:c r="O448" s="51" t="str">
        <x:v>Informational; relational; governance</x:v>
      </x:c>
      <x:c r="P448" s="51" t="str">
        <x:v>E2</x:v>
      </x:c>
      <x:c r="Q448" s="51" t="str">
        <x:v>High</x:v>
      </x:c>
      <x:c r="R448" s="51" t="str">
        <x:v>SRC-227</x:v>
      </x:c>
      <x:c r="S448" s="51" t="str">
        <x:v>SEC materials recognise proxy voting advice businesses as important market intermediaries.</x:v>
      </x:c>
      <x:c r="T448" s="51" t="str">
        <x:v>Control of client votes or identical policy across all clients.</x:v>
      </x:c>
      <x:c r="U448" s="51" t="str">
        <x:v>Exact 2026 ISS policies and client-level reliance require separate records.</x:v>
      </x:c>
      <x:c r="V448" s="51" t="str">
        <x:v>Active / policy extraction needed</x:v>
      </x:c>
      <x:c r="W448" s="51" t="str">
        <x:v>55;57</x:v>
      </x:c>
      <x:c r="X448" s="51" t="str">
        <x:v>2026-07-27</x:v>
      </x:c>
    </x:row>
    <x:row r="449">
      <x:c r="A449" s="51" t="str">
        <x:v>LAW-008</x:v>
      </x:c>
      <x:c r="B449" s="51" t="str">
        <x:v>Corporate law and governance</x:v>
      </x:c>
      <x:c r="C449" s="51" t="str">
        <x:v>ACT-SEC</x:v>
      </x:c>
      <x:c r="D449" s="51" t="str">
        <x:v>SEC</x:v>
      </x:c>
      <x:c r="E449" s="51" t="str">
        <x:v>ACT-INVESTMENTADVISERSWITHPR</x:v>
      </x:c>
      <x:c r="F449" s="51" t="str">
        <x:v>Investment advisers with proxy authority</x:v>
      </x:c>
      <x:c r="G449" s="51" t="str">
        <x:v>Regulator → advisers</x:v>
      </x:c>
      <x:c r="H449" s="51" t="str">
        <x:v>Ongoing</x:v>
      </x:c>
      <x:c r="I449" s="51" t="str">
        <x:v>Fiduciary policy, disclosure and recordkeeping rule</x:v>
      </x:c>
      <x:c r="J449" s="51" t="str">
        <x:v>INS-117</x:v>
      </x:c>
      <x:c r="K449" s="51" t="str">
        <x:v>US investment-adviser market</x:v>
      </x:c>
      <x:c r="L449" s="51" t="str">
        <x:v>Delegated client voting authority</x:v>
      </x:c>
      <x:c r="M449" s="51" t="str">
        <x:v>Policies designed to vote in client interests and disclose voting practices</x:v>
      </x:c>
      <x:c r="N449" s="51" t="str">
        <x:v>Regulation converts delegated voting power into a documented fiduciary process</x:v>
      </x:c>
      <x:c r="O449" s="51" t="str">
        <x:v>Institutional; enforcement; informational</x:v>
      </x:c>
      <x:c r="P449" s="51" t="str">
        <x:v>E1</x:v>
      </x:c>
      <x:c r="Q449" s="51" t="str">
        <x:v>Very high</x:v>
      </x:c>
      <x:c r="R449" s="51" t="str">
        <x:v>SRC-226; SRC-227</x:v>
      </x:c>
      <x:c r="S449" s="51" t="str">
        <x:v>SEC rules require policies, disclosure and records for advisers exercising proxy authority.</x:v>
      </x:c>
      <x:c r="T449" s="51" t="str">
        <x:v>A requirement to vote every item or to follow proxy-adviser recommendations.</x:v>
      </x:c>
      <x:c r="U449" s="51" t="str">
        <x:v>Adviser-client agreements define the scope of delegation.</x:v>
      </x:c>
      <x:c r="V449" s="51" t="str">
        <x:v>Active</x:v>
      </x:c>
      <x:c r="W449" s="51" t="str">
        <x:v>55;57</x:v>
      </x:c>
      <x:c r="X449" s="51" t="str">
        <x:v>2026-07-27</x:v>
      </x:c>
    </x:row>
    <x:row r="450">
      <x:c r="A450" s="51" t="str">
        <x:v>LAW-009</x:v>
      </x:c>
      <x:c r="B450" s="51" t="str">
        <x:v>Corporate law and governance</x:v>
      </x:c>
      <x:c r="C450" s="51" t="str">
        <x:v>ACT-INVESTMENTADVISERSWITHPR</x:v>
      </x:c>
      <x:c r="D450" s="51" t="str">
        <x:v>Investment advisers with proxy authority</x:v>
      </x:c>
      <x:c r="E450" s="51" t="str">
        <x:v>ACT-CORPORATESTOCKHOLDERS</x:v>
      </x:c>
      <x:c r="F450" s="51" t="str">
        <x:v>Corporate stockholders</x:v>
      </x:c>
      <x:c r="G450" s="51" t="str">
        <x:v>Adviser → clients</x:v>
      </x:c>
      <x:c r="H450" s="51" t="str">
        <x:v>Ongoing</x:v>
      </x:c>
      <x:c r="I450" s="51" t="str">
        <x:v>Delegated proxy voting</x:v>
      </x:c>
      <x:c r="J450" s="51" t="str">
        <x:v>INS-117</x:v>
      </x:c>
      <x:c r="K450" s="51" t="str">
        <x:v>Client portfolios</x:v>
      </x:c>
      <x:c r="L450" s="51" t="str">
        <x:v>Client securities and investment mandate</x:v>
      </x:c>
      <x:c r="M450" s="51" t="str">
        <x:v>Votes cast on director, pay and shareholder proposals</x:v>
      </x:c>
      <x:c r="N450" s="51" t="str">
        <x:v>Beneficial owners can delegate governance power while retaining economic exposure</x:v>
      </x:c>
      <x:c r="O450" s="51" t="str">
        <x:v>Ownership; relational; informational</x:v>
      </x:c>
      <x:c r="P450" s="51" t="str">
        <x:v>E1</x:v>
      </x:c>
      <x:c r="Q450" s="51" t="str">
        <x:v>High</x:v>
      </x:c>
      <x:c r="R450" s="51" t="str">
        <x:v>SRC-226</x:v>
      </x:c>
      <x:c r="S450" s="51" t="str">
        <x:v>SEC rules address advisers that exercise voting authority for clients.</x:v>
      </x:c>
      <x:c r="T450" s="51" t="str">
        <x:v>Transfer of beneficial ownership or unanimous client preferences.</x:v>
      </x:c>
      <x:c r="U450" s="51" t="str">
        <x:v>Delegation can be limited, revoked or customised.</x:v>
      </x:c>
      <x:c r="V450" s="51" t="str">
        <x:v>Active</x:v>
      </x:c>
      <x:c r="W450" s="51" t="str">
        <x:v>55;57</x:v>
      </x:c>
      <x:c r="X450" s="51" t="str">
        <x:v>2026-07-27</x:v>
      </x:c>
    </x:row>
    <x:row r="451">
      <x:c r="A451" s="51" t="str">
        <x:v>LIQ-001</x:v>
      </x:c>
      <x:c r="B451" s="51" t="str">
        <x:v>Central bank collateral and liquidity</x:v>
      </x:c>
      <x:c r="C451" s="51" t="str">
        <x:v>ACT-FEDERALRESERVESYSTEM</x:v>
      </x:c>
      <x:c r="D451" s="51" t="str">
        <x:v>Federal Reserve System</x:v>
      </x:c>
      <x:c r="E451" s="51" t="str">
        <x:v>ACT-DISCOUNTWINDOW</x:v>
      </x:c>
      <x:c r="F451" s="51" t="str">
        <x:v>Discount Window</x:v>
      </x:c>
      <x:c r="G451" s="51" t="str">
        <x:v>Central bank → facility</x:v>
      </x:c>
      <x:c r="H451" s="51" t="str">
        <x:v>Ongoing</x:v>
      </x:c>
      <x:c r="I451" s="51" t="str">
        <x:v>Facility governance</x:v>
      </x:c>
      <x:c r="J451" s="51" t="str">
        <x:v>INS-151</x:v>
      </x:c>
      <x:c r="K451" s="51" t="str">
        <x:v>System-wide</x:v>
      </x:c>
      <x:c r="L451" s="51" t="str">
        <x:v>Monetary and financial stability authority</x:v>
      </x:c>
      <x:c r="M451" s="51" t="str">
        <x:v>Collateralised backup-credit channel</x:v>
      </x:c>
      <x:c r="N451" s="51" t="str">
        <x:v>A central bank creates an emergency conversion path from eligible private assets to reserve money</x:v>
      </x:c>
      <x:c r="O451" s="51" t="str">
        <x:v>Financial; institutional; monetary</x:v>
      </x:c>
      <x:c r="P451" s="51" t="str">
        <x:v>E1</x:v>
      </x:c>
      <x:c r="Q451" s="51" t="str">
        <x:v>Very high</x:v>
      </x:c>
      <x:c r="R451" s="51" t="str">
        <x:v>SRC-279; SRC-280</x:v>
      </x:c>
      <x:c r="S451" s="51" t="str">
        <x:v>The Federal Reserve maintains the discount window as backup liquidity.</x:v>
      </x:c>
      <x:c r="T451" s="51" t="str">
        <x:v>Unsecured subsidy or routine funding for ineligible firms.</x:v>
      </x:c>
      <x:c r="U451" s="51" t="str">
        <x:v>Loans require eligibility and collateral.</x:v>
      </x:c>
      <x:c r="V451" s="51" t="str">
        <x:v>Active</x:v>
      </x:c>
      <x:c r="W451" s="51" t="str">
        <x:v>37;57</x:v>
      </x:c>
      <x:c r="X451" s="51" t="str">
        <x:v>2026-07-27</x:v>
      </x:c>
    </x:row>
    <x:row r="452">
      <x:c r="A452" s="51" t="str">
        <x:v>LIQ-002</x:v>
      </x:c>
      <x:c r="B452" s="51" t="str">
        <x:v>Central bank collateral and liquidity</x:v>
      </x:c>
      <x:c r="C452" s="51" t="str">
        <x:v>ACT-FEDERALRESERVEBANKS</x:v>
      </x:c>
      <x:c r="D452" s="51" t="str">
        <x:v>Federal Reserve Banks</x:v>
      </x:c>
      <x:c r="E452" s="51" t="str">
        <x:v>ACT-ELIGIBLEDEPOSITORYINSTIT</x:v>
      </x:c>
      <x:c r="F452" s="51" t="str">
        <x:v>Eligible depository institutions</x:v>
      </x:c>
      <x:c r="G452" s="51" t="str">
        <x:v>Reserve Banks → banks</x:v>
      </x:c>
      <x:c r="H452" s="51" t="str">
        <x:v>Ongoing</x:v>
      </x:c>
      <x:c r="I452" s="51" t="str">
        <x:v>Collateralised primary or secondary credit</x:v>
      </x:c>
      <x:c r="J452" s="51" t="str">
        <x:v>INS-151</x:v>
      </x:c>
      <x:c r="K452" s="51" t="str">
        <x:v>Loan-specific</x:v>
      </x:c>
      <x:c r="L452" s="51" t="str">
        <x:v>Eligible pledged assets and bank request</x:v>
      </x:c>
      <x:c r="M452" s="51" t="str">
        <x:v>Temporary central-bank liquidity</x:v>
      </x:c>
      <x:c r="N452" s="51" t="str">
        <x:v>Collateral eligibility and haircuts determine how much reserve money a bank can obtain from its balance sheet</x:v>
      </x:c>
      <x:c r="O452" s="51" t="str">
        <x:v>Financial; monetary; institutional</x:v>
      </x:c>
      <x:c r="P452" s="51" t="str">
        <x:v>E1</x:v>
      </x:c>
      <x:c r="Q452" s="51" t="str">
        <x:v>Very high</x:v>
      </x:c>
      <x:c r="R452" s="51" t="str">
        <x:v>SRC-279; SRC-280</x:v>
      </x:c>
      <x:c r="S452" s="51" t="str">
        <x:v>Eligible institutions may borrow from Reserve Banks against collateral.</x:v>
      </x:c>
      <x:c r="T452" s="51" t="str">
        <x:v>Guaranteed approval or protection from insolvency.</x:v>
      </x:c>
      <x:c r="U452" s="51" t="str">
        <x:v>Supervisory condition, collateral and repayment remain relevant.</x:v>
      </x:c>
      <x:c r="V452" s="51" t="str">
        <x:v>Active</x:v>
      </x:c>
      <x:c r="W452" s="51" t="str">
        <x:v>37;57</x:v>
      </x:c>
      <x:c r="X452" s="51" t="str">
        <x:v>2026-07-27</x:v>
      </x:c>
    </x:row>
    <x:row r="453">
      <x:c r="A453" s="51" t="str">
        <x:v>LIQ-003</x:v>
      </x:c>
      <x:c r="B453" s="51" t="str">
        <x:v>Central bank collateral and liquidity</x:v>
      </x:c>
      <x:c r="C453" s="51" t="str">
        <x:v>ACT-ELIGIBLEDEPOSITORYINSTIT</x:v>
      </x:c>
      <x:c r="D453" s="51" t="str">
        <x:v>Eligible depository institutions</x:v>
      </x:c>
      <x:c r="E453" s="51" t="str">
        <x:v>ACT-DISCOUNTWINDOW</x:v>
      </x:c>
      <x:c r="F453" s="51" t="str">
        <x:v>Discount Window</x:v>
      </x:c>
      <x:c r="G453" s="51" t="str">
        <x:v>Banks → facility</x:v>
      </x:c>
      <x:c r="H453" s="51" t="str">
        <x:v>Stress or contingency</x:v>
      </x:c>
      <x:c r="I453" s="51" t="str">
        <x:v>Liquidity request and collateral pledge</x:v>
      </x:c>
      <x:c r="J453" s="51" t="str">
        <x:v>INS-151</x:v>
      </x:c>
      <x:c r="K453" s="51" t="str">
        <x:v>Loan-specific</x:v>
      </x:c>
      <x:c r="L453" s="51" t="str">
        <x:v>Illiquid or encumberable assets and funding need</x:v>
      </x:c>
      <x:c r="M453" s="51" t="str">
        <x:v>Cash reserves</x:v>
      </x:c>
      <x:c r="N453" s="51" t="str">
        <x:v>A bank converts acceptable collateral into immediate liquidity without selling the asset into a stressed market</x:v>
      </x:c>
      <x:c r="O453" s="51" t="str">
        <x:v>Financial; monetary; material</x:v>
      </x:c>
      <x:c r="P453" s="51" t="str">
        <x:v>S1</x:v>
      </x:c>
      <x:c r="Q453" s="51" t="str">
        <x:v>Very high</x:v>
      </x:c>
      <x:c r="R453" s="51" t="str">
        <x:v>SRC-279; SRC-280</x:v>
      </x:c>
      <x:c r="S453" s="51" t="str">
        <x:v>Discount window loans are collateralised backup funding.</x:v>
      </x:c>
      <x:c r="T453" s="51" t="str">
        <x:v>Permanent capital support or validation of collateral market value.</x:v>
      </x:c>
      <x:c r="U453" s="51" t="str">
        <x:v>Haircuts, recourse and maturity protect the central bank.</x:v>
      </x:c>
      <x:c r="V453" s="51" t="str">
        <x:v>Active mechanism</x:v>
      </x:c>
      <x:c r="W453" s="51" t="str">
        <x:v>37;57</x:v>
      </x:c>
      <x:c r="X453" s="51" t="str">
        <x:v>2026-07-27</x:v>
      </x:c>
    </x:row>
    <x:row r="454">
      <x:c r="A454" s="51" t="str">
        <x:v>LIQ-004</x:v>
      </x:c>
      <x:c r="B454" s="51" t="str">
        <x:v>Central bank collateral and liquidity</x:v>
      </x:c>
      <x:c r="C454" s="51" t="str">
        <x:v>ACT-FEDERALRESERVESYSTEM</x:v>
      </x:c>
      <x:c r="D454" s="51" t="str">
        <x:v>Federal Reserve System</x:v>
      </x:c>
      <x:c r="E454" s="51" t="str">
        <x:v>ACT-STANDINGREPOFACILITY</x:v>
      </x:c>
      <x:c r="F454" s="51" t="str">
        <x:v>Standing Repo Facility</x:v>
      </x:c>
      <x:c r="G454" s="51" t="str">
        <x:v>Central bank → facility</x:v>
      </x:c>
      <x:c r="H454" s="51" t="str">
        <x:v>Ongoing</x:v>
      </x:c>
      <x:c r="I454" s="51" t="str">
        <x:v>Standing overnight repo offer</x:v>
      </x:c>
      <x:c r="J454" s="51" t="str">
        <x:v>INS-152</x:v>
      </x:c>
      <x:c r="K454" s="51" t="str">
        <x:v>Terms set by FOMC and Desk</x:v>
      </x:c>
      <x:c r="L454" s="51" t="str">
        <x:v>Treasury and agency collateral</x:v>
      </x:c>
      <x:c r="M454" s="51" t="str">
        <x:v>Cash against securities</x:v>
      </x:c>
      <x:c r="N454" s="51" t="str">
        <x:v>A standing facility caps extreme repo funding pressure by offering collateralised central-bank cash</x:v>
      </x:c>
      <x:c r="O454" s="51" t="str">
        <x:v>Financial; monetary; institutional</x:v>
      </x:c>
      <x:c r="P454" s="51" t="str">
        <x:v>E1</x:v>
      </x:c>
      <x:c r="Q454" s="51" t="str">
        <x:v>High</x:v>
      </x:c>
      <x:c r="R454" s="51" t="str">
        <x:v>SRC-281</x:v>
      </x:c>
      <x:c r="S454" s="51" t="str">
        <x:v>The FOMC authorised standing overnight repo operations with stated terms in the cited directive.</x:v>
      </x:c>
      <x:c r="T454" s="51" t="str">
        <x:v>A permanent $500 billion limit or access by all market actors.</x:v>
      </x:c>
      <x:c r="U454" s="51" t="str">
        <x:v>Rates, limits and counterparties can change.</x:v>
      </x:c>
      <x:c r="V454" s="51" t="str">
        <x:v>Active</x:v>
      </x:c>
      <x:c r="W454" s="51" t="str">
        <x:v>37;57</x:v>
      </x:c>
      <x:c r="X454" s="51" t="str">
        <x:v>2026-07-27</x:v>
      </x:c>
    </x:row>
    <x:row r="455">
      <x:c r="A455" s="51" t="str">
        <x:v>LIQ-005</x:v>
      </x:c>
      <x:c r="B455" s="51" t="str">
        <x:v>Central bank collateral and liquidity</x:v>
      </x:c>
      <x:c r="C455" s="51" t="str">
        <x:v>ACT-STANDINGREPOFACILITY</x:v>
      </x:c>
      <x:c r="D455" s="51" t="str">
        <x:v>Standing Repo Facility</x:v>
      </x:c>
      <x:c r="E455" s="51" t="str">
        <x:v>ACT-PRIMARYDEALERSANDSTANDIN</x:v>
      </x:c>
      <x:c r="F455" s="51" t="str">
        <x:v>Primary dealers and standing repo counterparties</x:v>
      </x:c>
      <x:c r="G455" s="51" t="str">
        <x:v>Facility → counterparties</x:v>
      </x:c>
      <x:c r="H455" s="51" t="str">
        <x:v>Ongoing</x:v>
      </x:c>
      <x:c r="I455" s="51" t="str">
        <x:v>Overnight repo transaction</x:v>
      </x:c>
      <x:c r="J455" s="51" t="str">
        <x:v>INS-152</x:v>
      </x:c>
      <x:c r="K455" s="51" t="str">
        <x:v>Operation-specific</x:v>
      </x:c>
      <x:c r="L455" s="51" t="str">
        <x:v>Eligible securities and margin</x:v>
      </x:c>
      <x:c r="M455" s="51" t="str">
        <x:v>Overnight cash</x:v>
      </x:c>
      <x:c r="N455" s="51" t="str">
        <x:v>The facility converts highly liquid securities into central-bank cash when private repo capacity is scarce</x:v>
      </x:c>
      <x:c r="O455" s="51" t="str">
        <x:v>Financial; monetary; relational</x:v>
      </x:c>
      <x:c r="P455" s="51" t="str">
        <x:v>E1</x:v>
      </x:c>
      <x:c r="Q455" s="51" t="str">
        <x:v>High</x:v>
      </x:c>
      <x:c r="R455" s="51" t="str">
        <x:v>SRC-281</x:v>
      </x:c>
      <x:c r="S455" s="51" t="str">
        <x:v>Eligible counterparties can participate under Desk terms.</x:v>
      </x:c>
      <x:c r="T455" s="51" t="str">
        <x:v>A bailout of losses on the collateral or direct lending to all hedge funds.</x:v>
      </x:c>
      <x:c r="U455" s="51" t="str">
        <x:v>Counterparty eligibility and haircuts constrain access.</x:v>
      </x:c>
      <x:c r="V455" s="51" t="str">
        <x:v>Active</x:v>
      </x:c>
      <x:c r="W455" s="51" t="str">
        <x:v>37;57</x:v>
      </x:c>
      <x:c r="X455" s="51" t="str">
        <x:v>2026-07-27</x:v>
      </x:c>
    </x:row>
    <x:row r="456">
      <x:c r="A456" s="51" t="str">
        <x:v>LIQ-006</x:v>
      </x:c>
      <x:c r="B456" s="51" t="str">
        <x:v>Central bank collateral and liquidity</x:v>
      </x:c>
      <x:c r="C456" s="51" t="str">
        <x:v>ACT-EUROSYSTEM</x:v>
      </x:c>
      <x:c r="D456" s="51" t="str">
        <x:v>Eurosystem</x:v>
      </x:c>
      <x:c r="E456" s="51" t="str">
        <x:v>ACT-EUROSYSTEMELIGIBLECOUNTE</x:v>
      </x:c>
      <x:c r="F456" s="51" t="str">
        <x:v>Eurosystem eligible counterparties</x:v>
      </x:c>
      <x:c r="G456" s="51" t="str">
        <x:v>Central bank system → banks</x:v>
      </x:c>
      <x:c r="H456" s="51" t="str">
        <x:v>Ongoing</x:v>
      </x:c>
      <x:c r="I456" s="51" t="str">
        <x:v>Monetary-policy credit operations</x:v>
      </x:c>
      <x:c r="J456" s="51" t="str">
        <x:v>INS-153</x:v>
      </x:c>
      <x:c r="K456" s="51" t="str">
        <x:v>System-wide</x:v>
      </x:c>
      <x:c r="L456" s="51" t="str">
        <x:v>Eligible collateral and policy operation</x:v>
      </x:c>
      <x:c r="M456" s="51" t="str">
        <x:v>Euro central-bank credit</x:v>
      </x:c>
      <x:c r="N456" s="51" t="str">
        <x:v>The Eurosystem defines a monetary boundary by deciding which private and public assets can support central-bank borrowing</x:v>
      </x:c>
      <x:c r="O456" s="51" t="str">
        <x:v>Financial; monetary; institutional</x:v>
      </x:c>
      <x:c r="P456" s="51" t="str">
        <x:v>E1</x:v>
      </x:c>
      <x:c r="Q456" s="51" t="str">
        <x:v>Very high</x:v>
      </x:c>
      <x:c r="R456" s="51" t="str">
        <x:v>SRC-282; SRC-283</x:v>
      </x:c>
      <x:c r="S456" s="51" t="str">
        <x:v>Eurosystem credit operations require adequate eligible collateral.</x:v>
      </x:c>
      <x:c r="T456" s="51" t="str">
        <x:v>A guarantee of collateral value or acceptance of all euro-area assets.</x:v>
      </x:c>
      <x:c r="U456" s="51" t="str">
        <x:v>Eligibility, credit quality and haircuts apply.</x:v>
      </x:c>
      <x:c r="V456" s="51" t="str">
        <x:v>Active</x:v>
      </x:c>
      <x:c r="W456" s="51" t="str">
        <x:v>37;57</x:v>
      </x:c>
      <x:c r="X456" s="51" t="str">
        <x:v>2026-07-27</x:v>
      </x:c>
    </x:row>
    <x:row r="457">
      <x:c r="A457" s="51" t="str">
        <x:v>LIQ-007</x:v>
      </x:c>
      <x:c r="B457" s="51" t="str">
        <x:v>Central bank collateral and liquidity</x:v>
      </x:c>
      <x:c r="C457" s="51" t="str">
        <x:v>ACT-EUROSYSTEMELIGIBLECOLLAT</x:v>
      </x:c>
      <x:c r="D457" s="51" t="str">
        <x:v>Eurosystem eligible collateral</x:v>
      </x:c>
      <x:c r="E457" s="51" t="str">
        <x:v>ACT-EUROSYSTEMELIGIBLECOUNTE</x:v>
      </x:c>
      <x:c r="F457" s="51" t="str">
        <x:v>Eurosystem eligible counterparties</x:v>
      </x:c>
      <x:c r="G457" s="51" t="str">
        <x:v>Collateral pool → borrowers</x:v>
      </x:c>
      <x:c r="H457" s="51" t="str">
        <x:v>Ongoing</x:v>
      </x:c>
      <x:c r="I457" s="51" t="str">
        <x:v>Eligibility and valuation framework</x:v>
      </x:c>
      <x:c r="J457" s="51" t="str">
        <x:v>INS-153</x:v>
      </x:c>
      <x:c r="K457" s="51" t="str">
        <x:v>Asset-specific</x:v>
      </x:c>
      <x:c r="L457" s="51" t="str">
        <x:v>Marketable and non-marketable assets meeting rules</x:v>
      </x:c>
      <x:c r="M457" s="51" t="str">
        <x:v>Borrowing capacity after haircuts</x:v>
      </x:c>
      <x:c r="N457" s="51" t="str">
        <x:v>Central-bank collateral rules change the liquidity premium of otherwise similar private assets</x:v>
      </x:c>
      <x:c r="O457" s="51" t="str">
        <x:v>Financial; monetary; informational</x:v>
      </x:c>
      <x:c r="P457" s="51" t="str">
        <x:v>S1</x:v>
      </x:c>
      <x:c r="Q457" s="51" t="str">
        <x:v>High</x:v>
      </x:c>
      <x:c r="R457" s="51" t="str">
        <x:v>SRC-282; SRC-283</x:v>
      </x:c>
      <x:c r="S457" s="51" t="str">
        <x:v>Eligible assets can be pledged for Eurosystem credit subject to risk controls.</x:v>
      </x:c>
      <x:c r="T457" s="51" t="str">
        <x:v>A permanent price guarantee or equal haircut for every asset.</x:v>
      </x:c>
      <x:c r="U457" s="51" t="str">
        <x:v>Rules and valuations change over time.</x:v>
      </x:c>
      <x:c r="V457" s="51" t="str">
        <x:v>Active</x:v>
      </x:c>
      <x:c r="W457" s="51" t="str">
        <x:v>37;57</x:v>
      </x:c>
      <x:c r="X457" s="51" t="str">
        <x:v>2026-07-27</x:v>
      </x:c>
    </x:row>
    <x:row r="458">
      <x:c r="A458" s="51" t="str">
        <x:v>LIQ-008</x:v>
      </x:c>
      <x:c r="B458" s="51" t="str">
        <x:v>Central bank collateral and liquidity</x:v>
      </x:c>
      <x:c r="C458" s="51" t="str">
        <x:v>ACT-ECBCLIMATEFACTOR</x:v>
      </x:c>
      <x:c r="D458" s="51" t="str">
        <x:v>ECB climate factor</x:v>
      </x:c>
      <x:c r="E458" s="51" t="str">
        <x:v>ACT-EUROSYSTEMELIGIBLECOLLAT</x:v>
      </x:c>
      <x:c r="F458" s="51" t="str">
        <x:v>Eurosystem eligible collateral</x:v>
      </x:c>
      <x:c r="G458" s="51" t="str">
        <x:v>Risk adjustment → asset pool</x:v>
      </x:c>
      <x:c r="H458" s="51" t="str">
        <x:v>2026 onward</x:v>
      </x:c>
      <x:c r="I458" s="51" t="str">
        <x:v>Climate-related collateral valuation adjustment</x:v>
      </x:c>
      <x:c r="J458" s="51" t="str">
        <x:v>INS-154</x:v>
      </x:c>
      <x:c r="K458" s="51" t="str">
        <x:v>Asset-specific</x:v>
      </x:c>
      <x:c r="L458" s="51" t="str">
        <x:v>Transition-risk characteristics</x:v>
      </x:c>
      <x:c r="M458" s="51" t="str">
        <x:v>Reduced collateral value or borrowing capacity</x:v>
      </x:c>
      <x:c r="N458" s="51" t="str">
        <x:v>A central bank can embed a public risk model directly into the monetary value assigned to private collateral</x:v>
      </x:c>
      <x:c r="O458" s="51" t="str">
        <x:v>Financial; monetary; climate; informational</x:v>
      </x:c>
      <x:c r="P458" s="51" t="str">
        <x:v>E1</x:v>
      </x:c>
      <x:c r="Q458" s="51" t="str">
        <x:v>Very high</x:v>
      </x:c>
      <x:c r="R458" s="51" t="str">
        <x:v>SRC-283; SRC-284</x:v>
      </x:c>
      <x:c r="S458" s="51" t="str">
        <x:v>The ECB introduced a climate factor effective in 2026 and announced an extension.</x:v>
      </x:c>
      <x:c r="T458" s="51" t="str">
        <x:v>A climate taxonomy for all finance or a prohibition on affected assets.</x:v>
      </x:c>
      <x:c r="U458" s="51" t="str">
        <x:v>The factor is one part of a broader haircut and eligibility framework.</x:v>
      </x:c>
      <x:c r="V458" s="51" t="str">
        <x:v>Active / extending</x:v>
      </x:c>
      <x:c r="W458" s="51" t="str">
        <x:v>37;57</x:v>
      </x:c>
      <x:c r="X458" s="51" t="str">
        <x:v>2026-07-27</x:v>
      </x:c>
    </x:row>
    <x:row r="459">
      <x:c r="A459" s="51" t="str">
        <x:v>LIT-001</x:v>
      </x:c>
      <x:c r="B459" s="51" t="str">
        <x:v>Litigation finance and claim ownership</x:v>
      </x:c>
      <x:c r="C459" s="51" t="str">
        <x:v>ACT-BURFORDCAPITAL</x:v>
      </x:c>
      <x:c r="D459" s="51" t="str">
        <x:v>Burford Capital</x:v>
      </x:c>
      <x:c r="E459" s="51" t="str">
        <x:v>ACT-FUNDEDCLAIMANTS</x:v>
      </x:c>
      <x:c r="F459" s="51" t="str">
        <x:v>Funded claimants</x:v>
      </x:c>
      <x:c r="G459" s="51" t="str">
        <x:v>Funder → claimant</x:v>
      </x:c>
      <x:c r="H459" s="51" t="str">
        <x:v>Ongoing</x:v>
      </x:c>
      <x:c r="I459" s="51" t="str">
        <x:v>Non-recourse legal finance</x:v>
      </x:c>
      <x:c r="J459" s="51" t="str">
        <x:v>INS-130</x:v>
      </x:c>
      <x:c r="K459" s="51" t="str">
        <x:v>Portfolio-specific</x:v>
      </x:c>
      <x:c r="L459" s="51" t="str">
        <x:v>Capital and risk assessment</x:v>
      </x:c>
      <x:c r="M459" s="51" t="str">
        <x:v>Legal fees, working capital or monetisation</x:v>
      </x:c>
      <x:c r="N459" s="51" t="str">
        <x:v>A funder converts an uncertain legal claim into present financing while acquiring a contingent return</x:v>
      </x:c>
      <x:c r="O459" s="51" t="str">
        <x:v>Financial; relational; enforcement</x:v>
      </x:c>
      <x:c r="P459" s="51" t="str">
        <x:v>E1</x:v>
      </x:c>
      <x:c r="Q459" s="51" t="str">
        <x:v>High</x:v>
      </x:c>
      <x:c r="R459" s="51" t="str">
        <x:v>SRC-245; SRC-673; SRC-674; SRC-675; SRC-676; SRC-677</x:v>
      </x:c>
      <x:c r="S459" s="51" t="str">
        <x:v>Burford describes litigation finance, risk management and asset recovery as core businesses.</x:v>
      </x:c>
      <x:c r="T459" s="51" t="str">
        <x:v>Ownership of the legal claim in every matter or control of counsel in every agreement.</x:v>
      </x:c>
      <x:c r="U459" s="51" t="str">
        <x:v>Funding structures and control rights vary by jurisdiction and contract.</x:v>
      </x:c>
      <x:c r="V459" s="51" t="str">
        <x:v>Active</x:v>
      </x:c>
      <x:c r="W459" s="51" t="str">
        <x:v>55;57</x:v>
      </x:c>
      <x:c r="X459" s="51" t="str">
        <x:v>2026-07-27</x:v>
      </x:c>
    </x:row>
    <x:row r="460">
      <x:c r="A460" s="51" t="str">
        <x:v>LIT-002</x:v>
      </x:c>
      <x:c r="B460" s="51" t="str">
        <x:v>Litigation finance and claim ownership</x:v>
      </x:c>
      <x:c r="C460" s="51" t="str">
        <x:v>ACT-OMNIBRIDGEWAY</x:v>
      </x:c>
      <x:c r="D460" s="51" t="str">
        <x:v>Omni Bridgeway</x:v>
      </x:c>
      <x:c r="E460" s="51" t="str">
        <x:v>ACT-FUNDEDCLAIMANTS</x:v>
      </x:c>
      <x:c r="F460" s="51" t="str">
        <x:v>Funded claimants</x:v>
      </x:c>
      <x:c r="G460" s="51" t="str">
        <x:v>Funder → claimant</x:v>
      </x:c>
      <x:c r="H460" s="51" t="str">
        <x:v>Ongoing</x:v>
      </x:c>
      <x:c r="I460" s="51" t="str">
        <x:v>Dispute and enforcement funding</x:v>
      </x:c>
      <x:c r="J460" s="51" t="str">
        <x:v>INS-131</x:v>
      </x:c>
      <x:c r="K460" s="51" t="str">
        <x:v>Portfolio-specific</x:v>
      </x:c>
      <x:c r="L460" s="51" t="str">
        <x:v>Capital, enforcement expertise and risk tolerance</x:v>
      </x:c>
      <x:c r="M460" s="51" t="str">
        <x:v>Ability to pursue claims through judgment and recovery</x:v>
      </x:c>
      <x:c r="N460" s="51" t="str">
        <x:v>Legal finance extends a claimant's time horizon and ability to withstand a better-funded opponent</x:v>
      </x:c>
      <x:c r="O460" s="51" t="str">
        <x:v>Financial; relational; enforcement</x:v>
      </x:c>
      <x:c r="P460" s="51" t="str">
        <x:v>E1</x:v>
      </x:c>
      <x:c r="Q460" s="51" t="str">
        <x:v>High</x:v>
      </x:c>
      <x:c r="R460" s="51" t="str">
        <x:v>SRC-246; SRC-673; SRC-674; SRC-675; SRC-676; SRC-677</x:v>
      </x:c>
      <x:c r="S460" s="51" t="str">
        <x:v>Omni Bridgeway provides litigation and asset-recovery funding.</x:v>
      </x:c>
      <x:c r="T460" s="51" t="str">
        <x:v>Merit of every funded case or guaranteed recovery.</x:v>
      </x:c>
      <x:c r="U460" s="51" t="str">
        <x:v>Funders select claims and may decline socially valuable but low-return cases.</x:v>
      </x:c>
      <x:c r="V460" s="51" t="str">
        <x:v>Active</x:v>
      </x:c>
      <x:c r="W460" s="51" t="str">
        <x:v>55;57</x:v>
      </x:c>
      <x:c r="X460" s="51" t="str">
        <x:v>2026-07-27</x:v>
      </x:c>
    </x:row>
    <x:row r="461">
      <x:c r="A461" s="51" t="str">
        <x:v>LIT-003</x:v>
      </x:c>
      <x:c r="B461" s="51" t="str">
        <x:v>Litigation finance and claim ownership</x:v>
      </x:c>
      <x:c r="C461" s="51" t="str">
        <x:v>ACT-THIRDPARTYLITIGATIONFUND</x:v>
      </x:c>
      <x:c r="D461" s="51" t="str">
        <x:v>Third-party litigation funders</x:v>
      </x:c>
      <x:c r="E461" s="51" t="str">
        <x:v>ACT-LAWFIRMSREPRESENTINGFUND</x:v>
      </x:c>
      <x:c r="F461" s="51" t="str">
        <x:v>Law firms representing funded parties</x:v>
      </x:c>
      <x:c r="G461" s="51" t="str">
        <x:v>Funder → professional intermediary</x:v>
      </x:c>
      <x:c r="H461" s="51" t="str">
        <x:v>Ongoing</x:v>
      </x:c>
      <x:c r="I461" s="51" t="str">
        <x:v>Payment and portfolio relationship</x:v>
      </x:c>
      <x:c r="J461" s="51" t="str">
        <x:v>INS-130; INS-131</x:v>
      </x:c>
      <x:c r="K461" s="51" t="str">
        <x:v>Matter-specific</x:v>
      </x:c>
      <x:c r="L461" s="51" t="str">
        <x:v>Funding commitment</x:v>
      </x:c>
      <x:c r="M461" s="51" t="str">
        <x:v>Legal work financed over a long case duration</x:v>
      </x:c>
      <x:c r="N461" s="51" t="str">
        <x:v>External capital shifts law-firm and claimant liquidity constraints</x:v>
      </x:c>
      <x:c r="O461" s="51" t="str">
        <x:v>Financial; relational</x:v>
      </x:c>
      <x:c r="P461" s="51" t="str">
        <x:v>S1</x:v>
      </x:c>
      <x:c r="Q461" s="51" t="str">
        <x:v>High</x:v>
      </x:c>
      <x:c r="R461" s="51" t="str">
        <x:v>SRC-245; SRC-246; SRC-673; SRC-674; SRC-675; SRC-676; SRC-677</x:v>
      </x:c>
      <x:c r="S461" s="51" t="str">
        <x:v>Legal finance commonly supports fees and costs of litigation or arbitration.</x:v>
      </x:c>
      <x:c r="T461" s="51" t="str">
        <x:v>Funder direction of legal strategy or attorney-client duties.</x:v>
      </x:c>
      <x:c r="U461" s="51" t="str">
        <x:v>Professional independence and privilege rules constrain control.</x:v>
      </x:c>
      <x:c r="V461" s="51" t="str">
        <x:v>Active</x:v>
      </x:c>
      <x:c r="W461" s="51" t="str">
        <x:v>55;57</x:v>
      </x:c>
      <x:c r="X461" s="51" t="str">
        <x:v>2026-07-27</x:v>
      </x:c>
    </x:row>
    <x:row r="462">
      <x:c r="A462" s="51" t="str">
        <x:v>LIT-004</x:v>
      </x:c>
      <x:c r="B462" s="51" t="str">
        <x:v>Litigation finance and claim ownership</x:v>
      </x:c>
      <x:c r="C462" s="51" t="str">
        <x:v>ACT-THIRDPARTYLITIGATIONFUN2</x:v>
      </x:c>
      <x:c r="D462" s="51" t="str">
        <x:v>Third-party litigation funding disclosure rules</x:v>
      </x:c>
      <x:c r="E462" s="51" t="str">
        <x:v>ACT-FUNDEDCLAIMANTS</x:v>
      </x:c>
      <x:c r="F462" s="51" t="str">
        <x:v>Funded claimants</x:v>
      </x:c>
      <x:c r="G462" s="51" t="str">
        <x:v>Court rule → litigant</x:v>
      </x:c>
      <x:c r="H462" s="51" t="str">
        <x:v>Jurisdiction-specific</x:v>
      </x:c>
      <x:c r="I462" s="51" t="str">
        <x:v>Disclosure of funder identity or interest</x:v>
      </x:c>
      <x:c r="J462" s="51" t="str">
        <x:v>INS-132</x:v>
      </x:c>
      <x:c r="K462" s="51" t="str">
        <x:v>Local-rule or proposal scope</x:v>
      </x:c>
      <x:c r="L462" s="51" t="str">
        <x:v>Funding relationship</x:v>
      </x:c>
      <x:c r="M462" s="51" t="str">
        <x:v>Court and party visibility</x:v>
      </x:c>
      <x:c r="N462" s="51" t="str">
        <x:v>Disclosure rules convert hidden litigation capital into information relevant to conflicts and settlement</x:v>
      </x:c>
      <x:c r="O462" s="51" t="str">
        <x:v>Informational; institutional; enforcement</x:v>
      </x:c>
      <x:c r="P462" s="51" t="str">
        <x:v>E1</x:v>
      </x:c>
      <x:c r="Q462" s="51" t="str">
        <x:v>High</x:v>
      </x:c>
      <x:c r="R462" s="51" t="str">
        <x:v>SRC-247; SRC-248; SRC-249; SRC-673; SRC-674; SRC-675; SRC-676; SRC-677</x:v>
      </x:c>
      <x:c r="S462" s="51" t="str">
        <x:v>Some federal courts require disclosure and national rulemaking has considered broader requirements.</x:v>
      </x:c>
      <x:c r="T462" s="51" t="str">
        <x:v>Disclosure of every contract term or proof that funding is improper.</x:v>
      </x:c>
      <x:c r="U462" s="51" t="str">
        <x:v>Rules differ by court and case type.</x:v>
      </x:c>
      <x:c r="V462" s="51" t="str">
        <x:v>Partial / jurisdiction-specific</x:v>
      </x:c>
      <x:c r="W462" s="51" t="str">
        <x:v>55;57</x:v>
      </x:c>
      <x:c r="X462" s="51" t="str">
        <x:v>2026-07-27</x:v>
      </x:c>
    </x:row>
    <x:row r="463">
      <x:c r="A463" s="51" t="str">
        <x:v>LIT-005</x:v>
      </x:c>
      <x:c r="B463" s="51" t="str">
        <x:v>Litigation finance and claim ownership</x:v>
      </x:c>
      <x:c r="C463" s="51" t="str">
        <x:v>ACT-FUNDEDCLAIMANTS</x:v>
      </x:c>
      <x:c r="D463" s="51" t="str">
        <x:v>Funded claimants</x:v>
      </x:c>
      <x:c r="E463" s="51" t="str">
        <x:v>ACT-THIRDPARTYLITIGATIONFUND</x:v>
      </x:c>
      <x:c r="F463" s="51" t="str">
        <x:v>Third-party litigation funders</x:v>
      </x:c>
      <x:c r="G463" s="51" t="str">
        <x:v>Claimant → funder</x:v>
      </x:c>
      <x:c r="H463" s="51" t="str">
        <x:v>Ongoing</x:v>
      </x:c>
      <x:c r="I463" s="51" t="str">
        <x:v>Contingent return and repayment waterfall</x:v>
      </x:c>
      <x:c r="J463" s="51" t="str">
        <x:v>INS-130; INS-131</x:v>
      </x:c>
      <x:c r="K463" s="51" t="str">
        <x:v>Matter-specific</x:v>
      </x:c>
      <x:c r="L463" s="51" t="str">
        <x:v>Settlement, judgment or recovery proceeds</x:v>
      </x:c>
      <x:c r="M463" s="51" t="str">
        <x:v>Return of capital and contractual success share</x:v>
      </x:c>
      <x:c r="N463" s="51" t="str">
        <x:v>A legal recovery becomes a privately allocated financial asset before final judgment</x:v>
      </x:c>
      <x:c r="O463" s="51" t="str">
        <x:v>Financial; ownership; relational</x:v>
      </x:c>
      <x:c r="P463" s="51" t="str">
        <x:v>S1</x:v>
      </x:c>
      <x:c r="Q463" s="51" t="str">
        <x:v>High</x:v>
      </x:c>
      <x:c r="R463" s="51" t="str">
        <x:v>SRC-245; SRC-246; SRC-673; SRC-674; SRC-675; SRC-676; SRC-677</x:v>
      </x:c>
      <x:c r="S463" s="51" t="str">
        <x:v>Legal finance returns are contingent on legal outcomes and contractual waterfalls.</x:v>
      </x:c>
      <x:c r="T463" s="51" t="str">
        <x:v>A uniform percentage, guaranteed return or public ownership of the claim.</x:v>
      </x:c>
      <x:c r="U463" s="51" t="str">
        <x:v>Terms may include caps, multiples, time-based returns or portfolio cross-collateralisation.</x:v>
      </x:c>
      <x:c r="V463" s="51" t="str">
        <x:v>Active</x:v>
      </x:c>
      <x:c r="W463" s="51" t="str">
        <x:v>55;57</x:v>
      </x:c>
      <x:c r="X463" s="51" t="str">
        <x:v>2026-07-27</x:v>
      </x:c>
    </x:row>
    <x:row r="464">
      <x:c r="A464" s="51" t="str">
        <x:v>LIT-006</x:v>
      </x:c>
      <x:c r="B464" s="51" t="str">
        <x:v>Evidence boundary</x:v>
      </x:c>
      <x:c r="C464" s="51" t="str">
        <x:v>ACT-THIRDPARTYLITIGATIONFUND</x:v>
      </x:c>
      <x:c r="D464" s="51" t="str">
        <x:v>Third-party litigation funders</x:v>
      </x:c>
      <x:c r="E464" s="51" t="str">
        <x:v>ACT-ARBITRALTRIBUNALS</x:v>
      </x:c>
      <x:c r="F464" s="51" t="str">
        <x:v>Arbitral tribunals</x:v>
      </x:c>
      <x:c r="G464" s="51" t="str">
        <x:v>Funder → adjudicative context</x:v>
      </x:c>
      <x:c r="H464" s="51" t="str">
        <x:v>Case-specific</x:v>
      </x:c>
      <x:c r="I464" s="51" t="str">
        <x:v>Financial interest without adjudicative authority</x:v>
      </x:c>
      <x:c r="J464" s="51" t="str">
        <x:v>INS-130; INS-131; INS-132</x:v>
      </x:c>
      <x:c r="K464" s="51" t="str">
        <x:v>Matter-specific</x:v>
      </x:c>
      <x:c r="L464" s="51" t="str">
        <x:v>Capital exposure to claim outcome</x:v>
      </x:c>
      <x:c r="M464" s="51" t="str">
        <x:v>Potential conflicts disclosure and security-for-costs questions</x:v>
      </x:c>
      <x:c r="N464" s="51" t="str">
        <x:v>Funding creates an economic interest that tribunals may need to distinguish from legal party status</x:v>
      </x:c>
      <x:c r="O464" s="51" t="str">
        <x:v>Financial; informational; epistemic</x:v>
      </x:c>
      <x:c r="P464" s="51" t="str">
        <x:v>S1</x:v>
      </x:c>
      <x:c r="Q464" s="51" t="str">
        <x:v>High</x:v>
      </x:c>
      <x:c r="R464" s="51" t="str">
        <x:v>SRC-238; SRC-247; SRC-248</x:v>
      </x:c>
      <x:c r="S464" s="51" t="str">
        <x:v>Funding may be relevant to conflicts and procedural applications.</x:v>
      </x:c>
      <x:c r="T464" s="51" t="str">
        <x:v>Control of tribunal decisions or proof that funded claims are weaker.</x:v>
      </x:c>
      <x:c r="U464" s="51" t="str">
        <x:v>Rules and disclosure duties vary across forums.</x:v>
      </x:c>
      <x:c r="V464" s="51" t="str">
        <x:v>Case-specific boundary</x:v>
      </x:c>
      <x:c r="W464" s="51" t="str">
        <x:v>55;57</x:v>
      </x:c>
      <x:c r="X464" s="51" t="str">
        <x:v>2026-07-27</x:v>
      </x:c>
    </x:row>
    <x:row r="465">
      <x:c r="A465" s="51" t="str">
        <x:v>LNG-001</x:v>
      </x:c>
      <x:c r="B465" s="51" t="str">
        <x:v>LNG production, offtake and fleet power</x:v>
      </x:c>
      <x:c r="C465" s="51" t="str">
        <x:v>ACT-QATARENERGY</x:v>
      </x:c>
      <x:c r="D465" s="51" t="str">
        <x:v>QatarEnergy</x:v>
      </x:c>
      <x:c r="E465" s="51" t="str">
        <x:v>ACT-LNGBUYERSANDUTILITIES</x:v>
      </x:c>
      <x:c r="F465" s="51" t="str">
        <x:v>LNG buyers and utilities</x:v>
      </x:c>
      <x:c r="G465" s="51" t="str">
        <x:v>Producer → buyers</x:v>
      </x:c>
      <x:c r="H465" s="51" t="str">
        <x:v>Long-term and spot</x:v>
      </x:c>
      <x:c r="I465" s="51" t="str">
        <x:v>LNG sales and purchase agreements</x:v>
      </x:c>
      <x:c r="J465" s="51" t="str">
        <x:v>INS-192</x:v>
      </x:c>
      <x:c r="K465" s="51" t="str">
        <x:v>Capacity planned to rise from 77 to 126 MTPA</x:v>
      </x:c>
      <x:c r="L465" s="51" t="str">
        <x:v>North Field gas, liquefaction and shipping capacity</x:v>
      </x:c>
      <x:c r="M465" s="51" t="str">
        <x:v>Delivered LNG and export revenue</x:v>
      </x:c>
      <x:c r="N465" s="51" t="str">
        <x:v>A sovereign producer converts upstream reserves into globally contracted utility supply through liquefaction and fleet capacity</x:v>
      </x:c>
      <x:c r="O465" s="51" t="str">
        <x:v>Material; financial; geopolitical</x:v>
      </x:c>
      <x:c r="P465" s="51" t="str">
        <x:v>E1</x:v>
      </x:c>
      <x:c r="Q465" s="51" t="str">
        <x:v>Very high</x:v>
      </x:c>
      <x:c r="R465" s="51" t="str">
        <x:v>SRC-342; SRC-343</x:v>
      </x:c>
      <x:c r="S465" s="51" t="str">
        <x:v>QatarEnergy is expanding LNG capacity through North Field projects.</x:v>
      </x:c>
      <x:c r="T465" s="51" t="str">
        <x:v>Guaranteed utilisation or fixed destination for all future output.</x:v>
      </x:c>
      <x:c r="U465" s="51" t="str">
        <x:v>Sales contracts, outages and market conditions determine flows.</x:v>
      </x:c>
      <x:c r="V465" s="51" t="str">
        <x:v>Expanding</x:v>
      </x:c>
      <x:c r="W465" s="51" t="str">
        <x:v>32;35;57</x:v>
      </x:c>
      <x:c r="X465" s="51" t="str">
        <x:v>2026-07-27</x:v>
      </x:c>
    </x:row>
    <x:row r="466">
      <x:c r="A466" s="51" t="str">
        <x:v>LNG-002</x:v>
      </x:c>
      <x:c r="B466" s="51" t="str">
        <x:v>LNG production, offtake and fleet power</x:v>
      </x:c>
      <x:c r="C466" s="51" t="str">
        <x:v>ACT-QATARENERGY</x:v>
      </x:c>
      <x:c r="D466" s="51" t="str">
        <x:v>QatarEnergy</x:v>
      </x:c>
      <x:c r="E466" s="51" t="str">
        <x:v>ACT-LNGCARRIEROWNERSANDCHART</x:v>
      </x:c>
      <x:c r="F466" s="51" t="str">
        <x:v>LNG carrier owners and charterers</x:v>
      </x:c>
      <x:c r="G466" s="51" t="str">
        <x:v>Producer → fleet providers</x:v>
      </x:c>
      <x:c r="H466" s="51" t="str">
        <x:v>Expansion period</x:v>
      </x:c>
      <x:c r="I466" s="51" t="str">
        <x:v>Newbuild, ownership and charter programme</x:v>
      </x:c>
      <x:c r="J466" s="51" t="str">
        <x:v>INS-192</x:v>
      </x:c>
      <x:c r="K466" s="51" t="str">
        <x:v>Large vessel expansion programme</x:v>
      </x:c>
      <x:c r="L466" s="51" t="str">
        <x:v>Long-term LNG export requirements</x:v>
      </x:c>
      <x:c r="M466" s="51" t="str">
        <x:v>Dedicated shipping capacity</x:v>
      </x:c>
      <x:c r="N466" s="51" t="str">
        <x:v>Liquefaction capacity becomes commercially usable only when specialised vessels and destination access are secured</x:v>
      </x:c>
      <x:c r="O466" s="51" t="str">
        <x:v>Material; relational; geopolitical</x:v>
      </x:c>
      <x:c r="P466" s="51" t="str">
        <x:v>E1</x:v>
      </x:c>
      <x:c r="Q466" s="51" t="str">
        <x:v>High</x:v>
      </x:c>
      <x:c r="R466" s="51" t="str">
        <x:v>SRC-342</x:v>
      </x:c>
      <x:c r="S466" s="51" t="str">
        <x:v>QatarEnergy reports a major LNG vessel expansion programme supporting new production.</x:v>
      </x:c>
      <x:c r="T466" s="51" t="str">
        <x:v>Ownership of every vessel or absence of third-party chartering.</x:v>
      </x:c>
      <x:c r="U466" s="51" t="str">
        <x:v>Fleet structures include owned, joint and chartered vessels.</x:v>
      </x:c>
      <x:c r="V466" s="51" t="str">
        <x:v>Under expansion</x:v>
      </x:c>
      <x:c r="W466" s="51" t="str">
        <x:v>35;57</x:v>
      </x:c>
      <x:c r="X466" s="51" t="str">
        <x:v>2026-07-27</x:v>
      </x:c>
    </x:row>
    <x:row r="467">
      <x:c r="A467" s="51" t="str">
        <x:v>LNG-003</x:v>
      </x:c>
      <x:c r="B467" s="51" t="str">
        <x:v>LNG production, offtake and fleet power</x:v>
      </x:c>
      <x:c r="C467" s="51" t="str">
        <x:v>ACT-CHENIEREENERGY</x:v>
      </x:c>
      <x:c r="D467" s="51" t="str">
        <x:v>Cheniere Energy</x:v>
      </x:c>
      <x:c r="E467" s="51" t="str">
        <x:v>ACT-LNGBUYERSANDUTILITIES</x:v>
      </x:c>
      <x:c r="F467" s="51" t="str">
        <x:v>LNG buyers and utilities</x:v>
      </x:c>
      <x:c r="G467" s="51" t="str">
        <x:v>Exporter → buyers</x:v>
      </x:c>
      <x:c r="H467" s="51" t="str">
        <x:v>2025</x:v>
      </x:c>
      <x:c r="I467" s="51" t="str">
        <x:v>Long-term SPA and spot cargo delivery</x:v>
      </x:c>
      <x:c r="J467" s="51" t="str">
        <x:v>INS-193</x:v>
      </x:c>
      <x:c r="K467" s="51" t="str">
        <x:v>670 cargoes exported in 2025</x:v>
      </x:c>
      <x:c r="L467" s="51" t="str">
        <x:v>US pipeline gas and liquefaction capacity</x:v>
      </x:c>
      <x:c r="M467" s="51" t="str">
        <x:v>Loaded LNG cargo and sales revenue</x:v>
      </x:c>
      <x:c r="N467" s="51" t="str">
        <x:v>Liquefaction converts geographically constrained gas into globally mobile seaborne energy</x:v>
      </x:c>
      <x:c r="O467" s="51" t="str">
        <x:v>Material; financial; geopolitical</x:v>
      </x:c>
      <x:c r="P467" s="51" t="str">
        <x:v>E1</x:v>
      </x:c>
      <x:c r="Q467" s="51" t="str">
        <x:v>Very high</x:v>
      </x:c>
      <x:c r="R467" s="51" t="str">
        <x:v>SRC-344</x:v>
      </x:c>
      <x:c r="S467" s="51" t="str">
        <x:v>Cheniere exported a record 670 cargoes in 2025 and is expanding Corpus Christi capacity.</x:v>
      </x:c>
      <x:c r="T467" s="51" t="str">
        <x:v>Guaranteed margin on every cargo or full destination control.</x:v>
      </x:c>
      <x:c r="U467" s="51" t="str">
        <x:v>Contracts include fixed fees, commodity components and destination terms.</x:v>
      </x:c>
      <x:c r="V467" s="51" t="str">
        <x:v>Active and expanding</x:v>
      </x:c>
      <x:c r="W467" s="51" t="str">
        <x:v>35;57</x:v>
      </x:c>
      <x:c r="X467" s="51" t="str">
        <x:v>2026-07-27</x:v>
      </x:c>
    </x:row>
    <x:row r="468">
      <x:c r="A468" s="51" t="str">
        <x:v>LNG-004</x:v>
      </x:c>
      <x:c r="B468" s="51" t="str">
        <x:v>LNG production, offtake and fleet power</x:v>
      </x:c>
      <x:c r="C468" s="51" t="str">
        <x:v>ACT-ADNOC</x:v>
      </x:c>
      <x:c r="D468" s="51" t="str">
        <x:v>ADNOC</x:v>
      </x:c>
      <x:c r="E468" s="51" t="str">
        <x:v>ACT-INDIANOILCORPORATION</x:v>
      </x:c>
      <x:c r="F468" s="51" t="str">
        <x:v>Indian Oil Corporation</x:v>
      </x:c>
      <x:c r="G468" s="51" t="str">
        <x:v>Producer → buyer</x:v>
      </x:c>
      <x:c r="H468" s="51" t="str">
        <x:v>15 years</x:v>
      </x:c>
      <x:c r="I468" s="51" t="str">
        <x:v>Ruwais LNG SPA</x:v>
      </x:c>
      <x:c r="J468" s="51" t="str">
        <x:v>INS-191</x:v>
      </x:c>
      <x:c r="K468" s="51" t="str">
        <x:v>1 MTPA</x:v>
      </x:c>
      <x:c r="L468" s="51" t="str">
        <x:v>Future Ruwais LNG supply</x:v>
      </x:c>
      <x:c r="M468" s="51" t="str">
        <x:v>Long-term Indian LNG import stream</x:v>
      </x:c>
      <x:c r="N468" s="51" t="str">
        <x:v>A long-term offtake agreement converts an uncompleted project's future output into bankable demand</x:v>
      </x:c>
      <x:c r="O468" s="51" t="str">
        <x:v>Financial; material; geopolitical</x:v>
      </x:c>
      <x:c r="P468" s="51" t="str">
        <x:v>E1</x:v>
      </x:c>
      <x:c r="Q468" s="51" t="str">
        <x:v>Very high</x:v>
      </x:c>
      <x:c r="R468" s="51" t="str">
        <x:v>SRC-340</x:v>
      </x:c>
      <x:c r="S468" s="51" t="str">
        <x:v>ADNOC and IndianOil signed a 15-year 1 MTPA agreement.</x:v>
      </x:c>
      <x:c r="T468" s="51" t="str">
        <x:v>Completed plant construction or absence of force-majeure risk.</x:v>
      </x:c>
      <x:c r="U468" s="51" t="str">
        <x:v>Supply is expected primarily from Ruwais LNG subject to contract terms.</x:v>
      </x:c>
      <x:c r="V468" s="51" t="str">
        <x:v>Signed</x:v>
      </x:c>
      <x:c r="W468" s="51" t="str">
        <x:v>35;57</x:v>
      </x:c>
      <x:c r="X468" s="51" t="str">
        <x:v>2026-07-27</x:v>
      </x:c>
    </x:row>
    <x:row r="469">
      <x:c r="A469" s="51" t="str">
        <x:v>LNG-005</x:v>
      </x:c>
      <x:c r="B469" s="51" t="str">
        <x:v>LNG production, offtake and fleet power</x:v>
      </x:c>
      <x:c r="C469" s="51" t="str">
        <x:v>ACT-ADNOCTRADING</x:v>
      </x:c>
      <x:c r="D469" s="51" t="str">
        <x:v>ADNOC Trading</x:v>
      </x:c>
      <x:c r="E469" s="51" t="str">
        <x:v>ACT-LNGCARRIEROWNERSANDCHART</x:v>
      </x:c>
      <x:c r="F469" s="51" t="str">
        <x:v>LNG carrier owners and charterers</x:v>
      </x:c>
      <x:c r="G469" s="51" t="str">
        <x:v>Trading desk → shipping market</x:v>
      </x:c>
      <x:c r="H469" s="51" t="str">
        <x:v>2025–2026</x:v>
      </x:c>
      <x:c r="I469" s="51" t="str">
        <x:v>Physical chartering and freight derivatives</x:v>
      </x:c>
      <x:c r="J469" s="51" t="str">
        <x:v>INS-191</x:v>
      </x:c>
      <x:c r="K469" s="51" t="str">
        <x:v>ADNOC reports its desk ranked among leading global LNG charterers in 2025</x:v>
      </x:c>
      <x:c r="L469" s="51" t="str">
        <x:v>LNG sales book and vessel availability</x:v>
      </x:c>
      <x:c r="M469" s="51" t="str">
        <x:v>Chartered transport and freight hedge</x:v>
      </x:c>
      <x:c r="N469" s="51" t="str">
        <x:v>An integrated trading desk combines molecule, vessel and freight-derivative decisions in one portfolio</x:v>
      </x:c>
      <x:c r="O469" s="51" t="str">
        <x:v>Material; financial; informational</x:v>
      </x:c>
      <x:c r="P469" s="51" t="str">
        <x:v>E1</x:v>
      </x:c>
      <x:c r="Q469" s="51" t="str">
        <x:v>High</x:v>
      </x:c>
      <x:c r="R469" s="51" t="str">
        <x:v>SRC-341</x:v>
      </x:c>
      <x:c r="S469" s="51" t="str">
        <x:v>ADNOC states its LNG shipping desk was a leading charterer in physical and freight derivatives in 2025.</x:v>
      </x:c>
      <x:c r="T469" s="51" t="str">
        <x:v>Independent third-party verification of ranking or control of global LNG freight.</x:v>
      </x:c>
      <x:c r="U469" s="51" t="str">
        <x:v>Ranking methodology and competitor data require external confirmation.</x:v>
      </x:c>
      <x:c r="V469" s="51" t="str">
        <x:v>Active</x:v>
      </x:c>
      <x:c r="W469" s="51" t="str">
        <x:v>35;57</x:v>
      </x:c>
      <x:c r="X469" s="51" t="str">
        <x:v>2026-07-27</x:v>
      </x:c>
    </x:row>
    <x:row r="470">
      <x:c r="A470" s="51" t="str">
        <x:v>LNG-006</x:v>
      </x:c>
      <x:c r="B470" s="51" t="str">
        <x:v>LNG production, offtake and fleet power</x:v>
      </x:c>
      <x:c r="C470" s="51" t="str">
        <x:v>ACT-ADNOCLOGISTICSSERVICES</x:v>
      </x:c>
      <x:c r="D470" s="51" t="str">
        <x:v>ADNOC Logistics &amp; Services</x:v>
      </x:c>
      <x:c r="E470" s="51" t="str">
        <x:v>ACT-ADNOCTRADING</x:v>
      </x:c>
      <x:c r="F470" s="51" t="str">
        <x:v>ADNOC Trading</x:v>
      </x:c>
      <x:c r="G470" s="51" t="str">
        <x:v>Fleet owner → trading desk</x:v>
      </x:c>
      <x:c r="H470" s="51" t="str">
        <x:v>Ongoing</x:v>
      </x:c>
      <x:c r="I470" s="51" t="str">
        <x:v>Owned LNG fleet and logistics support</x:v>
      </x:c>
      <x:c r="J470" s="51" t="str">
        <x:v>INS-191</x:v>
      </x:c>
      <x:c r="K470" s="51" t="str">
        <x:v>20-vessel LNG fleet reported, including 14 dual-fuel carriers</x:v>
      </x:c>
      <x:c r="L470" s="51" t="str">
        <x:v>Vessels and operational capability</x:v>
      </x:c>
      <x:c r="M470" s="51" t="str">
        <x:v>Cargo transport capacity</x:v>
      </x:c>
      <x:c r="N470" s="51" t="str">
        <x:v>Corporate integration reduces dependence on spot vessel availability for selected cargoes</x:v>
      </x:c>
      <x:c r="O470" s="51" t="str">
        <x:v>Material; relational; financial</x:v>
      </x:c>
      <x:c r="P470" s="51" t="str">
        <x:v>E1</x:v>
      </x:c>
      <x:c r="Q470" s="51" t="str">
        <x:v>High</x:v>
      </x:c>
      <x:c r="R470" s="51" t="str">
        <x:v>SRC-341</x:v>
      </x:c>
      <x:c r="S470" s="51" t="str">
        <x:v>ADNOC reports a 20-vessel LNG fleet supporting trading and production growth.</x:v>
      </x:c>
      <x:c r="T470" s="51" t="str">
        <x:v>Exclusive transport of all ADNOC LNG or ownership of all chartered vessels.</x:v>
      </x:c>
      <x:c r="U470" s="51" t="str">
        <x:v>The group also uses market charters and third parties.</x:v>
      </x:c>
      <x:c r="V470" s="51" t="str">
        <x:v>Active</x:v>
      </x:c>
      <x:c r="W470" s="51" t="str">
        <x:v>35;57</x:v>
      </x:c>
      <x:c r="X470" s="51" t="str">
        <x:v>2026-07-27</x:v>
      </x:c>
    </x:row>
    <x:row r="471">
      <x:c r="A471" s="51" t="str">
        <x:v>LNG-007</x:v>
      </x:c>
      <x:c r="B471" s="51" t="str">
        <x:v>LNG production, offtake and fleet power</x:v>
      </x:c>
      <x:c r="C471" s="51" t="str">
        <x:v>ACT-PLATTSJKM</x:v>
      </x:c>
      <x:c r="D471" s="51" t="str">
        <x:v>Platts JKM</x:v>
      </x:c>
      <x:c r="E471" s="51" t="str">
        <x:v>ACT-CHENIEREENERGY</x:v>
      </x:c>
      <x:c r="F471" s="51" t="str">
        <x:v>Cheniere Energy</x:v>
      </x:c>
      <x:c r="G471" s="51" t="str">
        <x:v>Benchmark → exporter</x:v>
      </x:c>
      <x:c r="H471" s="51" t="str">
        <x:v>Ongoing</x:v>
      </x:c>
      <x:c r="I471" s="51" t="str">
        <x:v>Price reference and hedge basis</x:v>
      </x:c>
      <x:c r="J471" s="51" t="str">
        <x:v>INS-194</x:v>
      </x:c>
      <x:c r="K471" s="51" t="str">
        <x:v>Cargo-specific</x:v>
      </x:c>
      <x:c r="L471" s="51" t="str">
        <x:v>Asian delivered benchmark</x:v>
      </x:c>
      <x:c r="M471" s="51" t="str">
        <x:v>Commercial price signal and destination optionality</x:v>
      </x:c>
      <x:c r="N471" s="51" t="str">
        <x:v>JKM helps exporters compare Asian destination economics against European and contract alternatives</x:v>
      </x:c>
      <x:c r="O471" s="51" t="str">
        <x:v>Financial; informational; material</x:v>
      </x:c>
      <x:c r="P471" s="51" t="str">
        <x:v>S1</x:v>
      </x:c>
      <x:c r="Q471" s="51" t="str">
        <x:v>High</x:v>
      </x:c>
      <x:c r="R471" s="51" t="str">
        <x:v>SRC-344; SRC-345</x:v>
      </x:c>
      <x:c r="S471" s="51" t="str">
        <x:v>JKM is widely used for Northeast Asian LNG pricing while Cheniere sells globally.</x:v>
      </x:c>
      <x:c r="T471" s="51" t="str">
        <x:v>Direct evidence that all Cheniere cargoes are JKM-indexed.</x:v>
      </x:c>
      <x:c r="U471" s="51" t="str">
        <x:v>Cheniere contracts use multiple pricing structures.</x:v>
      </x:c>
      <x:c r="V471" s="51" t="str">
        <x:v>Active mechanism</x:v>
      </x:c>
      <x:c r="W471" s="51" t="str">
        <x:v>33;35;57</x:v>
      </x:c>
      <x:c r="X471" s="51" t="str">
        <x:v>2026-07-27</x:v>
      </x:c>
    </x:row>
    <x:row r="472">
      <x:c r="A472" s="51" t="str">
        <x:v>LOB-001</x:v>
      </x:c>
      <x:c r="B472" s="51" t="str">
        <x:v>Lobbying and policy intermediation</x:v>
      </x:c>
      <x:c r="C472" s="51" t="str">
        <x:v>ACT-OPENAI</x:v>
      </x:c>
      <x:c r="D472" s="51" t="str">
        <x:v>OpenAI</x:v>
      </x:c>
      <x:c r="E472" s="51" t="str">
        <x:v>ACT-FEDERALPOLICYMAKERSANDAG</x:v>
      </x:c>
      <x:c r="F472" s="51" t="str">
        <x:v>Federal policymakers and agencies</x:v>
      </x:c>
      <x:c r="G472" s="51" t="str">
        <x:v>Company → public decision-makers</x:v>
      </x:c>
      <x:c r="H472" s="51" t="str">
        <x:v>2025 Q4</x:v>
      </x:c>
      <x:c r="I472" s="51" t="str">
        <x:v>In-house federal lobbying</x:v>
      </x:c>
      <x:c r="J472" s="51" t="str">
        <x:v>INS-106</x:v>
      </x:c>
      <x:c r="K472" s="51" t="str">
        <x:v>$890,000 reported expense</x:v>
      </x:c>
      <x:c r="L472" s="51" t="str">
        <x:v>Corporate funds, policy expertise and lobbying staff</x:v>
      </x:c>
      <x:c r="M472" s="51" t="str">
        <x:v>Meetings and advocacy on AI, infrastructure, cybersecurity, copyright and privacy</x:v>
      </x:c>
      <x:c r="N472" s="51" t="str">
        <x:v>A frontier lab converts technical information and money into repeated access to legislative and executive processes</x:v>
      </x:c>
      <x:c r="O472" s="51" t="str">
        <x:v>Financial; relational; narrative; institutional</x:v>
      </x:c>
      <x:c r="P472" s="51" t="str">
        <x:v>E1</x:v>
      </x:c>
      <x:c r="Q472" s="51" t="str">
        <x:v>Very high</x:v>
      </x:c>
      <x:c r="R472" s="51" t="str">
        <x:v>SRC-214</x:v>
      </x:c>
      <x:c r="S472" s="51" t="str">
        <x:v>OpenAI disclosed lobbying on named issue areas and institutions.</x:v>
      </x:c>
      <x:c r="T472" s="51" t="str">
        <x:v>Purchase of policy outcomes, agreement by officials or causal effect on any law.</x:v>
      </x:c>
      <x:c r="U472" s="51" t="str">
        <x:v>Lobbying is legal advocacy and outcomes require separate evidence.</x:v>
      </x:c>
      <x:c r="V472" s="51" t="str">
        <x:v>Filed</x:v>
      </x:c>
      <x:c r="W472" s="51" t="str">
        <x:v>11;57</x:v>
      </x:c>
      <x:c r="X472" s="51" t="str">
        <x:v>2026-07-27</x:v>
      </x:c>
    </x:row>
    <x:row r="473">
      <x:c r="A473" s="51" t="str">
        <x:v>LOB-002</x:v>
      </x:c>
      <x:c r="B473" s="51" t="str">
        <x:v>Lobbying and policy intermediation</x:v>
      </x:c>
      <x:c r="C473" s="51" t="str">
        <x:v>ACT-OPENAI</x:v>
      </x:c>
      <x:c r="D473" s="51" t="str">
        <x:v>OpenAI</x:v>
      </x:c>
      <x:c r="E473" s="51" t="str">
        <x:v>ACT-MILLERSTRATEGIES</x:v>
      </x:c>
      <x:c r="F473" s="51" t="str">
        <x:v>Miller Strategies</x:v>
      </x:c>
      <x:c r="G473" s="51" t="str">
        <x:v>Company → lobbying firm</x:v>
      </x:c>
      <x:c r="H473" s="51" t="str">
        <x:v>2025 Q3</x:v>
      </x:c>
      <x:c r="I473" s="51" t="str">
        <x:v>External lobbying engagement</x:v>
      </x:c>
      <x:c r="J473" s="51" t="str">
        <x:v>INS-107</x:v>
      </x:c>
      <x:c r="K473" s="51" t="str">
        <x:v>$150,000</x:v>
      </x:c>
      <x:c r="L473" s="51" t="str">
        <x:v>Corporate funds and policy objectives</x:v>
      </x:c>
      <x:c r="M473" s="51" t="str">
        <x:v>Professional advocacy on AI research and deployment</x:v>
      </x:c>
      <x:c r="N473" s="51" t="str">
        <x:v>An intermediary packages company priorities into legislative and executive access</x:v>
      </x:c>
      <x:c r="O473" s="51" t="str">
        <x:v>Financial; relational; narrative</x:v>
      </x:c>
      <x:c r="P473" s="51" t="str">
        <x:v>E1</x:v>
      </x:c>
      <x:c r="Q473" s="51" t="str">
        <x:v>Very high</x:v>
      </x:c>
      <x:c r="R473" s="51" t="str">
        <x:v>SRC-215</x:v>
      </x:c>
      <x:c r="S473" s="51" t="str">
        <x:v>The official filing records the engagement and amount.</x:v>
      </x:c>
      <x:c r="T473" s="51" t="str">
        <x:v>Policy control, exclusive representation or bribery.</x:v>
      </x:c>
      <x:c r="U473" s="51" t="str">
        <x:v>The filing documents activity, not impact.</x:v>
      </x:c>
      <x:c r="V473" s="51" t="str">
        <x:v>Historical / may continue through other quarters</x:v>
      </x:c>
      <x:c r="W473" s="51" t="str">
        <x:v>11;57</x:v>
      </x:c>
      <x:c r="X473" s="51" t="str">
        <x:v>2026-07-27</x:v>
      </x:c>
    </x:row>
    <x:row r="474">
      <x:c r="A474" s="51" t="str">
        <x:v>LOB-003</x:v>
      </x:c>
      <x:c r="B474" s="51" t="str">
        <x:v>Lobbying and policy intermediation</x:v>
      </x:c>
      <x:c r="C474" s="51" t="str">
        <x:v>ACT-OPENAI</x:v>
      </x:c>
      <x:c r="D474" s="51" t="str">
        <x:v>OpenAI</x:v>
      </x:c>
      <x:c r="E474" s="51" t="str">
        <x:v>ACT-AKINGUMPSTRAUSSHAUERFELD</x:v>
      </x:c>
      <x:c r="F474" s="51" t="str">
        <x:v>Akin Gump Strauss Hauer &amp; Feld</x:v>
      </x:c>
      <x:c r="G474" s="51" t="str">
        <x:v>Company → law/lobbying firm</x:v>
      </x:c>
      <x:c r="H474" s="51" t="str">
        <x:v>2025</x:v>
      </x:c>
      <x:c r="I474" s="51" t="str">
        <x:v>External lobbying engagement</x:v>
      </x:c>
      <x:c r="J474" s="51" t="str">
        <x:v>INS-113</x:v>
      </x:c>
      <x:c r="K474" s="51" t="str">
        <x:v>$80,000 reported for Q1 2025 in search results</x:v>
      </x:c>
      <x:c r="L474" s="51" t="str">
        <x:v>Corporate funds and policy objectives</x:v>
      </x:c>
      <x:c r="M474" s="51" t="str">
        <x:v>Legal and lobbying representation</x:v>
      </x:c>
      <x:c r="N474" s="51" t="str">
        <x:v>Law firms combine technical legal analysis with political access</x:v>
      </x:c>
      <x:c r="O474" s="51" t="str">
        <x:v>Financial; relational; institutional</x:v>
      </x:c>
      <x:c r="P474" s="51" t="str">
        <x:v>E1</x:v>
      </x:c>
      <x:c r="Q474" s="51" t="str">
        <x:v>High</x:v>
      </x:c>
      <x:c r="R474" s="51" t="str">
        <x:v>SRC-220</x:v>
      </x:c>
      <x:c r="S474" s="51" t="str">
        <x:v>LDA records show an Akin Gump engagement for OpenAI.</x:v>
      </x:c>
      <x:c r="T474" s="51" t="str">
        <x:v>A specific policy outcome or exclusive legal counsel role.</x:v>
      </x:c>
      <x:c r="U474" s="51" t="str">
        <x:v>The underlying quarterly form should be archived separately.</x:v>
      </x:c>
      <x:c r="V474" s="51" t="str">
        <x:v>Filed</x:v>
      </x:c>
      <x:c r="W474" s="51" t="str">
        <x:v>11;57</x:v>
      </x:c>
      <x:c r="X474" s="51" t="str">
        <x:v>2026-07-27</x:v>
      </x:c>
    </x:row>
    <x:row r="475">
      <x:c r="A475" s="51" t="str">
        <x:v>LOB-004</x:v>
      </x:c>
      <x:c r="B475" s="51" t="str">
        <x:v>Lobbying and policy intermediation</x:v>
      </x:c>
      <x:c r="C475" s="51" t="str">
        <x:v>ACT-OPENAI</x:v>
      </x:c>
      <x:c r="D475" s="51" t="str">
        <x:v>OpenAI</x:v>
      </x:c>
      <x:c r="E475" s="51" t="str">
        <x:v>ACT-MERCURYPUBLICAFFAIRS</x:v>
      </x:c>
      <x:c r="F475" s="51" t="str">
        <x:v>Mercury Public Affairs</x:v>
      </x:c>
      <x:c r="G475" s="51" t="str">
        <x:v>Company → public-affairs firm</x:v>
      </x:c>
      <x:c r="H475" s="51" t="str">
        <x:v>2026</x:v>
      </x:c>
      <x:c r="I475" s="51" t="str">
        <x:v>External lobbying engagement</x:v>
      </x:c>
      <x:c r="J475" s="51" t="str">
        <x:v>INS-113</x:v>
      </x:c>
      <x:c r="K475" s="51" t="str">
        <x:v>$50,000 reported for Q1 2026</x:v>
      </x:c>
      <x:c r="L475" s="51" t="str">
        <x:v>Corporate funds and communications strategy</x:v>
      </x:c>
      <x:c r="M475" s="51" t="str">
        <x:v>Federal policy advocacy</x:v>
      </x:c>
      <x:c r="N475" s="51" t="str">
        <x:v>Public-affairs firms combine lobbying, messaging and coalition work</x:v>
      </x:c>
      <x:c r="O475" s="51" t="str">
        <x:v>Financial; relational; narrative</x:v>
      </x:c>
      <x:c r="P475" s="51" t="str">
        <x:v>E1</x:v>
      </x:c>
      <x:c r="Q475" s="51" t="str">
        <x:v>High</x:v>
      </x:c>
      <x:c r="R475" s="51" t="str">
        <x:v>SRC-220</x:v>
      </x:c>
      <x:c r="S475" s="51" t="str">
        <x:v>LDA records show a Mercury engagement for OpenAI.</x:v>
      </x:c>
      <x:c r="T475" s="51" t="str">
        <x:v>Policy purchase or proof that public messaging was misleading.</x:v>
      </x:c>
      <x:c r="U475" s="51" t="str">
        <x:v>The exact issue list requires the individual filing.</x:v>
      </x:c>
      <x:c r="V475" s="51" t="str">
        <x:v>Filed</x:v>
      </x:c>
      <x:c r="W475" s="51" t="str">
        <x:v>11;57</x:v>
      </x:c>
      <x:c r="X475" s="51" t="str">
        <x:v>2026-07-27</x:v>
      </x:c>
    </x:row>
    <x:row r="476">
      <x:c r="A476" s="51" t="str">
        <x:v>LOB-005</x:v>
      </x:c>
      <x:c r="B476" s="51" t="str">
        <x:v>Lobbying and policy intermediation</x:v>
      </x:c>
      <x:c r="C476" s="51" t="str">
        <x:v>ACT-NVIDIA</x:v>
      </x:c>
      <x:c r="D476" s="51" t="str">
        <x:v>NVIDIA</x:v>
      </x:c>
      <x:c r="E476" s="51" t="str">
        <x:v>ACT-BGRGOVERNMENTAFFAIRS</x:v>
      </x:c>
      <x:c r="F476" s="51" t="str">
        <x:v>BGR Government Affairs</x:v>
      </x:c>
      <x:c r="G476" s="51" t="str">
        <x:v>Company → lobbying firm</x:v>
      </x:c>
      <x:c r="H476" s="51" t="str">
        <x:v>2026 Q1</x:v>
      </x:c>
      <x:c r="I476" s="51" t="str">
        <x:v>External lobbying engagement</x:v>
      </x:c>
      <x:c r="J476" s="51" t="str">
        <x:v>INS-108</x:v>
      </x:c>
      <x:c r="K476" s="51" t="str">
        <x:v>$120,000</x:v>
      </x:c>
      <x:c r="L476" s="51" t="str">
        <x:v>Semiconductor and AI policy objectives</x:v>
      </x:c>
      <x:c r="M476" s="51" t="str">
        <x:v>Congressional advocacy on trade and AI</x:v>
      </x:c>
      <x:c r="N476" s="51" t="str">
        <x:v>A chip-platform company uses former-government expertise to navigate export, trade and defence policy</x:v>
      </x:c>
      <x:c r="O476" s="51" t="str">
        <x:v>Financial; relational; institutional</x:v>
      </x:c>
      <x:c r="P476" s="51" t="str">
        <x:v>E1</x:v>
      </x:c>
      <x:c r="Q476" s="51" t="str">
        <x:v>Very high</x:v>
      </x:c>
      <x:c r="R476" s="51" t="str">
        <x:v>SRC-216</x:v>
      </x:c>
      <x:c r="S476" s="51" t="str">
        <x:v>The filing identifies the amount, issues and Congress as target.</x:v>
      </x:c>
      <x:c r="T476" s="51" t="str">
        <x:v>Control of export policy or improper conduct by named lobbyists.</x:v>
      </x:c>
      <x:c r="U476" s="51" t="str">
        <x:v>Former service establishes experience, not continuing government authority.</x:v>
      </x:c>
      <x:c r="V476" s="51" t="str">
        <x:v>Filed</x:v>
      </x:c>
      <x:c r="W476" s="51" t="str">
        <x:v>11;43;57</x:v>
      </x:c>
      <x:c r="X476" s="51" t="str">
        <x:v>2026-07-27</x:v>
      </x:c>
    </x:row>
    <x:row r="477">
      <x:c r="A477" s="51" t="str">
        <x:v>LOB-006</x:v>
      </x:c>
      <x:c r="B477" s="51" t="str">
        <x:v>Lobbying and policy intermediation</x:v>
      </x:c>
      <x:c r="C477" s="51" t="str">
        <x:v>ACT-NVIDIA</x:v>
      </x:c>
      <x:c r="D477" s="51" t="str">
        <x:v>NVIDIA</x:v>
      </x:c>
      <x:c r="E477" s="51" t="str">
        <x:v>ACT-TIBERCREEKGROUP</x:v>
      </x:c>
      <x:c r="F477" s="51" t="str">
        <x:v>Tiber Creek Group</x:v>
      </x:c>
      <x:c r="G477" s="51" t="str">
        <x:v>Company → lobbying firm</x:v>
      </x:c>
      <x:c r="H477" s="51" t="str">
        <x:v>2025 Q3</x:v>
      </x:c>
      <x:c r="I477" s="51" t="str">
        <x:v>External lobbying engagement</x:v>
      </x:c>
      <x:c r="J477" s="51" t="str">
        <x:v>INS-109</x:v>
      </x:c>
      <x:c r="K477" s="51" t="str">
        <x:v>$80,000</x:v>
      </x:c>
      <x:c r="L477" s="51" t="str">
        <x:v>Semiconductor trade, AI and defence-policy objectives</x:v>
      </x:c>
      <x:c r="M477" s="51" t="str">
        <x:v>Congressional advocacy</x:v>
      </x:c>
      <x:c r="N477" s="51" t="str">
        <x:v>A technology supplier converts commercial exposure to trade rules into organised policy representation</x:v>
      </x:c>
      <x:c r="O477" s="51" t="str">
        <x:v>Financial; relational; institutional</x:v>
      </x:c>
      <x:c r="P477" s="51" t="str">
        <x:v>E1</x:v>
      </x:c>
      <x:c r="Q477" s="51" t="str">
        <x:v>Very high</x:v>
      </x:c>
      <x:c r="R477" s="51" t="str">
        <x:v>SRC-217</x:v>
      </x:c>
      <x:c r="S477" s="51" t="str">
        <x:v>The filing names trade, AI and defence legislation.</x:v>
      </x:c>
      <x:c r="T477" s="51" t="str">
        <x:v>Causal influence on the NDAA or trade decisions.</x:v>
      </x:c>
      <x:c r="U477" s="51" t="str">
        <x:v>Many actors lobby on the same legislation.</x:v>
      </x:c>
      <x:c r="V477" s="51" t="str">
        <x:v>Filed</x:v>
      </x:c>
      <x:c r="W477" s="51" t="str">
        <x:v>11;43;57</x:v>
      </x:c>
      <x:c r="X477" s="51" t="str">
        <x:v>2026-07-27</x:v>
      </x:c>
    </x:row>
    <x:row r="478">
      <x:c r="A478" s="51" t="str">
        <x:v>LOB-007</x:v>
      </x:c>
      <x:c r="B478" s="51" t="str">
        <x:v>Lobbying and policy intermediation</x:v>
      </x:c>
      <x:c r="C478" s="51" t="str">
        <x:v>ACT-ANTHROPIC</x:v>
      </x:c>
      <x:c r="D478" s="51" t="str">
        <x:v>Anthropic</x:v>
      </x:c>
      <x:c r="E478" s="51" t="str">
        <x:v>ACT-CONTINENTALSTRATEGY</x:v>
      </x:c>
      <x:c r="F478" s="51" t="str">
        <x:v>Continental Strategy</x:v>
      </x:c>
      <x:c r="G478" s="51" t="str">
        <x:v>Company → lobbying firm</x:v>
      </x:c>
      <x:c r="H478" s="51" t="str">
        <x:v>2025–2026</x:v>
      </x:c>
      <x:c r="I478" s="51" t="str">
        <x:v>External lobbying engagement</x:v>
      </x:c>
      <x:c r="J478" s="51" t="str">
        <x:v>INS-110</x:v>
      </x:c>
      <x:c r="K478" s="51" t="str">
        <x:v>$300,000 across Q1–Q2 2026; prior 2025 filings</x:v>
      </x:c>
      <x:c r="L478" s="51" t="str">
        <x:v>AI policy objectives and corporate funds</x:v>
      </x:c>
      <x:c r="M478" s="51" t="str">
        <x:v>Federal advocacy and strategic counsel</x:v>
      </x:c>
      <x:c r="N478" s="51" t="str">
        <x:v>A frontier lab builds a recurring external policy channel alongside donations and internal policy teams</x:v>
      </x:c>
      <x:c r="O478" s="51" t="str">
        <x:v>Financial; relational; narrative</x:v>
      </x:c>
      <x:c r="P478" s="51" t="str">
        <x:v>E1</x:v>
      </x:c>
      <x:c r="Q478" s="51" t="str">
        <x:v>Very high</x:v>
      </x:c>
      <x:c r="R478" s="51" t="str">
        <x:v>SRC-218</x:v>
      </x:c>
      <x:c r="S478" s="51" t="str">
        <x:v>Official LDA search results document quarterly engagements and amounts.</x:v>
      </x:c>
      <x:c r="T478" s="51" t="str">
        <x:v>Policy control, illegal coordination or identity of every issue without the underlying forms.</x:v>
      </x:c>
      <x:c r="U478" s="51" t="str">
        <x:v>Issue-specific filings should be preserved in V6.</x:v>
      </x:c>
      <x:c r="V478" s="51" t="str">
        <x:v>Active / filed</x:v>
      </x:c>
      <x:c r="W478" s="51" t="str">
        <x:v>11;57</x:v>
      </x:c>
      <x:c r="X478" s="51" t="str">
        <x:v>2026-07-27</x:v>
      </x:c>
    </x:row>
    <x:row r="479">
      <x:c r="A479" s="51" t="str">
        <x:v>LOB-008</x:v>
      </x:c>
      <x:c r="B479" s="51" t="str">
        <x:v>Lobbying and policy intermediation</x:v>
      </x:c>
      <x:c r="C479" s="51" t="str">
        <x:v>ACT-APPLIEDMATERIALS</x:v>
      </x:c>
      <x:c r="D479" s="51" t="str">
        <x:v>Applied Materials</x:v>
      </x:c>
      <x:c r="E479" s="51" t="str">
        <x:v>ACT-CONTINENTALSTRATEGY</x:v>
      </x:c>
      <x:c r="F479" s="51" t="str">
        <x:v>Continental Strategy</x:v>
      </x:c>
      <x:c r="G479" s="51" t="str">
        <x:v>Company → lobbying firm</x:v>
      </x:c>
      <x:c r="H479" s="51" t="str">
        <x:v>2025–2026</x:v>
      </x:c>
      <x:c r="I479" s="51" t="str">
        <x:v>External lobbying engagement</x:v>
      </x:c>
      <x:c r="J479" s="51" t="str">
        <x:v>INS-111</x:v>
      </x:c>
      <x:c r="K479" s="51" t="str">
        <x:v>$180,000 across Q1–Q2 2026; prior filings</x:v>
      </x:c>
      <x:c r="L479" s="51" t="str">
        <x:v>Semiconductor-equipment and industrial-policy priorities</x:v>
      </x:c>
      <x:c r="M479" s="51" t="str">
        <x:v>Federal advocacy</x:v>
      </x:c>
      <x:c r="N479" s="51" t="str">
        <x:v>Manufacturing-equipment firms seek influence over export, subsidy and industrial-policy rules that shape customer access</x:v>
      </x:c>
      <x:c r="O479" s="51" t="str">
        <x:v>Financial; relational; institutional</x:v>
      </x:c>
      <x:c r="P479" s="51" t="str">
        <x:v>E1</x:v>
      </x:c>
      <x:c r="Q479" s="51" t="str">
        <x:v>Very high</x:v>
      </x:c>
      <x:c r="R479" s="51" t="str">
        <x:v>SRC-218</x:v>
      </x:c>
      <x:c r="S479" s="51" t="str">
        <x:v>Official filings document the relationship and amounts.</x:v>
      </x:c>
      <x:c r="T479" s="51" t="str">
        <x:v>Control of BIS policy or proof of coordination with other clients.</x:v>
      </x:c>
      <x:c r="U479" s="51" t="str">
        <x:v>The firm represents multiple clients with potentially conflicting interests.</x:v>
      </x:c>
      <x:c r="V479" s="51" t="str">
        <x:v>Active / filed</x:v>
      </x:c>
      <x:c r="W479" s="51" t="str">
        <x:v>11;43;57</x:v>
      </x:c>
      <x:c r="X479" s="51" t="str">
        <x:v>2026-07-27</x:v>
      </x:c>
    </x:row>
    <x:row r="480">
      <x:c r="A480" s="51" t="str">
        <x:v>LOB-009</x:v>
      </x:c>
      <x:c r="B480" s="51" t="str">
        <x:v>Lobbying and policy intermediation</x:v>
      </x:c>
      <x:c r="C480" s="51" t="str">
        <x:v>ACT-METAPLATFORMS</x:v>
      </x:c>
      <x:c r="D480" s="51" t="str">
        <x:v>Meta Platforms</x:v>
      </x:c>
      <x:c r="E480" s="51" t="str">
        <x:v>ACT-535GROUP</x:v>
      </x:c>
      <x:c r="F480" s="51" t="str">
        <x:v>535 Group</x:v>
      </x:c>
      <x:c r="G480" s="51" t="str">
        <x:v>Company → lobbying firm</x:v>
      </x:c>
      <x:c r="H480" s="51" t="str">
        <x:v>2025–2026</x:v>
      </x:c>
      <x:c r="I480" s="51" t="str">
        <x:v>External lobbying engagement</x:v>
      </x:c>
      <x:c r="J480" s="51" t="str">
        <x:v>INS-112</x:v>
      </x:c>
      <x:c r="K480" s="51" t="str">
        <x:v>$30,000 quarterly in cited filings</x:v>
      </x:c>
      <x:c r="L480" s="51" t="str">
        <x:v>Platform policy objectives and corporate funds</x:v>
      </x:c>
      <x:c r="M480" s="51" t="str">
        <x:v>Federal lobbying access</x:v>
      </x:c>
      <x:c r="N480" s="51" t="str">
        <x:v>A platform maintains multiple specialised external channels rather than one unified lobbying relationship</x:v>
      </x:c>
      <x:c r="O480" s="51" t="str">
        <x:v>Financial; relational; narrative</x:v>
      </x:c>
      <x:c r="P480" s="51" t="str">
        <x:v>E1</x:v>
      </x:c>
      <x:c r="Q480" s="51" t="str">
        <x:v>Very high</x:v>
      </x:c>
      <x:c r="R480" s="51" t="str">
        <x:v>SRC-219</x:v>
      </x:c>
      <x:c r="S480" s="51" t="str">
        <x:v>LDA records show recurring 535 Group engagements for Meta.</x:v>
      </x:c>
      <x:c r="T480" s="51" t="str">
        <x:v>Policy purchase or control over officials.</x:v>
      </x:c>
      <x:c r="U480" s="51" t="str">
        <x:v>The filing amount is a reported estimate under LDA rules.</x:v>
      </x:c>
      <x:c r="V480" s="51" t="str">
        <x:v>Active / filed</x:v>
      </x:c>
      <x:c r="W480" s="51" t="str">
        <x:v>11;57</x:v>
      </x:c>
      <x:c r="X480" s="51" t="str">
        <x:v>2026-07-27</x:v>
      </x:c>
    </x:row>
    <x:row r="481">
      <x:c r="A481" s="51" t="str">
        <x:v>LOB-010</x:v>
      </x:c>
      <x:c r="B481" s="51" t="str">
        <x:v>Lobbying and policy intermediation</x:v>
      </x:c>
      <x:c r="C481" s="51" t="str">
        <x:v>ACT-METAPLATFORMS</x:v>
      </x:c>
      <x:c r="D481" s="51" t="str">
        <x:v>Meta Platforms</x:v>
      </x:c>
      <x:c r="E481" s="51" t="str">
        <x:v>ACT-ELEVATEGOVERNMENTAFFAIRS</x:v>
      </x:c>
      <x:c r="F481" s="51" t="str">
        <x:v>Elevate Government Affairs</x:v>
      </x:c>
      <x:c r="G481" s="51" t="str">
        <x:v>Company → lobbying firm</x:v>
      </x:c>
      <x:c r="H481" s="51" t="str">
        <x:v>2025–2026</x:v>
      </x:c>
      <x:c r="I481" s="51" t="str">
        <x:v>External lobbying engagement</x:v>
      </x:c>
      <x:c r="J481" s="51" t="str">
        <x:v>INS-112</x:v>
      </x:c>
      <x:c r="K481" s="51" t="str">
        <x:v>$50,000 quarterly in cited filings</x:v>
      </x:c>
      <x:c r="L481" s="51" t="str">
        <x:v>Platform policy objectives and corporate funds</x:v>
      </x:c>
      <x:c r="M481" s="51" t="str">
        <x:v>Federal advocacy</x:v>
      </x:c>
      <x:c r="N481" s="51" t="str">
        <x:v>Multiple firms provide issue, party, committee or relationship-specific policy access</x:v>
      </x:c>
      <x:c r="O481" s="51" t="str">
        <x:v>Financial; relational; narrative</x:v>
      </x:c>
      <x:c r="P481" s="51" t="str">
        <x:v>E1</x:v>
      </x:c>
      <x:c r="Q481" s="51" t="str">
        <x:v>Very high</x:v>
      </x:c>
      <x:c r="R481" s="51" t="str">
        <x:v>SRC-219</x:v>
      </x:c>
      <x:c r="S481" s="51" t="str">
        <x:v>LDA records show recurring Elevate engagements for Meta.</x:v>
      </x:c>
      <x:c r="T481" s="51" t="str">
        <x:v>A unified command network among all Meta lobbyists or direct policy causation.</x:v>
      </x:c>
      <x:c r="U481" s="51" t="str">
        <x:v>Registrants may cover different issues and relationships.</x:v>
      </x:c>
      <x:c r="V481" s="51" t="str">
        <x:v>Active / filed</x:v>
      </x:c>
      <x:c r="W481" s="51" t="str">
        <x:v>11;57</x:v>
      </x:c>
      <x:c r="X481" s="51" t="str">
        <x:v>2026-07-27</x:v>
      </x:c>
    </x:row>
    <x:row r="482">
      <x:c r="A482" s="51" t="str">
        <x:v>LOB-011</x:v>
      </x:c>
      <x:c r="B482" s="51" t="str">
        <x:v>Lobbying and policy intermediation</x:v>
      </x:c>
      <x:c r="C482" s="51" t="str">
        <x:v>ACT-MILLERSTRATEGIES</x:v>
      </x:c>
      <x:c r="D482" s="51" t="str">
        <x:v>Miller Strategies</x:v>
      </x:c>
      <x:c r="E482" s="51" t="str">
        <x:v>ACT-LOBBYINGDISCLOSUREACTSYS</x:v>
      </x:c>
      <x:c r="F482" s="51" t="str">
        <x:v>Lobbying Disclosure Act system</x:v>
      </x:c>
      <x:c r="G482" s="51" t="str">
        <x:v>Registrant → disclosure system</x:v>
      </x:c>
      <x:c r="H482" s="51" t="str">
        <x:v>Ongoing</x:v>
      </x:c>
      <x:c r="I482" s="51" t="str">
        <x:v>Registration and quarterly reporting</x:v>
      </x:c>
      <x:c r="J482" s="51" t="str"/>
      <x:c r="K482" s="51" t="str">
        <x:v>Firm- and client-specific</x:v>
      </x:c>
      <x:c r="L482" s="51" t="str">
        <x:v>Lobbying activity, issue, amount and covered-position disclosures</x:v>
      </x:c>
      <x:c r="M482" s="51" t="str">
        <x:v>Publicly searchable filing</x:v>
      </x:c>
      <x:c r="N482" s="51" t="str">
        <x:v>Disclosure law converts private influence activity into a partial public audit trail</x:v>
      </x:c>
      <x:c r="O482" s="51" t="str">
        <x:v>Informational; institutional</x:v>
      </x:c>
      <x:c r="P482" s="51" t="str">
        <x:v>E1</x:v>
      </x:c>
      <x:c r="Q482" s="51" t="str">
        <x:v>High</x:v>
      </x:c>
      <x:c r="R482" s="51" t="str">
        <x:v>SRC-214; SRC-215; SRC-216; SRC-217; SRC-218; SRC-219; SRC-220</x:v>
      </x:c>
      <x:c r="S482" s="51" t="str">
        <x:v>Miller Strategies appears in official federal lobbying disclosures.</x:v>
      </x:c>
      <x:c r="T482" s="51" t="str">
        <x:v>Complete transparency of informal influence, accuracy beyond filed estimates or proof of effectiveness.</x:v>
      </x:c>
      <x:c r="U482" s="51" t="str">
        <x:v>Some advocacy, donations and meetings fall outside LDA reporting thresholds or definitions.</x:v>
      </x:c>
      <x:c r="V482" s="51" t="str">
        <x:v>Active</x:v>
      </x:c>
      <x:c r="W482" s="51" t="str">
        <x:v>11;57</x:v>
      </x:c>
      <x:c r="X482" s="51" t="str">
        <x:v>2026-07-27</x:v>
      </x:c>
    </x:row>
    <x:row r="483">
      <x:c r="A483" s="51" t="str">
        <x:v>LOB-012</x:v>
      </x:c>
      <x:c r="B483" s="51" t="str">
        <x:v>Lobbying and policy intermediation</x:v>
      </x:c>
      <x:c r="C483" s="51" t="str">
        <x:v>ACT-AKINGUMPSTRAUSSHAUERFELD</x:v>
      </x:c>
      <x:c r="D483" s="51" t="str">
        <x:v>Akin Gump Strauss Hauer &amp; Feld</x:v>
      </x:c>
      <x:c r="E483" s="51" t="str">
        <x:v>ACT-LOBBYINGDISCLOSUREACTSYS</x:v>
      </x:c>
      <x:c r="F483" s="51" t="str">
        <x:v>Lobbying Disclosure Act system</x:v>
      </x:c>
      <x:c r="G483" s="51" t="str">
        <x:v>Registrant → disclosure system</x:v>
      </x:c>
      <x:c r="H483" s="51" t="str">
        <x:v>Ongoing</x:v>
      </x:c>
      <x:c r="I483" s="51" t="str">
        <x:v>Registration and quarterly reporting</x:v>
      </x:c>
      <x:c r="J483" s="51" t="str"/>
      <x:c r="K483" s="51" t="str">
        <x:v>Firm- and client-specific</x:v>
      </x:c>
      <x:c r="L483" s="51" t="str">
        <x:v>Lobbying activity, issue, amount and covered-position disclosures</x:v>
      </x:c>
      <x:c r="M483" s="51" t="str">
        <x:v>Publicly searchable filing</x:v>
      </x:c>
      <x:c r="N483" s="51" t="str">
        <x:v>Disclosure law converts private influence activity into a partial public audit trail</x:v>
      </x:c>
      <x:c r="O483" s="51" t="str">
        <x:v>Informational; institutional</x:v>
      </x:c>
      <x:c r="P483" s="51" t="str">
        <x:v>E1</x:v>
      </x:c>
      <x:c r="Q483" s="51" t="str">
        <x:v>High</x:v>
      </x:c>
      <x:c r="R483" s="51" t="str">
        <x:v>SRC-214; SRC-215; SRC-216; SRC-217; SRC-218; SRC-219; SRC-220</x:v>
      </x:c>
      <x:c r="S483" s="51" t="str">
        <x:v>Akin Gump Strauss Hauer &amp; Feld appears in official federal lobbying disclosures.</x:v>
      </x:c>
      <x:c r="T483" s="51" t="str">
        <x:v>Complete transparency of informal influence, accuracy beyond filed estimates or proof of effectiveness.</x:v>
      </x:c>
      <x:c r="U483" s="51" t="str">
        <x:v>Some advocacy, donations and meetings fall outside LDA reporting thresholds or definitions.</x:v>
      </x:c>
      <x:c r="V483" s="51" t="str">
        <x:v>Active</x:v>
      </x:c>
      <x:c r="W483" s="51" t="str">
        <x:v>11;57</x:v>
      </x:c>
      <x:c r="X483" s="51" t="str">
        <x:v>2026-07-27</x:v>
      </x:c>
    </x:row>
    <x:row r="484">
      <x:c r="A484" s="51" t="str">
        <x:v>LOB-013</x:v>
      </x:c>
      <x:c r="B484" s="51" t="str">
        <x:v>Lobbying and policy intermediation</x:v>
      </x:c>
      <x:c r="C484" s="51" t="str">
        <x:v>ACT-MERCURYPUBLICAFFAIRS</x:v>
      </x:c>
      <x:c r="D484" s="51" t="str">
        <x:v>Mercury Public Affairs</x:v>
      </x:c>
      <x:c r="E484" s="51" t="str">
        <x:v>ACT-LOBBYINGDISCLOSUREACTSYS</x:v>
      </x:c>
      <x:c r="F484" s="51" t="str">
        <x:v>Lobbying Disclosure Act system</x:v>
      </x:c>
      <x:c r="G484" s="51" t="str">
        <x:v>Registrant → disclosure system</x:v>
      </x:c>
      <x:c r="H484" s="51" t="str">
        <x:v>Ongoing</x:v>
      </x:c>
      <x:c r="I484" s="51" t="str">
        <x:v>Registration and quarterly reporting</x:v>
      </x:c>
      <x:c r="J484" s="51" t="str"/>
      <x:c r="K484" s="51" t="str">
        <x:v>Firm- and client-specific</x:v>
      </x:c>
      <x:c r="L484" s="51" t="str">
        <x:v>Lobbying activity, issue, amount and covered-position disclosures</x:v>
      </x:c>
      <x:c r="M484" s="51" t="str">
        <x:v>Publicly searchable filing</x:v>
      </x:c>
      <x:c r="N484" s="51" t="str">
        <x:v>Disclosure law converts private influence activity into a partial public audit trail</x:v>
      </x:c>
      <x:c r="O484" s="51" t="str">
        <x:v>Informational; institutional</x:v>
      </x:c>
      <x:c r="P484" s="51" t="str">
        <x:v>E1</x:v>
      </x:c>
      <x:c r="Q484" s="51" t="str">
        <x:v>High</x:v>
      </x:c>
      <x:c r="R484" s="51" t="str">
        <x:v>SRC-214; SRC-215; SRC-216; SRC-217; SRC-218; SRC-219; SRC-220</x:v>
      </x:c>
      <x:c r="S484" s="51" t="str">
        <x:v>Mercury Public Affairs appears in official federal lobbying disclosures.</x:v>
      </x:c>
      <x:c r="T484" s="51" t="str">
        <x:v>Complete transparency of informal influence, accuracy beyond filed estimates or proof of effectiveness.</x:v>
      </x:c>
      <x:c r="U484" s="51" t="str">
        <x:v>Some advocacy, donations and meetings fall outside LDA reporting thresholds or definitions.</x:v>
      </x:c>
      <x:c r="V484" s="51" t="str">
        <x:v>Active</x:v>
      </x:c>
      <x:c r="W484" s="51" t="str">
        <x:v>11;57</x:v>
      </x:c>
      <x:c r="X484" s="51" t="str">
        <x:v>2026-07-27</x:v>
      </x:c>
    </x:row>
    <x:row r="485">
      <x:c r="A485" s="51" t="str">
        <x:v>LOB-014</x:v>
      </x:c>
      <x:c r="B485" s="51" t="str">
        <x:v>Lobbying and policy intermediation</x:v>
      </x:c>
      <x:c r="C485" s="51" t="str">
        <x:v>ACT-BGRGOVERNMENTAFFAIRS</x:v>
      </x:c>
      <x:c r="D485" s="51" t="str">
        <x:v>BGR Government Affairs</x:v>
      </x:c>
      <x:c r="E485" s="51" t="str">
        <x:v>ACT-LOBBYINGDISCLOSUREACTSYS</x:v>
      </x:c>
      <x:c r="F485" s="51" t="str">
        <x:v>Lobbying Disclosure Act system</x:v>
      </x:c>
      <x:c r="G485" s="51" t="str">
        <x:v>Registrant → disclosure system</x:v>
      </x:c>
      <x:c r="H485" s="51" t="str">
        <x:v>Ongoing</x:v>
      </x:c>
      <x:c r="I485" s="51" t="str">
        <x:v>Registration and quarterly reporting</x:v>
      </x:c>
      <x:c r="J485" s="51" t="str"/>
      <x:c r="K485" s="51" t="str">
        <x:v>Firm- and client-specific</x:v>
      </x:c>
      <x:c r="L485" s="51" t="str">
        <x:v>Lobbying activity, issue, amount and covered-position disclosures</x:v>
      </x:c>
      <x:c r="M485" s="51" t="str">
        <x:v>Publicly searchable filing</x:v>
      </x:c>
      <x:c r="N485" s="51" t="str">
        <x:v>Disclosure law converts private influence activity into a partial public audit trail</x:v>
      </x:c>
      <x:c r="O485" s="51" t="str">
        <x:v>Informational; institutional</x:v>
      </x:c>
      <x:c r="P485" s="51" t="str">
        <x:v>E1</x:v>
      </x:c>
      <x:c r="Q485" s="51" t="str">
        <x:v>High</x:v>
      </x:c>
      <x:c r="R485" s="51" t="str">
        <x:v>SRC-214; SRC-215; SRC-216; SRC-217; SRC-218; SRC-219; SRC-220</x:v>
      </x:c>
      <x:c r="S485" s="51" t="str">
        <x:v>BGR Government Affairs appears in official federal lobbying disclosures.</x:v>
      </x:c>
      <x:c r="T485" s="51" t="str">
        <x:v>Complete transparency of informal influence, accuracy beyond filed estimates or proof of effectiveness.</x:v>
      </x:c>
      <x:c r="U485" s="51" t="str">
        <x:v>Some advocacy, donations and meetings fall outside LDA reporting thresholds or definitions.</x:v>
      </x:c>
      <x:c r="V485" s="51" t="str">
        <x:v>Active</x:v>
      </x:c>
      <x:c r="W485" s="51" t="str">
        <x:v>11;57</x:v>
      </x:c>
      <x:c r="X485" s="51" t="str">
        <x:v>2026-07-27</x:v>
      </x:c>
    </x:row>
    <x:row r="486">
      <x:c r="A486" s="51" t="str">
        <x:v>LOB-015</x:v>
      </x:c>
      <x:c r="B486" s="51" t="str">
        <x:v>Lobbying and policy intermediation</x:v>
      </x:c>
      <x:c r="C486" s="51" t="str">
        <x:v>ACT-TIBERCREEKGROUP</x:v>
      </x:c>
      <x:c r="D486" s="51" t="str">
        <x:v>Tiber Creek Group</x:v>
      </x:c>
      <x:c r="E486" s="51" t="str">
        <x:v>ACT-LOBBYINGDISCLOSUREACTSYS</x:v>
      </x:c>
      <x:c r="F486" s="51" t="str">
        <x:v>Lobbying Disclosure Act system</x:v>
      </x:c>
      <x:c r="G486" s="51" t="str">
        <x:v>Registrant → disclosure system</x:v>
      </x:c>
      <x:c r="H486" s="51" t="str">
        <x:v>Ongoing</x:v>
      </x:c>
      <x:c r="I486" s="51" t="str">
        <x:v>Registration and quarterly reporting</x:v>
      </x:c>
      <x:c r="J486" s="51" t="str"/>
      <x:c r="K486" s="51" t="str">
        <x:v>Firm- and client-specific</x:v>
      </x:c>
      <x:c r="L486" s="51" t="str">
        <x:v>Lobbying activity, issue, amount and covered-position disclosures</x:v>
      </x:c>
      <x:c r="M486" s="51" t="str">
        <x:v>Publicly searchable filing</x:v>
      </x:c>
      <x:c r="N486" s="51" t="str">
        <x:v>Disclosure law converts private influence activity into a partial public audit trail</x:v>
      </x:c>
      <x:c r="O486" s="51" t="str">
        <x:v>Informational; institutional</x:v>
      </x:c>
      <x:c r="P486" s="51" t="str">
        <x:v>E1</x:v>
      </x:c>
      <x:c r="Q486" s="51" t="str">
        <x:v>High</x:v>
      </x:c>
      <x:c r="R486" s="51" t="str">
        <x:v>SRC-214; SRC-215; SRC-216; SRC-217; SRC-218; SRC-219; SRC-220</x:v>
      </x:c>
      <x:c r="S486" s="51" t="str">
        <x:v>Tiber Creek Group appears in official federal lobbying disclosures.</x:v>
      </x:c>
      <x:c r="T486" s="51" t="str">
        <x:v>Complete transparency of informal influence, accuracy beyond filed estimates or proof of effectiveness.</x:v>
      </x:c>
      <x:c r="U486" s="51" t="str">
        <x:v>Some advocacy, donations and meetings fall outside LDA reporting thresholds or definitions.</x:v>
      </x:c>
      <x:c r="V486" s="51" t="str">
        <x:v>Active</x:v>
      </x:c>
      <x:c r="W486" s="51" t="str">
        <x:v>11;57</x:v>
      </x:c>
      <x:c r="X486" s="51" t="str">
        <x:v>2026-07-27</x:v>
      </x:c>
    </x:row>
    <x:row r="487">
      <x:c r="A487" s="51" t="str">
        <x:v>LOB-016</x:v>
      </x:c>
      <x:c r="B487" s="51" t="str">
        <x:v>Lobbying and policy intermediation</x:v>
      </x:c>
      <x:c r="C487" s="51" t="str">
        <x:v>ACT-CONTINENTALSTRATEGY</x:v>
      </x:c>
      <x:c r="D487" s="51" t="str">
        <x:v>Continental Strategy</x:v>
      </x:c>
      <x:c r="E487" s="51" t="str">
        <x:v>ACT-LOBBYINGDISCLOSUREACTSYS</x:v>
      </x:c>
      <x:c r="F487" s="51" t="str">
        <x:v>Lobbying Disclosure Act system</x:v>
      </x:c>
      <x:c r="G487" s="51" t="str">
        <x:v>Registrant → disclosure system</x:v>
      </x:c>
      <x:c r="H487" s="51" t="str">
        <x:v>Ongoing</x:v>
      </x:c>
      <x:c r="I487" s="51" t="str">
        <x:v>Registration and quarterly reporting</x:v>
      </x:c>
      <x:c r="J487" s="51" t="str"/>
      <x:c r="K487" s="51" t="str">
        <x:v>Firm- and client-specific</x:v>
      </x:c>
      <x:c r="L487" s="51" t="str">
        <x:v>Lobbying activity, issue, amount and covered-position disclosures</x:v>
      </x:c>
      <x:c r="M487" s="51" t="str">
        <x:v>Publicly searchable filing</x:v>
      </x:c>
      <x:c r="N487" s="51" t="str">
        <x:v>Disclosure law converts private influence activity into a partial public audit trail</x:v>
      </x:c>
      <x:c r="O487" s="51" t="str">
        <x:v>Informational; institutional</x:v>
      </x:c>
      <x:c r="P487" s="51" t="str">
        <x:v>E1</x:v>
      </x:c>
      <x:c r="Q487" s="51" t="str">
        <x:v>High</x:v>
      </x:c>
      <x:c r="R487" s="51" t="str">
        <x:v>SRC-214; SRC-215; SRC-216; SRC-217; SRC-218; SRC-219; SRC-220</x:v>
      </x:c>
      <x:c r="S487" s="51" t="str">
        <x:v>Continental Strategy appears in official federal lobbying disclosures.</x:v>
      </x:c>
      <x:c r="T487" s="51" t="str">
        <x:v>Complete transparency of informal influence, accuracy beyond filed estimates or proof of effectiveness.</x:v>
      </x:c>
      <x:c r="U487" s="51" t="str">
        <x:v>Some advocacy, donations and meetings fall outside LDA reporting thresholds or definitions.</x:v>
      </x:c>
      <x:c r="V487" s="51" t="str">
        <x:v>Active</x:v>
      </x:c>
      <x:c r="W487" s="51" t="str">
        <x:v>11;57</x:v>
      </x:c>
      <x:c r="X487" s="51" t="str">
        <x:v>2026-07-27</x:v>
      </x:c>
    </x:row>
    <x:row r="488">
      <x:c r="A488" s="51" t="str">
        <x:v>LOB-017</x:v>
      </x:c>
      <x:c r="B488" s="51" t="str">
        <x:v>Lobbying and policy intermediation</x:v>
      </x:c>
      <x:c r="C488" s="51" t="str">
        <x:v>ACT-535GROUP</x:v>
      </x:c>
      <x:c r="D488" s="51" t="str">
        <x:v>535 Group</x:v>
      </x:c>
      <x:c r="E488" s="51" t="str">
        <x:v>ACT-LOBBYINGDISCLOSUREACTSYS</x:v>
      </x:c>
      <x:c r="F488" s="51" t="str">
        <x:v>Lobbying Disclosure Act system</x:v>
      </x:c>
      <x:c r="G488" s="51" t="str">
        <x:v>Registrant → disclosure system</x:v>
      </x:c>
      <x:c r="H488" s="51" t="str">
        <x:v>Ongoing</x:v>
      </x:c>
      <x:c r="I488" s="51" t="str">
        <x:v>Registration and quarterly reporting</x:v>
      </x:c>
      <x:c r="J488" s="51" t="str"/>
      <x:c r="K488" s="51" t="str">
        <x:v>Firm- and client-specific</x:v>
      </x:c>
      <x:c r="L488" s="51" t="str">
        <x:v>Lobbying activity, issue, amount and covered-position disclosures</x:v>
      </x:c>
      <x:c r="M488" s="51" t="str">
        <x:v>Publicly searchable filing</x:v>
      </x:c>
      <x:c r="N488" s="51" t="str">
        <x:v>Disclosure law converts private influence activity into a partial public audit trail</x:v>
      </x:c>
      <x:c r="O488" s="51" t="str">
        <x:v>Informational; institutional</x:v>
      </x:c>
      <x:c r="P488" s="51" t="str">
        <x:v>E1</x:v>
      </x:c>
      <x:c r="Q488" s="51" t="str">
        <x:v>High</x:v>
      </x:c>
      <x:c r="R488" s="51" t="str">
        <x:v>SRC-214; SRC-215; SRC-216; SRC-217; SRC-218; SRC-219; SRC-220</x:v>
      </x:c>
      <x:c r="S488" s="51" t="str">
        <x:v>535 Group appears in official federal lobbying disclosures.</x:v>
      </x:c>
      <x:c r="T488" s="51" t="str">
        <x:v>Complete transparency of informal influence, accuracy beyond filed estimates or proof of effectiveness.</x:v>
      </x:c>
      <x:c r="U488" s="51" t="str">
        <x:v>Some advocacy, donations and meetings fall outside LDA reporting thresholds or definitions.</x:v>
      </x:c>
      <x:c r="V488" s="51" t="str">
        <x:v>Active</x:v>
      </x:c>
      <x:c r="W488" s="51" t="str">
        <x:v>11;57</x:v>
      </x:c>
      <x:c r="X488" s="51" t="str">
        <x:v>2026-07-27</x:v>
      </x:c>
    </x:row>
    <x:row r="489">
      <x:c r="A489" s="51" t="str">
        <x:v>LOB-018</x:v>
      </x:c>
      <x:c r="B489" s="51" t="str">
        <x:v>Lobbying and policy intermediation</x:v>
      </x:c>
      <x:c r="C489" s="51" t="str">
        <x:v>ACT-ELEVATEGOVERNMENTAFFAIRS</x:v>
      </x:c>
      <x:c r="D489" s="51" t="str">
        <x:v>Elevate Government Affairs</x:v>
      </x:c>
      <x:c r="E489" s="51" t="str">
        <x:v>ACT-LOBBYINGDISCLOSUREACTSYS</x:v>
      </x:c>
      <x:c r="F489" s="51" t="str">
        <x:v>Lobbying Disclosure Act system</x:v>
      </x:c>
      <x:c r="G489" s="51" t="str">
        <x:v>Registrant → disclosure system</x:v>
      </x:c>
      <x:c r="H489" s="51" t="str">
        <x:v>Ongoing</x:v>
      </x:c>
      <x:c r="I489" s="51" t="str">
        <x:v>Registration and quarterly reporting</x:v>
      </x:c>
      <x:c r="J489" s="51" t="str"/>
      <x:c r="K489" s="51" t="str">
        <x:v>Firm- and client-specific</x:v>
      </x:c>
      <x:c r="L489" s="51" t="str">
        <x:v>Lobbying activity, issue, amount and covered-position disclosures</x:v>
      </x:c>
      <x:c r="M489" s="51" t="str">
        <x:v>Publicly searchable filing</x:v>
      </x:c>
      <x:c r="N489" s="51" t="str">
        <x:v>Disclosure law converts private influence activity into a partial public audit trail</x:v>
      </x:c>
      <x:c r="O489" s="51" t="str">
        <x:v>Informational; institutional</x:v>
      </x:c>
      <x:c r="P489" s="51" t="str">
        <x:v>E1</x:v>
      </x:c>
      <x:c r="Q489" s="51" t="str">
        <x:v>High</x:v>
      </x:c>
      <x:c r="R489" s="51" t="str">
        <x:v>SRC-214; SRC-215; SRC-216; SRC-217; SRC-218; SRC-219; SRC-220</x:v>
      </x:c>
      <x:c r="S489" s="51" t="str">
        <x:v>Elevate Government Affairs appears in official federal lobbying disclosures.</x:v>
      </x:c>
      <x:c r="T489" s="51" t="str">
        <x:v>Complete transparency of informal influence, accuracy beyond filed estimates or proof of effectiveness.</x:v>
      </x:c>
      <x:c r="U489" s="51" t="str">
        <x:v>Some advocacy, donations and meetings fall outside LDA reporting thresholds or definitions.</x:v>
      </x:c>
      <x:c r="V489" s="51" t="str">
        <x:v>Active</x:v>
      </x:c>
      <x:c r="W489" s="51" t="str">
        <x:v>11;57</x:v>
      </x:c>
      <x:c r="X489" s="51" t="str">
        <x:v>2026-07-27</x:v>
      </x:c>
    </x:row>
    <x:row r="490">
      <x:c r="A490" s="51" t="str">
        <x:v>LOB-019</x:v>
      </x:c>
      <x:c r="B490" s="51" t="str">
        <x:v>Evidence boundary</x:v>
      </x:c>
      <x:c r="C490" s="51" t="str">
        <x:v>ACT-LOBBYINGDISCLOSUREACTSYS</x:v>
      </x:c>
      <x:c r="D490" s="51" t="str">
        <x:v>Lobbying Disclosure Act system</x:v>
      </x:c>
      <x:c r="E490" s="51" t="str">
        <x:v>ACT-FEDERALPOLICYMAKERSANDAG</x:v>
      </x:c>
      <x:c r="F490" s="51" t="str">
        <x:v>Federal policymakers and agencies</x:v>
      </x:c>
      <x:c r="G490" s="51" t="str">
        <x:v>Disclosure system → public process</x:v>
      </x:c>
      <x:c r="H490" s="51" t="str">
        <x:v>Ongoing</x:v>
      </x:c>
      <x:c r="I490" s="51" t="str">
        <x:v>Transparency without causal attribution</x:v>
      </x:c>
      <x:c r="J490" s="51" t="str"/>
      <x:c r="K490" s="51" t="str">
        <x:v>System-wide</x:v>
      </x:c>
      <x:c r="L490" s="51" t="str">
        <x:v>Reported lobbying relationships and issue descriptions</x:v>
      </x:c>
      <x:c r="M490" s="51" t="str">
        <x:v>Public visibility into formal advocacy</x:v>
      </x:c>
      <x:c r="N490" s="51" t="str">
        <x:v>Lobbying disclosure identifies contact channels but not whether advocacy changed a decision</x:v>
      </x:c>
      <x:c r="O490" s="51" t="str">
        <x:v>Informational; epistemic</x:v>
      </x:c>
      <x:c r="P490" s="51" t="str">
        <x:v>S1</x:v>
      </x:c>
      <x:c r="Q490" s="51" t="str">
        <x:v>Very high</x:v>
      </x:c>
      <x:c r="R490" s="51" t="str">
        <x:v>SRC-214; SRC-215; SRC-216; SRC-217; SRC-218; SRC-219; SRC-220</x:v>
      </x:c>
      <x:c r="S490" s="51" t="str">
        <x:v>The system records clients, registrants, amounts and issue areas.</x:v>
      </x:c>
      <x:c r="T490" s="51" t="str">
        <x:v>Bribery, policy capture or policy causation from a filing alone.</x:v>
      </x:c>
      <x:c r="U490" s="51" t="str">
        <x:v>Influence must be tested through timing, text changes, meetings and decision records.</x:v>
      </x:c>
      <x:c r="V490" s="51" t="str">
        <x:v>Active boundary</x:v>
      </x:c>
      <x:c r="W490" s="51" t="str">
        <x:v>11;19;57</x:v>
      </x:c>
      <x:c r="X490" s="51" t="str">
        <x:v>2026-07-27</x:v>
      </x:c>
    </x:row>
    <x:row r="491">
      <x:c r="A491" s="51" t="str">
        <x:v>MAT-001</x:v>
      </x:c>
      <x:c r="B491" s="51" t="str">
        <x:v>Physical chokepoints</x:v>
      </x:c>
      <x:c r="C491" s="51" t="str">
        <x:v>ACT-STRAITOFHORMUZ</x:v>
      </x:c>
      <x:c r="D491" s="51" t="str">
        <x:v>Strait of Hormuz</x:v>
      </x:c>
      <x:c r="E491" s="51" t="str">
        <x:v>ACT-CITIZENSANDLABOUR</x:v>
      </x:c>
      <x:c r="F491" s="51" t="str">
        <x:v>Citizens and labour</x:v>
      </x:c>
      <x:c r="G491" s="51" t="str">
        <x:v>Route → global users</x:v>
      </x:c>
      <x:c r="H491" s="51" t="str">
        <x:v>Ongoing</x:v>
      </x:c>
      <x:c r="I491" s="51" t="str">
        <x:v>Transit dependence</x:v>
      </x:c>
      <x:c r="J491" s="51" t="str"/>
      <x:c r="K491" s="51" t="str">
        <x:v>Route-specific</x:v>
      </x:c>
      <x:c r="L491" s="51" t="str">
        <x:v>Ships, commodities and energy</x:v>
      </x:c>
      <x:c r="M491" s="51" t="str">
        <x:v>Trade continuity and cost</x:v>
      </x:c>
      <x:c r="N491" s="51" t="str">
        <x:v>A narrow route converts geography into disruption and bargaining power</x:v>
      </x:c>
      <x:c r="O491" s="51" t="str">
        <x:v>Material; financial; enforcement</x:v>
      </x:c>
      <x:c r="P491" s="51" t="str">
        <x:v>E1</x:v>
      </x:c>
      <x:c r="Q491" s="51" t="str">
        <x:v>Very high</x:v>
      </x:c>
      <x:c r="R491" s="51" t="str">
        <x:v>SRC-018; SRC-019</x:v>
      </x:c>
      <x:c r="S491" s="51" t="str">
        <x:v>The route is a recognised major transit chokepoint.</x:v>
      </x:c>
      <x:c r="T491" s="51" t="str">
        <x:v>Permanent monopoly power or uniform effects across goods.</x:v>
      </x:c>
      <x:c r="U491" s="51" t="str">
        <x:v>Alternative routes and inventories provide partial substitutes.</x:v>
      </x:c>
      <x:c r="V491" s="51" t="str">
        <x:v>Active</x:v>
      </x:c>
      <x:c r="W491" s="51" t="str">
        <x:v>40;57</x:v>
      </x:c>
      <x:c r="X491" s="51" t="str">
        <x:v>2026-07-27</x:v>
      </x:c>
    </x:row>
    <x:row r="492">
      <x:c r="A492" s="51" t="str">
        <x:v>MAT-002</x:v>
      </x:c>
      <x:c r="B492" s="51" t="str">
        <x:v>Physical chokepoints</x:v>
      </x:c>
      <x:c r="C492" s="51" t="str">
        <x:v>ACT-STRAITOFMALACCA</x:v>
      </x:c>
      <x:c r="D492" s="51" t="str">
        <x:v>Strait of Malacca</x:v>
      </x:c>
      <x:c r="E492" s="51" t="str">
        <x:v>ACT-CITIZENSANDLABOUR</x:v>
      </x:c>
      <x:c r="F492" s="51" t="str">
        <x:v>Citizens and labour</x:v>
      </x:c>
      <x:c r="G492" s="51" t="str">
        <x:v>Route → global users</x:v>
      </x:c>
      <x:c r="H492" s="51" t="str">
        <x:v>Ongoing</x:v>
      </x:c>
      <x:c r="I492" s="51" t="str">
        <x:v>Transit dependence</x:v>
      </x:c>
      <x:c r="J492" s="51" t="str"/>
      <x:c r="K492" s="51" t="str">
        <x:v>Route-specific</x:v>
      </x:c>
      <x:c r="L492" s="51" t="str">
        <x:v>Ships, commodities and energy</x:v>
      </x:c>
      <x:c r="M492" s="51" t="str">
        <x:v>Trade continuity and cost</x:v>
      </x:c>
      <x:c r="N492" s="51" t="str">
        <x:v>A narrow route converts geography into disruption and bargaining power</x:v>
      </x:c>
      <x:c r="O492" s="51" t="str">
        <x:v>Material; financial; enforcement</x:v>
      </x:c>
      <x:c r="P492" s="51" t="str">
        <x:v>E1</x:v>
      </x:c>
      <x:c r="Q492" s="51" t="str">
        <x:v>High</x:v>
      </x:c>
      <x:c r="R492" s="51" t="str">
        <x:v>SRC-019</x:v>
      </x:c>
      <x:c r="S492" s="51" t="str">
        <x:v>The route is a recognised major transit chokepoint.</x:v>
      </x:c>
      <x:c r="T492" s="51" t="str">
        <x:v>Permanent monopoly power or uniform effects across goods.</x:v>
      </x:c>
      <x:c r="U492" s="51" t="str">
        <x:v>Alternative routes and inventories provide partial substitutes.</x:v>
      </x:c>
      <x:c r="V492" s="51" t="str">
        <x:v>Active</x:v>
      </x:c>
      <x:c r="W492" s="51" t="str">
        <x:v>40;57</x:v>
      </x:c>
      <x:c r="X492" s="51" t="str">
        <x:v>2026-07-27</x:v>
      </x:c>
    </x:row>
    <x:row r="493">
      <x:c r="A493" s="51" t="str">
        <x:v>MAT-003</x:v>
      </x:c>
      <x:c r="B493" s="51" t="str">
        <x:v>Physical chokepoints</x:v>
      </x:c>
      <x:c r="C493" s="51" t="str">
        <x:v>ACT-SUEZCANAL</x:v>
      </x:c>
      <x:c r="D493" s="51" t="str">
        <x:v>Suez Canal</x:v>
      </x:c>
      <x:c r="E493" s="51" t="str">
        <x:v>ACT-CITIZENSANDLABOUR</x:v>
      </x:c>
      <x:c r="F493" s="51" t="str">
        <x:v>Citizens and labour</x:v>
      </x:c>
      <x:c r="G493" s="51" t="str">
        <x:v>Route → global users</x:v>
      </x:c>
      <x:c r="H493" s="51" t="str">
        <x:v>Ongoing</x:v>
      </x:c>
      <x:c r="I493" s="51" t="str">
        <x:v>Transit dependence</x:v>
      </x:c>
      <x:c r="J493" s="51" t="str"/>
      <x:c r="K493" s="51" t="str">
        <x:v>Route-specific</x:v>
      </x:c>
      <x:c r="L493" s="51" t="str">
        <x:v>Ships, commodities and energy</x:v>
      </x:c>
      <x:c r="M493" s="51" t="str">
        <x:v>Trade continuity and cost</x:v>
      </x:c>
      <x:c r="N493" s="51" t="str">
        <x:v>A narrow route converts geography into disruption and bargaining power</x:v>
      </x:c>
      <x:c r="O493" s="51" t="str">
        <x:v>Material; financial; enforcement</x:v>
      </x:c>
      <x:c r="P493" s="51" t="str">
        <x:v>E1</x:v>
      </x:c>
      <x:c r="Q493" s="51" t="str">
        <x:v>High</x:v>
      </x:c>
      <x:c r="R493" s="51" t="str">
        <x:v>SRC-019</x:v>
      </x:c>
      <x:c r="S493" s="51" t="str">
        <x:v>The route is a recognised major transit chokepoint.</x:v>
      </x:c>
      <x:c r="T493" s="51" t="str">
        <x:v>Permanent monopoly power or uniform effects across goods.</x:v>
      </x:c>
      <x:c r="U493" s="51" t="str">
        <x:v>Alternative routes and inventories provide partial substitutes.</x:v>
      </x:c>
      <x:c r="V493" s="51" t="str">
        <x:v>Active</x:v>
      </x:c>
      <x:c r="W493" s="51" t="str">
        <x:v>40;57</x:v>
      </x:c>
      <x:c r="X493" s="51" t="str">
        <x:v>2026-07-27</x:v>
      </x:c>
    </x:row>
    <x:row r="494">
      <x:c r="A494" s="51" t="str">
        <x:v>MAT-004</x:v>
      </x:c>
      <x:c r="B494" s="51" t="str">
        <x:v>Physical chokepoints</x:v>
      </x:c>
      <x:c r="C494" s="51" t="str">
        <x:v>ACT-BABELMANDEB</x:v>
      </x:c>
      <x:c r="D494" s="51" t="str">
        <x:v>Bab el-Mandeb</x:v>
      </x:c>
      <x:c r="E494" s="51" t="str">
        <x:v>ACT-CITIZENSANDLABOUR</x:v>
      </x:c>
      <x:c r="F494" s="51" t="str">
        <x:v>Citizens and labour</x:v>
      </x:c>
      <x:c r="G494" s="51" t="str">
        <x:v>Route → global users</x:v>
      </x:c>
      <x:c r="H494" s="51" t="str">
        <x:v>Ongoing</x:v>
      </x:c>
      <x:c r="I494" s="51" t="str">
        <x:v>Transit dependence</x:v>
      </x:c>
      <x:c r="J494" s="51" t="str"/>
      <x:c r="K494" s="51" t="str">
        <x:v>Route-specific</x:v>
      </x:c>
      <x:c r="L494" s="51" t="str">
        <x:v>Ships, commodities and energy</x:v>
      </x:c>
      <x:c r="M494" s="51" t="str">
        <x:v>Trade continuity and cost</x:v>
      </x:c>
      <x:c r="N494" s="51" t="str">
        <x:v>A narrow route converts geography into disruption and bargaining power</x:v>
      </x:c>
      <x:c r="O494" s="51" t="str">
        <x:v>Material; financial; enforcement</x:v>
      </x:c>
      <x:c r="P494" s="51" t="str">
        <x:v>E1</x:v>
      </x:c>
      <x:c r="Q494" s="51" t="str">
        <x:v>High</x:v>
      </x:c>
      <x:c r="R494" s="51" t="str">
        <x:v>SRC-019</x:v>
      </x:c>
      <x:c r="S494" s="51" t="str">
        <x:v>The route is a recognised major transit chokepoint.</x:v>
      </x:c>
      <x:c r="T494" s="51" t="str">
        <x:v>Permanent monopoly power or uniform effects across goods.</x:v>
      </x:c>
      <x:c r="U494" s="51" t="str">
        <x:v>Alternative routes and inventories provide partial substitutes.</x:v>
      </x:c>
      <x:c r="V494" s="51" t="str">
        <x:v>Active</x:v>
      </x:c>
      <x:c r="W494" s="51" t="str">
        <x:v>40;57</x:v>
      </x:c>
      <x:c r="X494" s="51" t="str">
        <x:v>2026-07-27</x:v>
      </x:c>
    </x:row>
    <x:row r="495">
      <x:c r="A495" s="51" t="str">
        <x:v>MAT-005</x:v>
      </x:c>
      <x:c r="B495" s="51" t="str">
        <x:v>Physical chokepoints</x:v>
      </x:c>
      <x:c r="C495" s="51" t="str">
        <x:v>ACT-PANAMACANAL</x:v>
      </x:c>
      <x:c r="D495" s="51" t="str">
        <x:v>Panama Canal</x:v>
      </x:c>
      <x:c r="E495" s="51" t="str">
        <x:v>ACT-CITIZENSANDLABOUR</x:v>
      </x:c>
      <x:c r="F495" s="51" t="str">
        <x:v>Citizens and labour</x:v>
      </x:c>
      <x:c r="G495" s="51" t="str">
        <x:v>Route → global users</x:v>
      </x:c>
      <x:c r="H495" s="51" t="str">
        <x:v>Ongoing</x:v>
      </x:c>
      <x:c r="I495" s="51" t="str">
        <x:v>Transit dependence</x:v>
      </x:c>
      <x:c r="J495" s="51" t="str"/>
      <x:c r="K495" s="51" t="str">
        <x:v>Route-specific</x:v>
      </x:c>
      <x:c r="L495" s="51" t="str">
        <x:v>Ships, commodities and energy</x:v>
      </x:c>
      <x:c r="M495" s="51" t="str">
        <x:v>Trade continuity and cost</x:v>
      </x:c>
      <x:c r="N495" s="51" t="str">
        <x:v>A narrow route converts geography into disruption and bargaining power</x:v>
      </x:c>
      <x:c r="O495" s="51" t="str">
        <x:v>Material; financial; enforcement</x:v>
      </x:c>
      <x:c r="P495" s="51" t="str">
        <x:v>E1</x:v>
      </x:c>
      <x:c r="Q495" s="51" t="str">
        <x:v>High</x:v>
      </x:c>
      <x:c r="R495" s="51" t="str">
        <x:v>SRC-019</x:v>
      </x:c>
      <x:c r="S495" s="51" t="str">
        <x:v>The route is a recognised major transit chokepoint.</x:v>
      </x:c>
      <x:c r="T495" s="51" t="str">
        <x:v>Permanent monopoly power or uniform effects across goods.</x:v>
      </x:c>
      <x:c r="U495" s="51" t="str">
        <x:v>Alternative routes and inventories provide partial substitutes.</x:v>
      </x:c>
      <x:c r="V495" s="51" t="str">
        <x:v>Active</x:v>
      </x:c>
      <x:c r="W495" s="51" t="str">
        <x:v>40;57</x:v>
      </x:c>
      <x:c r="X495" s="51" t="str">
        <x:v>2026-07-27</x:v>
      </x:c>
    </x:row>
    <x:row r="496">
      <x:c r="A496" s="51" t="str">
        <x:v>MAT-006</x:v>
      </x:c>
      <x:c r="B496" s="51" t="str">
        <x:v>Industrial chokepoints</x:v>
      </x:c>
      <x:c r="C496" s="51" t="str">
        <x:v>ACT-PEOPLESREPUBLICOFCHINA</x:v>
      </x:c>
      <x:c r="D496" s="51" t="str">
        <x:v>People's Republic of China</x:v>
      </x:c>
      <x:c r="E496" s="51" t="str">
        <x:v>ACT-CRITICALMINERALREFININGS</x:v>
      </x:c>
      <x:c r="F496" s="51" t="str">
        <x:v>Critical-mineral refining system</x:v>
      </x:c>
      <x:c r="G496" s="51" t="str">
        <x:v>A → system</x:v>
      </x:c>
      <x:c r="H496" s="51" t="str">
        <x:v>2025</x:v>
      </x:c>
      <x:c r="I496" s="51" t="str">
        <x:v>Dominant refining position</x:v>
      </x:c>
      <x:c r="J496" s="51" t="str"/>
      <x:c r="K496" s="51" t="str">
        <x:v>19/20 minerals; ~70% average share</x:v>
      </x:c>
      <x:c r="L496" s="51" t="str">
        <x:v>Mined minerals</x:v>
      </x:c>
      <x:c r="M496" s="51" t="str">
        <x:v>Refined strategic inputs</x:v>
      </x:c>
      <x:c r="N496" s="51" t="str">
        <x:v>Midstream processing concentration creates leverage beyond raw-resource ownership</x:v>
      </x:c>
      <x:c r="O496" s="51" t="str">
        <x:v>Material; technological; financial</x:v>
      </x:c>
      <x:c r="P496" s="51" t="str">
        <x:v>E1</x:v>
      </x:c>
      <x:c r="Q496" s="51" t="str">
        <x:v>Very high</x:v>
      </x:c>
      <x:c r="R496" s="51" t="str">
        <x:v>SRC-020</x:v>
      </x:c>
      <x:c r="S496" s="51" t="str">
        <x:v>IEA documents China's dominant refining share.</x:v>
      </x:c>
      <x:c r="T496" s="51" t="str">
        <x:v>Permanent monopoly or ownership of all mines.</x:v>
      </x:c>
      <x:c r="U496" s="51" t="str">
        <x:v>Shares vary by mineral and new capacity can alter them.</x:v>
      </x:c>
      <x:c r="V496" s="51" t="str">
        <x:v>Current</x:v>
      </x:c>
      <x:c r="W496" s="51" t="str">
        <x:v>40;43;57</x:v>
      </x:c>
      <x:c r="X496" s="51" t="str">
        <x:v>2026-07-27</x:v>
      </x:c>
    </x:row>
    <x:row r="497">
      <x:c r="A497" s="51" t="str">
        <x:v>MAT-007</x:v>
      </x:c>
      <x:c r="B497" s="51" t="str">
        <x:v>Industrial chokepoints</x:v>
      </x:c>
      <x:c r="C497" s="51" t="str">
        <x:v>ACT-TAIWAN</x:v>
      </x:c>
      <x:c r="D497" s="51" t="str">
        <x:v>Taiwan</x:v>
      </x:c>
      <x:c r="E497" s="51" t="str">
        <x:v>ACT-TSMC</x:v>
      </x:c>
      <x:c r="F497" s="51" t="str">
        <x:v>TSMC</x:v>
      </x:c>
      <x:c r="G497" s="51" t="str">
        <x:v>Jurisdiction → company</x:v>
      </x:c>
      <x:c r="H497" s="51" t="str">
        <x:v>Ongoing</x:v>
      </x:c>
      <x:c r="I497" s="51" t="str">
        <x:v>Advanced fabrication concentration</x:v>
      </x:c>
      <x:c r="J497" s="51" t="str"/>
      <x:c r="K497" s="51" t="str">
        <x:v>Leading-edge capacity</x:v>
      </x:c>
      <x:c r="L497" s="51" t="str">
        <x:v>Chip designs and equipment</x:v>
      </x:c>
      <x:c r="M497" s="51" t="str">
        <x:v>Advanced chips</x:v>
      </x:c>
      <x:c r="N497" s="51" t="str">
        <x:v>Scale and process expertise convert designs into physical chips</x:v>
      </x:c>
      <x:c r="O497" s="51" t="str">
        <x:v>Material; technological</x:v>
      </x:c>
      <x:c r="P497" s="51" t="str">
        <x:v>E1</x:v>
      </x:c>
      <x:c r="Q497" s="51" t="str">
        <x:v>High</x:v>
      </x:c>
      <x:c r="R497" s="51" t="str">
        <x:v>SRC-020</x:v>
      </x:c>
      <x:c r="S497" s="51" t="str">
        <x:v>Taiwan/TSMC are central advanced-fabrication nodes.</x:v>
      </x:c>
      <x:c r="T497" s="51" t="str">
        <x:v>Exclusive control of all semiconductors.</x:v>
      </x:c>
      <x:c r="U497" s="51" t="str">
        <x:v>Other foundries and mature nodes remain important.</x:v>
      </x:c>
      <x:c r="V497" s="51" t="str">
        <x:v>Active</x:v>
      </x:c>
      <x:c r="W497" s="51" t="str">
        <x:v>40;57</x:v>
      </x:c>
      <x:c r="X497" s="51" t="str">
        <x:v>2026-07-27</x:v>
      </x:c>
    </x:row>
    <x:row r="498">
      <x:c r="A498" s="51" t="str">
        <x:v>MAT-008</x:v>
      </x:c>
      <x:c r="B498" s="51" t="str">
        <x:v>Industrial chokepoints</x:v>
      </x:c>
      <x:c r="C498" s="51" t="str">
        <x:v>ACT-NETHERLANDS</x:v>
      </x:c>
      <x:c r="D498" s="51" t="str">
        <x:v>Netherlands</x:v>
      </x:c>
      <x:c r="E498" s="51" t="str">
        <x:v>ACT-ASML</x:v>
      </x:c>
      <x:c r="F498" s="51" t="str">
        <x:v>ASML</x:v>
      </x:c>
      <x:c r="G498" s="51" t="str">
        <x:v>Jurisdiction → company</x:v>
      </x:c>
      <x:c r="H498" s="51" t="str">
        <x:v>Ongoing</x:v>
      </x:c>
      <x:c r="I498" s="51" t="str">
        <x:v>Advanced lithography concentration</x:v>
      </x:c>
      <x:c r="J498" s="51" t="str"/>
      <x:c r="K498" s="51" t="str">
        <x:v>EUV systems</x:v>
      </x:c>
      <x:c r="L498" s="51" t="str">
        <x:v>Capital and chip designs</x:v>
      </x:c>
      <x:c r="M498" s="51" t="str">
        <x:v>Leading-edge manufacturing capability</x:v>
      </x:c>
      <x:c r="N498" s="51" t="str">
        <x:v>Scarce equipment is a critical conversion step</x:v>
      </x:c>
      <x:c r="O498" s="51" t="str">
        <x:v>Material; technological; enforcement</x:v>
      </x:c>
      <x:c r="P498" s="51" t="str">
        <x:v>S1</x:v>
      </x:c>
      <x:c r="Q498" s="51" t="str">
        <x:v>High</x:v>
      </x:c>
      <x:c r="R498" s="51" t="str">
        <x:v>SRC-020</x:v>
      </x:c>
      <x:c r="S498" s="51" t="str">
        <x:v>Advanced lithography is a scarce production step.</x:v>
      </x:c>
      <x:c r="T498" s="51" t="str">
        <x:v>Unilateral control over all chip production.</x:v>
      </x:c>
      <x:c r="U498" s="51" t="str">
        <x:v>Export controls, customers and substitute R&amp;D also matter.</x:v>
      </x:c>
      <x:c r="V498" s="51" t="str">
        <x:v>Active</x:v>
      </x:c>
      <x:c r="W498" s="51" t="str">
        <x:v>40;57</x:v>
      </x:c>
      <x:c r="X498" s="51" t="str">
        <x:v>2026-07-27</x:v>
      </x:c>
    </x:row>
    <x:row r="499">
      <x:c r="A499" s="51" t="str">
        <x:v>MAT-009</x:v>
      </x:c>
      <x:c r="B499" s="51" t="str">
        <x:v>Industrial chokepoints</x:v>
      </x:c>
      <x:c r="C499" s="51" t="str">
        <x:v>ACT-SOUTHKOREA</x:v>
      </x:c>
      <x:c r="D499" s="51" t="str">
        <x:v>South Korea</x:v>
      </x:c>
      <x:c r="E499" s="51" t="str">
        <x:v>ACT-SAMSUNGELECTRONICS</x:v>
      </x:c>
      <x:c r="F499" s="51" t="str">
        <x:v>Samsung Electronics</x:v>
      </x:c>
      <x:c r="G499" s="51" t="str">
        <x:v>Jurisdiction → company</x:v>
      </x:c>
      <x:c r="H499" s="51" t="str">
        <x:v>Ongoing</x:v>
      </x:c>
      <x:c r="I499" s="51" t="str">
        <x:v>Semiconductor production concentration</x:v>
      </x:c>
      <x:c r="J499" s="51" t="str"/>
      <x:c r="K499" s="51" t="str">
        <x:v>Major capacity</x:v>
      </x:c>
      <x:c r="L499" s="51" t="str">
        <x:v>Industrial ecosystem</x:v>
      </x:c>
      <x:c r="M499" s="51" t="str">
        <x:v>Memory and logic output</x:v>
      </x:c>
      <x:c r="N499" s="51" t="str">
        <x:v>Industrial depth creates strategic supply positions</x:v>
      </x:c>
      <x:c r="O499" s="51" t="str">
        <x:v>Material; technological</x:v>
      </x:c>
      <x:c r="P499" s="51" t="str">
        <x:v>E1</x:v>
      </x:c>
      <x:c r="Q499" s="51" t="str">
        <x:v>High</x:v>
      </x:c>
      <x:c r="R499" s="51" t="str">
        <x:v>SRC-020</x:v>
      </x:c>
      <x:c r="S499" s="51" t="str">
        <x:v>South Korea/Samsung are major production nodes.</x:v>
      </x:c>
      <x:c r="T499" s="51" t="str">
        <x:v>A monopoly or unified national command of output.</x:v>
      </x:c>
      <x:c r="U499" s="51" t="str">
        <x:v>Global supply chains distribute authority.</x:v>
      </x:c>
      <x:c r="V499" s="51" t="str">
        <x:v>Active</x:v>
      </x:c>
      <x:c r="W499" s="51" t="str">
        <x:v>40;57</x:v>
      </x:c>
      <x:c r="X499" s="51" t="str">
        <x:v>2026-07-27</x:v>
      </x:c>
    </x:row>
    <x:row r="500">
      <x:c r="A500" s="51" t="str">
        <x:v>MAT-010</x:v>
      </x:c>
      <x:c r="B500" s="51" t="str">
        <x:v>Industrial chokepoints</x:v>
      </x:c>
      <x:c r="C500" s="51" t="str">
        <x:v>ACT-CRITICALMINERALREFININGS</x:v>
      </x:c>
      <x:c r="D500" s="51" t="str">
        <x:v>Critical-mineral refining system</x:v>
      </x:c>
      <x:c r="E500" s="51" t="str">
        <x:v>ACT-USDEPARTMENTOFDEFENSE</x:v>
      </x:c>
      <x:c r="F500" s="51" t="str">
        <x:v>US Department of Defense</x:v>
      </x:c>
      <x:c r="G500" s="51" t="str">
        <x:v>System → military user</x:v>
      </x:c>
      <x:c r="H500" s="51" t="str">
        <x:v>Ongoing</x:v>
      </x:c>
      <x:c r="I500" s="51" t="str">
        <x:v>Critical-input dependence</x:v>
      </x:c>
      <x:c r="J500" s="51" t="str"/>
      <x:c r="K500" s="51" t="str">
        <x:v>System-level</x:v>
      </x:c>
      <x:c r="L500" s="51" t="str">
        <x:v>Refined minerals and components</x:v>
      </x:c>
      <x:c r="M500" s="51" t="str">
        <x:v>Weapons/electronics capability</x:v>
      </x:c>
      <x:c r="N500" s="51" t="str">
        <x:v>Military purchasing power must pass through material conversion steps</x:v>
      </x:c>
      <x:c r="O500" s="51" t="str">
        <x:v>Material; enforcement; technological</x:v>
      </x:c>
      <x:c r="P500" s="51" t="str">
        <x:v>S1</x:v>
      </x:c>
      <x:c r="Q500" s="51" t="str">
        <x:v>High</x:v>
      </x:c>
      <x:c r="R500" s="51" t="str">
        <x:v>SRC-020</x:v>
      </x:c>
      <x:c r="S500" s="51" t="str">
        <x:v>Critical minerals are necessary inputs for strategic technologies.</x:v>
      </x:c>
      <x:c r="T500" s="51" t="str">
        <x:v>Mineral access alone produces military superiority.</x:v>
      </x:c>
      <x:c r="U500" s="51" t="str">
        <x:v>Design, production, logistics and training are complements.</x:v>
      </x:c>
      <x:c r="V500" s="51" t="str">
        <x:v>Ongoing</x:v>
      </x:c>
      <x:c r="W500" s="51" t="str">
        <x:v>41;57</x:v>
      </x:c>
      <x:c r="X500" s="51" t="str">
        <x:v>2026-07-27</x:v>
      </x:c>
    </x:row>
    <x:row r="501">
      <x:c r="A501" s="51" t="str">
        <x:v>MED-001</x:v>
      </x:c>
      <x:c r="B501" s="51" t="str">
        <x:v>Narrative and platform infrastructure</x:v>
      </x:c>
      <x:c r="C501" s="51" t="str">
        <x:v>ACT-METAPLATFORMS</x:v>
      </x:c>
      <x:c r="D501" s="51" t="str">
        <x:v>Meta Platforms</x:v>
      </x:c>
      <x:c r="E501" s="51" t="str">
        <x:v>ACT-POLITICALADVERTISERS</x:v>
      </x:c>
      <x:c r="F501" s="51" t="str">
        <x:v>Political advertisers</x:v>
      </x:c>
      <x:c r="G501" s="51" t="str">
        <x:v>Platform → advertisers</x:v>
      </x:c>
      <x:c r="H501" s="51" t="str">
        <x:v>Ongoing</x:v>
      </x:c>
      <x:c r="I501" s="51" t="str">
        <x:v>Political and social-issue advertising rules</x:v>
      </x:c>
      <x:c r="J501" s="51" t="str"/>
      <x:c r="K501" s="51" t="str">
        <x:v>Platform-wide</x:v>
      </x:c>
      <x:c r="L501" s="51" t="str">
        <x:v>Advertising budgets, targeting criteria and creative content</x:v>
      </x:c>
      <x:c r="M501" s="51" t="str">
        <x:v>Paid political reach and archived disclosures</x:v>
      </x:c>
      <x:c r="N501" s="51" t="str">
        <x:v>Platform rules determine who may buy political attention and what transparency accompanies it</x:v>
      </x:c>
      <x:c r="O501" s="51" t="str">
        <x:v>Narrative; informational; financial</x:v>
      </x:c>
      <x:c r="P501" s="51" t="str">
        <x:v>E1</x:v>
      </x:c>
      <x:c r="Q501" s="51" t="str">
        <x:v>High</x:v>
      </x:c>
      <x:c r="R501" s="51" t="str">
        <x:v>SRC-143</x:v>
      </x:c>
      <x:c r="S501" s="51" t="str">
        <x:v>Meta maintains dedicated policies and transparency requirements for political and social-issue ads.</x:v>
      </x:c>
      <x:c r="T501" s="51" t="str">
        <x:v>Neutrality of ranking, equal reach or control of voter decisions.</x:v>
      </x:c>
      <x:c r="U501" s="51" t="str">
        <x:v>Organic content and recommendation systems are separate from paid-ad rules.</x:v>
      </x:c>
      <x:c r="V501" s="51" t="str">
        <x:v>Active</x:v>
      </x:c>
      <x:c r="W501" s="51" t="str">
        <x:v>10;57</x:v>
      </x:c>
      <x:c r="X501" s="51" t="str">
        <x:v>2026-07-27</x:v>
      </x:c>
    </x:row>
    <x:row r="502">
      <x:c r="A502" s="51" t="str">
        <x:v>MED-002</x:v>
      </x:c>
      <x:c r="B502" s="51" t="str">
        <x:v>Narrative and platform infrastructure</x:v>
      </x:c>
      <x:c r="C502" s="51" t="str">
        <x:v>ACT-TIKTOK</x:v>
      </x:c>
      <x:c r="D502" s="51" t="str">
        <x:v>TikTok</x:v>
      </x:c>
      <x:c r="E502" s="51" t="str">
        <x:v>ACT-POLITICALADVERTISERS</x:v>
      </x:c>
      <x:c r="F502" s="51" t="str">
        <x:v>Political advertisers</x:v>
      </x:c>
      <x:c r="G502" s="51" t="str">
        <x:v>Platform → advertisers</x:v>
      </x:c>
      <x:c r="H502" s="51" t="str">
        <x:v>Ongoing</x:v>
      </x:c>
      <x:c r="I502" s="51" t="str">
        <x:v>Political/government advertising policy</x:v>
      </x:c>
      <x:c r="J502" s="51" t="str"/>
      <x:c r="K502" s="51" t="str">
        <x:v>Platform-wide</x:v>
      </x:c>
      <x:c r="L502" s="51" t="str">
        <x:v>Government certification and platform rules</x:v>
      </x:c>
      <x:c r="M502" s="51" t="str">
        <x:v>Permitted or prohibited paid reach</x:v>
      </x:c>
      <x:c r="N502" s="51" t="str">
        <x:v>A platform policy converts corporate governance into political-communication constraints</x:v>
      </x:c>
      <x:c r="O502" s="51" t="str">
        <x:v>Narrative; informational; enforcement</x:v>
      </x:c>
      <x:c r="P502" s="51" t="str">
        <x:v>E1</x:v>
      </x:c>
      <x:c r="Q502" s="51" t="str">
        <x:v>High</x:v>
      </x:c>
      <x:c r="R502" s="51" t="str">
        <x:v>SRC-144</x:v>
      </x:c>
      <x:c r="S502" s="51" t="str">
        <x:v>TikTok publishes rules governing political and government advertising.</x:v>
      </x:c>
      <x:c r="T502" s="51" t="str">
        <x:v>Complete absence of political persuasion, covert influence or organic campaign content.</x:v>
      </x:c>
      <x:c r="U502" s="51" t="str">
        <x:v>Policy enforcement, influencer content and cross-border operations require separate evidence.</x:v>
      </x:c>
      <x:c r="V502" s="51" t="str">
        <x:v>Active</x:v>
      </x:c>
      <x:c r="W502" s="51" t="str">
        <x:v>10;57</x:v>
      </x:c>
      <x:c r="X502" s="51" t="str">
        <x:v>2026-07-27</x:v>
      </x:c>
    </x:row>
    <x:row r="503">
      <x:c r="A503" s="51" t="str">
        <x:v>MED-003</x:v>
      </x:c>
      <x:c r="B503" s="51" t="str">
        <x:v>Narrative and platform infrastructure</x:v>
      </x:c>
      <x:c r="C503" s="51" t="str">
        <x:v>ACT-METAPLATFORMS</x:v>
      </x:c>
      <x:c r="D503" s="51" t="str">
        <x:v>Meta Platforms</x:v>
      </x:c>
      <x:c r="E503" s="51" t="str">
        <x:v>ACT-PLATFORMUSERSANDRESEARCH</x:v>
      </x:c>
      <x:c r="F503" s="51" t="str">
        <x:v>Platform users and researchers</x:v>
      </x:c>
      <x:c r="G503" s="51" t="str">
        <x:v>Platform → oversight subjects</x:v>
      </x:c>
      <x:c r="H503" s="51" t="str">
        <x:v>Ongoing</x:v>
      </x:c>
      <x:c r="I503" s="51" t="str">
        <x:v>Transparency library and data-access interface</x:v>
      </x:c>
      <x:c r="J503" s="51" t="str"/>
      <x:c r="K503" s="51" t="str">
        <x:v>Large-scale</x:v>
      </x:c>
      <x:c r="L503" s="51" t="str">
        <x:v>Platform records and metadata</x:v>
      </x:c>
      <x:c r="M503" s="51" t="str">
        <x:v>Public and research visibility into political content</x:v>
      </x:c>
      <x:c r="N503" s="51" t="str">
        <x:v>The platform controls not only content distribution but also the evidence available to audit that distribution</x:v>
      </x:c>
      <x:c r="O503" s="51" t="str">
        <x:v>Informational; narrative; institutional</x:v>
      </x:c>
      <x:c r="P503" s="51" t="str">
        <x:v>S1</x:v>
      </x:c>
      <x:c r="Q503" s="51" t="str">
        <x:v>High</x:v>
      </x:c>
      <x:c r="R503" s="51" t="str">
        <x:v>SRC-143</x:v>
      </x:c>
      <x:c r="S503" s="51" t="str">
        <x:v>Meta provides transparency resources and controls their design.</x:v>
      </x:c>
      <x:c r="T503" s="51" t="str">
        <x:v>Complete independent auditability or proof of hidden manipulation.</x:v>
      </x:c>
      <x:c r="U503" s="51" t="str">
        <x:v>External researchers must test completeness and access limitations.</x:v>
      </x:c>
      <x:c r="V503" s="51" t="str">
        <x:v>Active</x:v>
      </x:c>
      <x:c r="W503" s="51" t="str">
        <x:v>10;57</x:v>
      </x:c>
      <x:c r="X503" s="51" t="str">
        <x:v>2026-07-27</x:v>
      </x:c>
    </x:row>
    <x:row r="504">
      <x:c r="A504" s="51" t="str">
        <x:v>MED-004</x:v>
      </x:c>
      <x:c r="B504" s="51" t="str">
        <x:v>Narrative and platform infrastructure</x:v>
      </x:c>
      <x:c r="C504" s="51" t="str">
        <x:v>ACT-TIKTOK</x:v>
      </x:c>
      <x:c r="D504" s="51" t="str">
        <x:v>TikTok</x:v>
      </x:c>
      <x:c r="E504" s="51" t="str">
        <x:v>ACT-PLATFORMUSERSANDRESEARCH</x:v>
      </x:c>
      <x:c r="F504" s="51" t="str">
        <x:v>Platform users and researchers</x:v>
      </x:c>
      <x:c r="G504" s="51" t="str">
        <x:v>Platform → oversight subjects</x:v>
      </x:c>
      <x:c r="H504" s="51" t="str">
        <x:v>Ongoing</x:v>
      </x:c>
      <x:c r="I504" s="51" t="str">
        <x:v>Advertising-policy and platform-data control</x:v>
      </x:c>
      <x:c r="J504" s="51" t="str"/>
      <x:c r="K504" s="51" t="str">
        <x:v>Large-scale</x:v>
      </x:c>
      <x:c r="L504" s="51" t="str">
        <x:v>Content, recommendation and advertising data</x:v>
      </x:c>
      <x:c r="M504" s="51" t="str">
        <x:v>Limited public and research visibility</x:v>
      </x:c>
      <x:c r="N504" s="51" t="str">
        <x:v>Control of the data interface creates an upward-opacity problem for platform governance</x:v>
      </x:c>
      <x:c r="O504" s="51" t="str">
        <x:v>Informational; narrative</x:v>
      </x:c>
      <x:c r="P504" s="51" t="str">
        <x:v>S1</x:v>
      </x:c>
      <x:c r="Q504" s="51" t="str">
        <x:v>Moderate</x:v>
      </x:c>
      <x:c r="R504" s="51" t="str">
        <x:v>SRC-144</x:v>
      </x:c>
      <x:c r="S504" s="51" t="str">
        <x:v>TikTok sets rules for political and government ads and controls platform records.</x:v>
      </x:c>
      <x:c r="T504" s="51" t="str">
        <x:v>A finding that political content is systematically suppressed or promoted.</x:v>
      </x:c>
      <x:c r="U504" s="51" t="str">
        <x:v>Independent causal audit requires platform and externally collected data.</x:v>
      </x:c>
      <x:c r="V504" s="51" t="str">
        <x:v>Active</x:v>
      </x:c>
      <x:c r="W504" s="51" t="str">
        <x:v>10;57</x:v>
      </x:c>
      <x:c r="X504" s="51" t="str">
        <x:v>2026-07-27</x:v>
      </x:c>
    </x:row>
    <x:row r="505">
      <x:c r="A505" s="51" t="str">
        <x:v>MON-001</x:v>
      </x:c>
      <x:c r="B505" s="51" t="str">
        <x:v>Monetary architecture</x:v>
      </x:c>
      <x:c r="C505" s="51" t="str">
        <x:v>ACT-FEDERALRESERVEBOARD</x:v>
      </x:c>
      <x:c r="D505" s="51" t="str">
        <x:v>Federal Reserve Board</x:v>
      </x:c>
      <x:c r="E505" s="51" t="str">
        <x:v>ACT-EUROPEANCENTRALBANK</x:v>
      </x:c>
      <x:c r="F505" s="51" t="str">
        <x:v>European Central Bank</x:v>
      </x:c>
      <x:c r="G505" s="51" t="str">
        <x:v>Bidirectional</x:v>
      </x:c>
      <x:c r="H505" s="51" t="str">
        <x:v>Standing</x:v>
      </x:c>
      <x:c r="I505" s="51" t="str">
        <x:v>Central-bank liquidity swap line</x:v>
      </x:c>
      <x:c r="J505" s="51" t="str">
        <x:v>INS-001</x:v>
      </x:c>
      <x:c r="K505" s="51" t="str">
        <x:v>Variable</x:v>
      </x:c>
      <x:c r="L505" s="51" t="str">
        <x:v>Domestic currency / central-bank balance sheet</x:v>
      </x:c>
      <x:c r="M505" s="51" t="str">
        <x:v>Emergency US-dollar liquidity</x:v>
      </x:c>
      <x:c r="N505" s="51" t="str">
        <x:v>Selected central banks can transmit dollars during stress</x:v>
      </x:c>
      <x:c r="O505" s="51" t="str">
        <x:v>Financial; institutional; adaptive</x:v>
      </x:c>
      <x:c r="P505" s="51" t="str">
        <x:v>E1</x:v>
      </x:c>
      <x:c r="Q505" s="51" t="str">
        <x:v>Very high</x:v>
      </x:c>
      <x:c r="R505" s="51" t="str">
        <x:v>SRC-001; SRC-002</x:v>
      </x:c>
      <x:c r="S505" s="51" t="str">
        <x:v>A standing bilateral liquidity arrangement exists.</x:v>
      </x:c>
      <x:c r="T505" s="51" t="str">
        <x:v>Universal access, automatic rescue, or political control of the counterparty.</x:v>
      </x:c>
      <x:c r="U505" s="51" t="str">
        <x:v>The lines also protect US financial stability.</x:v>
      </x:c>
      <x:c r="V505" s="51" t="str">
        <x:v>Active</x:v>
      </x:c>
      <x:c r="W505" s="51" t="str">
        <x:v>39</x:v>
      </x:c>
      <x:c r="X505" s="51" t="str">
        <x:v>2026-07-27</x:v>
      </x:c>
    </x:row>
    <x:row r="506">
      <x:c r="A506" s="51" t="str">
        <x:v>MON-002</x:v>
      </x:c>
      <x:c r="B506" s="51" t="str">
        <x:v>Monetary architecture</x:v>
      </x:c>
      <x:c r="C506" s="51" t="str">
        <x:v>ACT-FEDERALRESERVEBOARD</x:v>
      </x:c>
      <x:c r="D506" s="51" t="str">
        <x:v>Federal Reserve Board</x:v>
      </x:c>
      <x:c r="E506" s="51" t="str">
        <x:v>ACT-BANKOFENGLAND</x:v>
      </x:c>
      <x:c r="F506" s="51" t="str">
        <x:v>Bank of England</x:v>
      </x:c>
      <x:c r="G506" s="51" t="str">
        <x:v>Bidirectional</x:v>
      </x:c>
      <x:c r="H506" s="51" t="str">
        <x:v>Standing</x:v>
      </x:c>
      <x:c r="I506" s="51" t="str">
        <x:v>Central-bank liquidity swap line</x:v>
      </x:c>
      <x:c r="J506" s="51" t="str">
        <x:v>INS-001</x:v>
      </x:c>
      <x:c r="K506" s="51" t="str">
        <x:v>Variable</x:v>
      </x:c>
      <x:c r="L506" s="51" t="str">
        <x:v>Domestic currency / central-bank balance sheet</x:v>
      </x:c>
      <x:c r="M506" s="51" t="str">
        <x:v>Emergency US-dollar liquidity</x:v>
      </x:c>
      <x:c r="N506" s="51" t="str">
        <x:v>Selected central banks can transmit dollars during stress</x:v>
      </x:c>
      <x:c r="O506" s="51" t="str">
        <x:v>Financial; institutional; adaptive</x:v>
      </x:c>
      <x:c r="P506" s="51" t="str">
        <x:v>E1</x:v>
      </x:c>
      <x:c r="Q506" s="51" t="str">
        <x:v>Very high</x:v>
      </x:c>
      <x:c r="R506" s="51" t="str">
        <x:v>SRC-001; SRC-002</x:v>
      </x:c>
      <x:c r="S506" s="51" t="str">
        <x:v>A standing bilateral liquidity arrangement exists.</x:v>
      </x:c>
      <x:c r="T506" s="51" t="str">
        <x:v>Universal access, automatic rescue, or political control of the counterparty.</x:v>
      </x:c>
      <x:c r="U506" s="51" t="str">
        <x:v>The lines also protect US financial stability.</x:v>
      </x:c>
      <x:c r="V506" s="51" t="str">
        <x:v>Active</x:v>
      </x:c>
      <x:c r="W506" s="51" t="str">
        <x:v>39</x:v>
      </x:c>
      <x:c r="X506" s="51" t="str">
        <x:v>2026-07-27</x:v>
      </x:c>
    </x:row>
    <x:row r="507">
      <x:c r="A507" s="51" t="str">
        <x:v>MON-003</x:v>
      </x:c>
      <x:c r="B507" s="51" t="str">
        <x:v>Monetary architecture</x:v>
      </x:c>
      <x:c r="C507" s="51" t="str">
        <x:v>ACT-FEDERALRESERVEBOARD</x:v>
      </x:c>
      <x:c r="D507" s="51" t="str">
        <x:v>Federal Reserve Board</x:v>
      </x:c>
      <x:c r="E507" s="51" t="str">
        <x:v>ACT-BANKOFJAPAN</x:v>
      </x:c>
      <x:c r="F507" s="51" t="str">
        <x:v>Bank of Japan</x:v>
      </x:c>
      <x:c r="G507" s="51" t="str">
        <x:v>Bidirectional</x:v>
      </x:c>
      <x:c r="H507" s="51" t="str">
        <x:v>Standing</x:v>
      </x:c>
      <x:c r="I507" s="51" t="str">
        <x:v>Central-bank liquidity swap line</x:v>
      </x:c>
      <x:c r="J507" s="51" t="str">
        <x:v>INS-001</x:v>
      </x:c>
      <x:c r="K507" s="51" t="str">
        <x:v>Variable</x:v>
      </x:c>
      <x:c r="L507" s="51" t="str">
        <x:v>Domestic currency / central-bank balance sheet</x:v>
      </x:c>
      <x:c r="M507" s="51" t="str">
        <x:v>Emergency US-dollar liquidity</x:v>
      </x:c>
      <x:c r="N507" s="51" t="str">
        <x:v>Selected central banks can transmit dollars during stress</x:v>
      </x:c>
      <x:c r="O507" s="51" t="str">
        <x:v>Financial; institutional; adaptive</x:v>
      </x:c>
      <x:c r="P507" s="51" t="str">
        <x:v>E1</x:v>
      </x:c>
      <x:c r="Q507" s="51" t="str">
        <x:v>Very high</x:v>
      </x:c>
      <x:c r="R507" s="51" t="str">
        <x:v>SRC-001; SRC-002</x:v>
      </x:c>
      <x:c r="S507" s="51" t="str">
        <x:v>A standing bilateral liquidity arrangement exists.</x:v>
      </x:c>
      <x:c r="T507" s="51" t="str">
        <x:v>Universal access, automatic rescue, or political control of the counterparty.</x:v>
      </x:c>
      <x:c r="U507" s="51" t="str">
        <x:v>The lines also protect US financial stability.</x:v>
      </x:c>
      <x:c r="V507" s="51" t="str">
        <x:v>Active</x:v>
      </x:c>
      <x:c r="W507" s="51" t="str">
        <x:v>39</x:v>
      </x:c>
      <x:c r="X507" s="51" t="str">
        <x:v>2026-07-27</x:v>
      </x:c>
    </x:row>
    <x:row r="508">
      <x:c r="A508" s="51" t="str">
        <x:v>MON-004</x:v>
      </x:c>
      <x:c r="B508" s="51" t="str">
        <x:v>Monetary architecture</x:v>
      </x:c>
      <x:c r="C508" s="51" t="str">
        <x:v>ACT-FEDERALRESERVEBOARD</x:v>
      </x:c>
      <x:c r="D508" s="51" t="str">
        <x:v>Federal Reserve Board</x:v>
      </x:c>
      <x:c r="E508" s="51" t="str">
        <x:v>ACT-BANKOFCANADA</x:v>
      </x:c>
      <x:c r="F508" s="51" t="str">
        <x:v>Bank of Canada</x:v>
      </x:c>
      <x:c r="G508" s="51" t="str">
        <x:v>Bidirectional</x:v>
      </x:c>
      <x:c r="H508" s="51" t="str">
        <x:v>Standing</x:v>
      </x:c>
      <x:c r="I508" s="51" t="str">
        <x:v>Central-bank liquidity swap line</x:v>
      </x:c>
      <x:c r="J508" s="51" t="str">
        <x:v>INS-001</x:v>
      </x:c>
      <x:c r="K508" s="51" t="str">
        <x:v>Variable</x:v>
      </x:c>
      <x:c r="L508" s="51" t="str">
        <x:v>Domestic currency / central-bank balance sheet</x:v>
      </x:c>
      <x:c r="M508" s="51" t="str">
        <x:v>Emergency US-dollar liquidity</x:v>
      </x:c>
      <x:c r="N508" s="51" t="str">
        <x:v>Selected central banks can transmit dollars during stress</x:v>
      </x:c>
      <x:c r="O508" s="51" t="str">
        <x:v>Financial; institutional; adaptive</x:v>
      </x:c>
      <x:c r="P508" s="51" t="str">
        <x:v>E1</x:v>
      </x:c>
      <x:c r="Q508" s="51" t="str">
        <x:v>Very high</x:v>
      </x:c>
      <x:c r="R508" s="51" t="str">
        <x:v>SRC-001; SRC-002</x:v>
      </x:c>
      <x:c r="S508" s="51" t="str">
        <x:v>A standing bilateral liquidity arrangement exists.</x:v>
      </x:c>
      <x:c r="T508" s="51" t="str">
        <x:v>Universal access, automatic rescue, or political control of the counterparty.</x:v>
      </x:c>
      <x:c r="U508" s="51" t="str">
        <x:v>The lines also protect US financial stability.</x:v>
      </x:c>
      <x:c r="V508" s="51" t="str">
        <x:v>Active</x:v>
      </x:c>
      <x:c r="W508" s="51" t="str">
        <x:v>39</x:v>
      </x:c>
      <x:c r="X508" s="51" t="str">
        <x:v>2026-07-27</x:v>
      </x:c>
    </x:row>
    <x:row r="509">
      <x:c r="A509" s="51" t="str">
        <x:v>MON-005</x:v>
      </x:c>
      <x:c r="B509" s="51" t="str">
        <x:v>Monetary architecture</x:v>
      </x:c>
      <x:c r="C509" s="51" t="str">
        <x:v>ACT-FEDERALRESERVEBOARD</x:v>
      </x:c>
      <x:c r="D509" s="51" t="str">
        <x:v>Federal Reserve Board</x:v>
      </x:c>
      <x:c r="E509" s="51" t="str">
        <x:v>ACT-SWISSNATIONALBANK</x:v>
      </x:c>
      <x:c r="F509" s="51" t="str">
        <x:v>Swiss National Bank</x:v>
      </x:c>
      <x:c r="G509" s="51" t="str">
        <x:v>Bidirectional</x:v>
      </x:c>
      <x:c r="H509" s="51" t="str">
        <x:v>Standing</x:v>
      </x:c>
      <x:c r="I509" s="51" t="str">
        <x:v>Central-bank liquidity swap line</x:v>
      </x:c>
      <x:c r="J509" s="51" t="str">
        <x:v>INS-001</x:v>
      </x:c>
      <x:c r="K509" s="51" t="str">
        <x:v>Variable</x:v>
      </x:c>
      <x:c r="L509" s="51" t="str">
        <x:v>Domestic currency / central-bank balance sheet</x:v>
      </x:c>
      <x:c r="M509" s="51" t="str">
        <x:v>Emergency US-dollar liquidity</x:v>
      </x:c>
      <x:c r="N509" s="51" t="str">
        <x:v>Selected central banks can transmit dollars during stress</x:v>
      </x:c>
      <x:c r="O509" s="51" t="str">
        <x:v>Financial; institutional; adaptive</x:v>
      </x:c>
      <x:c r="P509" s="51" t="str">
        <x:v>E1</x:v>
      </x:c>
      <x:c r="Q509" s="51" t="str">
        <x:v>Very high</x:v>
      </x:c>
      <x:c r="R509" s="51" t="str">
        <x:v>SRC-001; SRC-002</x:v>
      </x:c>
      <x:c r="S509" s="51" t="str">
        <x:v>A standing bilateral liquidity arrangement exists.</x:v>
      </x:c>
      <x:c r="T509" s="51" t="str">
        <x:v>Universal access, automatic rescue, or political control of the counterparty.</x:v>
      </x:c>
      <x:c r="U509" s="51" t="str">
        <x:v>The lines also protect US financial stability.</x:v>
      </x:c>
      <x:c r="V509" s="51" t="str">
        <x:v>Active</x:v>
      </x:c>
      <x:c r="W509" s="51" t="str">
        <x:v>39</x:v>
      </x:c>
      <x:c r="X509" s="51" t="str">
        <x:v>2026-07-27</x:v>
      </x:c>
    </x:row>
    <x:row r="510">
      <x:c r="A510" s="51" t="str">
        <x:v>MON-006</x:v>
      </x:c>
      <x:c r="B510" s="51" t="str">
        <x:v>Monetary architecture</x:v>
      </x:c>
      <x:c r="C510" s="51" t="str">
        <x:v>ACT-FEDERALRESERVEBOARD</x:v>
      </x:c>
      <x:c r="D510" s="51" t="str">
        <x:v>Federal Reserve Board</x:v>
      </x:c>
      <x:c r="E510" s="51" t="str">
        <x:v>ACT-OFFSHOREDOLLARBANKINGSYS</x:v>
      </x:c>
      <x:c r="F510" s="51" t="str">
        <x:v>Offshore dollar banking system</x:v>
      </x:c>
      <x:c r="G510" s="51" t="str">
        <x:v>A → system</x:v>
      </x:c>
      <x:c r="H510" s="51" t="str">
        <x:v>Crisis-dependent</x:v>
      </x:c>
      <x:c r="I510" s="51" t="str">
        <x:v>Indirect liquidity backstop</x:v>
      </x:c>
      <x:c r="J510" s="51" t="str">
        <x:v>INS-001</x:v>
      </x:c>
      <x:c r="K510" s="51" t="str">
        <x:v>Variable</x:v>
      </x:c>
      <x:c r="L510" s="51" t="str">
        <x:v>Federal Reserve dollar creation</x:v>
      </x:c>
      <x:c r="M510" s="51" t="str">
        <x:v>Stabilisation of selected offshore dollar channels</x:v>
      </x:c>
      <x:c r="N510" s="51" t="str">
        <x:v>Counterparty central banks transmit dollars into funding markets</x:v>
      </x:c>
      <x:c r="O510" s="51" t="str">
        <x:v>Financial; adaptive</x:v>
      </x:c>
      <x:c r="P510" s="51" t="str">
        <x:v>S1</x:v>
      </x:c>
      <x:c r="Q510" s="51" t="str">
        <x:v>High</x:v>
      </x:c>
      <x:c r="R510" s="51" t="str">
        <x:v>SRC-001; SRC-002; SRC-003</x:v>
      </x:c>
      <x:c r="S510" s="51" t="str">
        <x:v>The Fed can indirectly backstop important offshore dollar segments.</x:v>
      </x:c>
      <x:c r="T510" s="51" t="str">
        <x:v>Every offshore claim is guaranteed or directly controlled by the Fed.</x:v>
      </x:c>
      <x:c r="U510" s="51" t="str">
        <x:v>Facilities are selective and conditional.</x:v>
      </x:c>
      <x:c r="V510" s="51" t="str">
        <x:v>Ongoing</x:v>
      </x:c>
      <x:c r="W510" s="51" t="str">
        <x:v>39</x:v>
      </x:c>
      <x:c r="X510" s="51" t="str">
        <x:v>2026-07-27</x:v>
      </x:c>
    </x:row>
    <x:row r="511">
      <x:c r="A511" s="51" t="str">
        <x:v>MON-007</x:v>
      </x:c>
      <x:c r="B511" s="51" t="str">
        <x:v>Monetary architecture</x:v>
      </x:c>
      <x:c r="C511" s="51" t="str">
        <x:v>ACT-OFFSHOREDOLLARBANKINGSYS</x:v>
      </x:c>
      <x:c r="D511" s="51" t="str">
        <x:v>Offshore dollar banking system</x:v>
      </x:c>
      <x:c r="E511" s="51" t="str">
        <x:v>ACT-CITIZENSANDLABOUR</x:v>
      </x:c>
      <x:c r="F511" s="51" t="str">
        <x:v>Citizens and labour</x:v>
      </x:c>
      <x:c r="G511" s="51" t="str">
        <x:v>System → users</x:v>
      </x:c>
      <x:c r="H511" s="51" t="str">
        <x:v>Ongoing</x:v>
      </x:c>
      <x:c r="I511" s="51" t="str">
        <x:v>Dollar funding and settlement</x:v>
      </x:c>
      <x:c r="J511" s="51" t="str">
        <x:v>INS-002</x:v>
      </x:c>
      <x:c r="K511" s="51" t="str">
        <x:v>Tens of trillions aggregate</x:v>
      </x:c>
      <x:c r="L511" s="51" t="str">
        <x:v>Trade, securities, hedging and borrowing</x:v>
      </x:c>
      <x:c r="M511" s="51" t="str">
        <x:v>Dollar payment and rollover obligations</x:v>
      </x:c>
      <x:c r="N511" s="51" t="str">
        <x:v>FX derivatives create large dollar liabilities outside ordinary debt statistics</x:v>
      </x:c>
      <x:c r="O511" s="51" t="str">
        <x:v>Financial; informational</x:v>
      </x:c>
      <x:c r="P511" s="51" t="str">
        <x:v>E1</x:v>
      </x:c>
      <x:c r="Q511" s="51" t="str">
        <x:v>Very high</x:v>
      </x:c>
      <x:c r="R511" s="51" t="str">
        <x:v>SRC-003</x:v>
      </x:c>
      <x:c r="S511" s="51" t="str">
        <x:v>Large off-balance-sheet dollar obligations exist outside the US.</x:v>
      </x:c>
      <x:c r="T511" s="51" t="str">
        <x:v>One owner or central command over the whole system.</x:v>
      </x:c>
      <x:c r="U511" s="51" t="str">
        <x:v>Many transactions are hedging and market-making.</x:v>
      </x:c>
      <x:c r="V511" s="51" t="str">
        <x:v>Ongoing</x:v>
      </x:c>
      <x:c r="W511" s="51" t="str">
        <x:v>39</x:v>
      </x:c>
      <x:c r="X511" s="51" t="str">
        <x:v>2026-07-27</x:v>
      </x:c>
    </x:row>
    <x:row r="512">
      <x:c r="A512" s="51" t="str">
        <x:v>MON-008</x:v>
      </x:c>
      <x:c r="B512" s="51" t="str">
        <x:v>Monetary architecture</x:v>
      </x:c>
      <x:c r="C512" s="51" t="str">
        <x:v>ACT-USTREASURYMARKET</x:v>
      </x:c>
      <x:c r="D512" s="51" t="str">
        <x:v>US Treasury market</x:v>
      </x:c>
      <x:c r="E512" s="51" t="str">
        <x:v>ACT-IMF</x:v>
      </x:c>
      <x:c r="F512" s="51" t="str">
        <x:v>IMF</x:v>
      </x:c>
      <x:c r="G512" s="51" t="str">
        <x:v>Market → reserve system</x:v>
      </x:c>
      <x:c r="H512" s="51" t="str">
        <x:v>2025 Q4</x:v>
      </x:c>
      <x:c r="I512" s="51" t="str">
        <x:v>Reserve-asset role</x:v>
      </x:c>
      <x:c r="J512" s="51" t="str"/>
      <x:c r="K512" s="51" t="str">
        <x:v>Dollar 56.77% of allocated reserves</x:v>
      </x:c>
      <x:c r="L512" s="51" t="str">
        <x:v>US fiscal claims</x:v>
      </x:c>
      <x:c r="M512" s="51" t="str">
        <x:v>Official reserve portfolios</x:v>
      </x:c>
      <x:c r="N512" s="51" t="str">
        <x:v>Treasury/dollar assets provide reserve storage, collateral and liquidity</x:v>
      </x:c>
      <x:c r="O512" s="51" t="str">
        <x:v>Financial; institutional</x:v>
      </x:c>
      <x:c r="P512" s="51" t="str">
        <x:v>E1</x:v>
      </x:c>
      <x:c r="Q512" s="51" t="str">
        <x:v>Very high</x:v>
      </x:c>
      <x:c r="R512" s="51" t="str">
        <x:v>SRC-004</x:v>
      </x:c>
      <x:c r="S512" s="51" t="str">
        <x:v>The dollar remained the largest reported reserve currency.</x:v>
      </x:c>
      <x:c r="T512" s="51" t="str">
        <x:v>Reserve share alone measures every dimension of monetary power.</x:v>
      </x:c>
      <x:c r="U512" s="51" t="str">
        <x:v>Valuation and reporting affect measured shares.</x:v>
      </x:c>
      <x:c r="V512" s="51" t="str">
        <x:v>Current</x:v>
      </x:c>
      <x:c r="W512" s="51" t="str">
        <x:v>39</x:v>
      </x:c>
      <x:c r="X512" s="51" t="str">
        <x:v>2026-07-27</x:v>
      </x:c>
    </x:row>
    <x:row r="513">
      <x:c r="A513" s="51" t="str">
        <x:v>MON-009</x:v>
      </x:c>
      <x:c r="B513" s="51" t="str">
        <x:v>Monetary architecture</x:v>
      </x:c>
      <x:c r="C513" s="51" t="str">
        <x:v>ACT-PEOPLESBANKOFCHINA</x:v>
      </x:c>
      <x:c r="D513" s="51" t="str">
        <x:v>People's Bank of China</x:v>
      </x:c>
      <x:c r="E513" s="51" t="str">
        <x:v>ACT-CIPS</x:v>
      </x:c>
      <x:c r="F513" s="51" t="str">
        <x:v>CIPS</x:v>
      </x:c>
      <x:c r="G513" s="51" t="str">
        <x:v>A → B</x:v>
      </x:c>
      <x:c r="H513" s="51" t="str">
        <x:v>Since 2015; rules 2026</x:v>
      </x:c>
      <x:c r="I513" s="51" t="str">
        <x:v>Payment-system sponsorship</x:v>
      </x:c>
      <x:c r="J513" s="51" t="str">
        <x:v>INS-025</x:v>
      </x:c>
      <x:c r="K513" s="51" t="str">
        <x:v>System-wide</x:v>
      </x:c>
      <x:c r="L513" s="51" t="str">
        <x:v>RMB monetary authority</x:v>
      </x:c>
      <x:c r="M513" s="51" t="str">
        <x:v>Cross-border RMB clearing</x:v>
      </x:c>
      <x:c r="N513" s="51" t="str">
        <x:v>State-backed infrastructure lowers RMB settlement frictions</x:v>
      </x:c>
      <x:c r="O513" s="51" t="str">
        <x:v>Financial; institutional</x:v>
      </x:c>
      <x:c r="P513" s="51" t="str">
        <x:v>E1</x:v>
      </x:c>
      <x:c r="Q513" s="51" t="str">
        <x:v>Very high</x:v>
      </x:c>
      <x:c r="R513" s="51" t="str">
        <x:v>SRC-021; SRC-022</x:v>
      </x:c>
      <x:c r="S513" s="51" t="str">
        <x:v>CIPS provides official RMB/HKD clearing and settlement.</x:v>
      </x:c>
      <x:c r="T513" s="51" t="str">
        <x:v>Near-term replacement of the dollar, SWIFT or all correspondent banks.</x:v>
      </x:c>
      <x:c r="U513" s="51" t="str">
        <x:v>CIPS can interoperate with other networks.</x:v>
      </x:c>
      <x:c r="V513" s="51" t="str">
        <x:v>Active</x:v>
      </x:c>
      <x:c r="W513" s="51" t="str">
        <x:v>42</x:v>
      </x:c>
      <x:c r="X513" s="51" t="str">
        <x:v>2026-07-27</x:v>
      </x:c>
    </x:row>
    <x:row r="514">
      <x:c r="A514" s="51" t="str">
        <x:v>MON-010</x:v>
      </x:c>
      <x:c r="B514" s="51" t="str">
        <x:v>Monetary architecture</x:v>
      </x:c>
      <x:c r="C514" s="51" t="str">
        <x:v>ACT-CIPS</x:v>
      </x:c>
      <x:c r="D514" s="51" t="str">
        <x:v>CIPS</x:v>
      </x:c>
      <x:c r="E514" s="51" t="str">
        <x:v>ACT-SWIFT</x:v>
      </x:c>
      <x:c r="F514" s="51" t="str">
        <x:v>SWIFT</x:v>
      </x:c>
      <x:c r="G514" s="51" t="str">
        <x:v>Interoperable / competitive</x:v>
      </x:c>
      <x:c r="H514" s="51" t="str">
        <x:v>Ongoing</x:v>
      </x:c>
      <x:c r="I514" s="51" t="str">
        <x:v>Standards and messaging relationship</x:v>
      </x:c>
      <x:c r="J514" s="51" t="str"/>
      <x:c r="K514" s="51" t="str">
        <x:v>Institutional</x:v>
      </x:c>
      <x:c r="L514" s="51" t="str">
        <x:v>Payment messages and standards</x:v>
      </x:c>
      <x:c r="M514" s="51" t="str">
        <x:v>Wider participant reach</x:v>
      </x:c>
      <x:c r="N514" s="51" t="str">
        <x:v>Interoperability can expand use without full replacement</x:v>
      </x:c>
      <x:c r="O514" s="51" t="str">
        <x:v>Financial; informational</x:v>
      </x:c>
      <x:c r="P514" s="51" t="str">
        <x:v>E2</x:v>
      </x:c>
      <x:c r="Q514" s="51" t="str">
        <x:v>High</x:v>
      </x:c>
      <x:c r="R514" s="51" t="str">
        <x:v>SRC-021; SRC-022</x:v>
      </x:c>
      <x:c r="S514" s="51" t="str">
        <x:v>Technical standards and interoperability exist.</x:v>
      </x:c>
      <x:c r="T514" s="51" t="str">
        <x:v>That the organisations are identical or one has replaced the other.</x:v>
      </x:c>
      <x:c r="U514" s="51" t="str">
        <x:v>Cooperation and competition coexist.</x:v>
      </x:c>
      <x:c r="V514" s="51" t="str">
        <x:v>Active</x:v>
      </x:c>
      <x:c r="W514" s="51" t="str">
        <x:v>42</x:v>
      </x:c>
      <x:c r="X514" s="51" t="str">
        <x:v>2026-07-27</x:v>
      </x:c>
    </x:row>
    <x:row r="515">
      <x:c r="A515" s="51" t="str">
        <x:v>MON-011</x:v>
      </x:c>
      <x:c r="B515" s="51" t="str">
        <x:v>Monetary architecture</x:v>
      </x:c>
      <x:c r="C515" s="51" t="str">
        <x:v>ACT-BANCODEFOMENTOANGOLA</x:v>
      </x:c>
      <x:c r="D515" s="51" t="str">
        <x:v>Banco de Fomento Angola</x:v>
      </x:c>
      <x:c r="E515" s="51" t="str">
        <x:v>ACT-CIPS</x:v>
      </x:c>
      <x:c r="F515" s="51" t="str">
        <x:v>CIPS</x:v>
      </x:c>
      <x:c r="G515" s="51" t="str">
        <x:v>A → B</x:v>
      </x:c>
      <x:c r="H515" s="51" t="str">
        <x:v>Reported 2026-07</x:v>
      </x:c>
      <x:c r="I515" s="51" t="str">
        <x:v>Planned participant connection</x:v>
      </x:c>
      <x:c r="J515" s="51" t="str">
        <x:v>INS-025</x:v>
      </x:c>
      <x:c r="K515" s="51" t="str">
        <x:v>Undisclosed</x:v>
      </x:c>
      <x:c r="L515" s="51" t="str">
        <x:v>Angolan yuan demand</x:v>
      </x:c>
      <x:c r="M515" s="51" t="str">
        <x:v>Improved RMB clearing access</x:v>
      </x:c>
      <x:c r="N515" s="51" t="str">
        <x:v>Bank participation expands practical currency use</x:v>
      </x:c>
      <x:c r="O515" s="51" t="str">
        <x:v>Financial; relational</x:v>
      </x:c>
      <x:c r="P515" s="51" t="str">
        <x:v>E2</x:v>
      </x:c>
      <x:c r="Q515" s="51" t="str">
        <x:v>High</x:v>
      </x:c>
      <x:c r="R515" s="51" t="str">
        <x:v>SRC-023</x:v>
      </x:c>
      <x:c r="S515" s="51" t="str">
        <x:v>BFA planned to join CIPS according to Reuters sourcing.</x:v>
      </x:c>
      <x:c r="T515" s="51" t="str">
        <x:v>Completed membership or system-wide dollar displacement.</x:v>
      </x:c>
      <x:c r="U515" s="51" t="str">
        <x:v>Trade matching and customer demand are ordinary motives.</x:v>
      </x:c>
      <x:c r="V515" s="51" t="str">
        <x:v>Planned</x:v>
      </x:c>
      <x:c r="W515" s="51" t="str">
        <x:v>42</x:v>
      </x:c>
      <x:c r="X515" s="51" t="str">
        <x:v>2026-07-27</x:v>
      </x:c>
    </x:row>
    <x:row r="516">
      <x:c r="A516" s="51" t="str">
        <x:v>MON-012</x:v>
      </x:c>
      <x:c r="B516" s="51" t="str">
        <x:v>Monetary architecture</x:v>
      </x:c>
      <x:c r="C516" s="51" t="str">
        <x:v>ACT-BANCONACIONALDEANGOLA</x:v>
      </x:c>
      <x:c r="D516" s="51" t="str">
        <x:v>Banco Nacional de Angola</x:v>
      </x:c>
      <x:c r="E516" s="51" t="str">
        <x:v>ACT-PEOPLESREPUBLICOFCHINA</x:v>
      </x:c>
      <x:c r="F516" s="51" t="str">
        <x:v>People's Republic of China</x:v>
      </x:c>
      <x:c r="G516" s="51" t="str">
        <x:v>A → B</x:v>
      </x:c>
      <x:c r="H516" s="51" t="str">
        <x:v>Reported 2026</x:v>
      </x:c>
      <x:c r="I516" s="51" t="str">
        <x:v>Reserve-policy recognition</x:v>
      </x:c>
      <x:c r="J516" s="51" t="str"/>
      <x:c r="K516" s="51" t="str">
        <x:v>Undisclosed</x:v>
      </x:c>
      <x:c r="L516" s="51" t="str">
        <x:v>RMB reserve eligibility</x:v>
      </x:c>
      <x:c r="M516" s="51" t="str">
        <x:v>Official acceptance of RMB reserves</x:v>
      </x:c>
      <x:c r="N516" s="51" t="str">
        <x:v>Reserve policy can support bilateral trade and diversification</x:v>
      </x:c>
      <x:c r="O516" s="51" t="str">
        <x:v>Financial; institutional</x:v>
      </x:c>
      <x:c r="P516" s="51" t="str">
        <x:v>E2</x:v>
      </x:c>
      <x:c r="Q516" s="51" t="str">
        <x:v>High</x:v>
      </x:c>
      <x:c r="R516" s="51" t="str">
        <x:v>SRC-023</x:v>
      </x:c>
      <x:c r="S516" s="51" t="str">
        <x:v>Angola included the yuan among eligible reserve currencies.</x:v>
      </x:c>
      <x:c r="T516" s="51" t="str">
        <x:v>A large fixed allocation or abandonment of the dollar.</x:v>
      </x:c>
      <x:c r="U516" s="51" t="str">
        <x:v>Portfolio diversification is a standard motive.</x:v>
      </x:c>
      <x:c r="V516" s="51" t="str">
        <x:v>Current</x:v>
      </x:c>
      <x:c r="W516" s="51" t="str">
        <x:v>42</x:v>
      </x:c>
      <x:c r="X516" s="51" t="str">
        <x:v>2026-07-27</x:v>
      </x:c>
    </x:row>
    <x:row r="517">
      <x:c r="A517" s="51" t="str">
        <x:v>MON-013</x:v>
      </x:c>
      <x:c r="B517" s="51" t="str">
        <x:v>Monetary architecture</x:v>
      </x:c>
      <x:c r="C517" s="51" t="str">
        <x:v>ACT-ANGOLA</x:v>
      </x:c>
      <x:c r="D517" s="51" t="str">
        <x:v>Angola</x:v>
      </x:c>
      <x:c r="E517" s="51" t="str">
        <x:v>ACT-PEOPLESREPUBLICOFCHINA</x:v>
      </x:c>
      <x:c r="F517" s="51" t="str">
        <x:v>People's Republic of China</x:v>
      </x:c>
      <x:c r="G517" s="51" t="str">
        <x:v>A → B</x:v>
      </x:c>
      <x:c r="H517" s="51" t="str">
        <x:v>Reported 2026</x:v>
      </x:c>
      <x:c r="I517" s="51" t="str">
        <x:v>Possible RMB sovereign debt issuance</x:v>
      </x:c>
      <x:c r="J517" s="51" t="str"/>
      <x:c r="K517" s="51" t="str">
        <x:v>Undisclosed</x:v>
      </x:c>
      <x:c r="L517" s="51" t="str">
        <x:v>Potential yuan debt</x:v>
      </x:c>
      <x:c r="M517" s="51" t="str">
        <x:v>Access to RMB funding</x:v>
      </x:c>
      <x:c r="N517" s="51" t="str">
        <x:v>Debt denomination can align with China-linked finance</x:v>
      </x:c>
      <x:c r="O517" s="51" t="str">
        <x:v>Financial; relational</x:v>
      </x:c>
      <x:c r="P517" s="51" t="str">
        <x:v>A1</x:v>
      </x:c>
      <x:c r="Q517" s="51" t="str">
        <x:v>Moderate</x:v>
      </x:c>
      <x:c r="R517" s="51" t="str">
        <x:v>SRC-023</x:v>
      </x:c>
      <x:c r="S517" s="51" t="str">
        <x:v>Plans for yuan-denominated debt were reported.</x:v>
      </x:c>
      <x:c r="T517" s="51" t="str">
        <x:v>A completed issuance or final terms.</x:v>
      </x:c>
      <x:c r="U517" s="51" t="str">
        <x:v>Plans can change with markets and policy.</x:v>
      </x:c>
      <x:c r="V517" s="51" t="str">
        <x:v>Reported / pending</x:v>
      </x:c>
      <x:c r="W517" s="51" t="str">
        <x:v>42</x:v>
      </x:c>
      <x:c r="X517" s="51" t="str">
        <x:v>2026-07-27</x:v>
      </x:c>
    </x:row>
    <x:row r="518">
      <x:c r="A518" s="51" t="str">
        <x:v>MORT-001</x:v>
      </x:c>
      <x:c r="B518" s="51" t="str">
        <x:v>Mortgage origination and consumer legibility</x:v>
      </x:c>
      <x:c r="C518" s="51" t="str">
        <x:v>ACT-MORTGAGEBORROWERSANDHOME</x:v>
      </x:c>
      <x:c r="D518" s="51" t="str">
        <x:v>Mortgage borrowers and homebuyers</x:v>
      </x:c>
      <x:c r="E518" s="51" t="str">
        <x:v>ACT-MORTGAGEORIGINATORS</x:v>
      </x:c>
      <x:c r="F518" s="51" t="str">
        <x:v>Mortgage originators</x:v>
      </x:c>
      <x:c r="G518" s="51" t="str">
        <x:v>Borrower → lender</x:v>
      </x:c>
      <x:c r="H518" s="51" t="str">
        <x:v>Application and closing</x:v>
      </x:c>
      <x:c r="I518" s="51" t="str">
        <x:v>Mortgage application and debt contract</x:v>
      </x:c>
      <x:c r="J518" s="51" t="str">
        <x:v>INS-166; INS-167</x:v>
      </x:c>
      <x:c r="K518" s="51" t="str">
        <x:v>Loan-specific</x:v>
      </x:c>
      <x:c r="L518" s="51" t="str">
        <x:v>Income, credit, property and down payment</x:v>
      </x:c>
      <x:c r="M518" s="51" t="str">
        <x:v>Mortgage funding and long-duration repayment obligation</x:v>
      </x:c>
      <x:c r="N518" s="51" t="str">
        <x:v>The mortgage converts future household income and property collateral into present purchasing power</x:v>
      </x:c>
      <x:c r="O518" s="51" t="str">
        <x:v>Financial; ownership; relational</x:v>
      </x:c>
      <x:c r="P518" s="51" t="str">
        <x:v>E1</x:v>
      </x:c>
      <x:c r="Q518" s="51" t="str">
        <x:v>Very high</x:v>
      </x:c>
      <x:c r="R518" s="51" t="str">
        <x:v>SRC-315; SRC-316</x:v>
      </x:c>
      <x:c r="S518" s="51" t="str">
        <x:v>Mortgage borrowers provide underwriting information and assume repayment obligations.</x:v>
      </x:c>
      <x:c r="T518" s="51" t="str">
        <x:v>Affordability, fair treatment or successful homeownership in every case.</x:v>
      </x:c>
      <x:c r="U518" s="51" t="str">
        <x:v>Rates, underwriting and future income risk vary.</x:v>
      </x:c>
      <x:c r="V518" s="51" t="str">
        <x:v>Active</x:v>
      </x:c>
      <x:c r="W518" s="51" t="str">
        <x:v>39;47;57</x:v>
      </x:c>
      <x:c r="X518" s="51" t="str">
        <x:v>2026-07-27</x:v>
      </x:c>
    </x:row>
    <x:row r="519">
      <x:c r="A519" s="51" t="str">
        <x:v>MORT-002</x:v>
      </x:c>
      <x:c r="B519" s="51" t="str">
        <x:v>Mortgage origination and consumer legibility</x:v>
      </x:c>
      <x:c r="C519" s="51" t="str">
        <x:v>ACT-MORTGAGEBROKERS</x:v>
      </x:c>
      <x:c r="D519" s="51" t="str">
        <x:v>Mortgage brokers</x:v>
      </x:c>
      <x:c r="E519" s="51" t="str">
        <x:v>ACT-MORTGAGEBORROWERSANDHOME</x:v>
      </x:c>
      <x:c r="F519" s="51" t="str">
        <x:v>Mortgage borrowers and homebuyers</x:v>
      </x:c>
      <x:c r="G519" s="51" t="str">
        <x:v>Broker → borrower</x:v>
      </x:c>
      <x:c r="H519" s="51" t="str">
        <x:v>Application stage</x:v>
      </x:c>
      <x:c r="I519" s="51" t="str">
        <x:v>Product matching and intermediation</x:v>
      </x:c>
      <x:c r="J519" s="51" t="str">
        <x:v>INS-166</x:v>
      </x:c>
      <x:c r="K519" s="51" t="str">
        <x:v>Loan-specific</x:v>
      </x:c>
      <x:c r="L519" s="51" t="str">
        <x:v>Borrower profile and lender offerings</x:v>
      </x:c>
      <x:c r="M519" s="51" t="str">
        <x:v>Selected mortgage offer and compensation arrangement</x:v>
      </x:c>
      <x:c r="N519" s="51" t="str">
        <x:v>A broker reduces search costs while creating incentive and disclosure questions around product selection</x:v>
      </x:c>
      <x:c r="O519" s="51" t="str">
        <x:v>Financial; relational; informational</x:v>
      </x:c>
      <x:c r="P519" s="51" t="str">
        <x:v>S1</x:v>
      </x:c>
      <x:c r="Q519" s="51" t="str">
        <x:v>High</x:v>
      </x:c>
      <x:c r="R519" s="51" t="str">
        <x:v>SRC-315</x:v>
      </x:c>
      <x:c r="S519" s="51" t="str">
        <x:v>Federal mortgage disclosure rules cover broker and creditor compensation and terms.</x:v>
      </x:c>
      <x:c r="T519" s="51" t="str">
        <x:v>That brokers always raise or lower borrower cost.</x:v>
      </x:c>
      <x:c r="U519" s="51" t="str">
        <x:v>Outcomes depend on competition and compensation structure.</x:v>
      </x:c>
      <x:c r="V519" s="51" t="str">
        <x:v>Active</x:v>
      </x:c>
      <x:c r="W519" s="51" t="str">
        <x:v>39;57</x:v>
      </x:c>
      <x:c r="X519" s="51" t="str">
        <x:v>2026-07-27</x:v>
      </x:c>
    </x:row>
    <x:row r="520">
      <x:c r="A520" s="51" t="str">
        <x:v>MORT-003</x:v>
      </x:c>
      <x:c r="B520" s="51" t="str">
        <x:v>Mortgage origination and consumer legibility</x:v>
      </x:c>
      <x:c r="C520" s="51" t="str">
        <x:v>ACT-CONSUMERFINANCIALPROTECT</x:v>
      </x:c>
      <x:c r="D520" s="51" t="str">
        <x:v>Consumer Financial Protection Bureau</x:v>
      </x:c>
      <x:c r="E520" s="51" t="str">
        <x:v>ACT-REGULATIONZ</x:v>
      </x:c>
      <x:c r="F520" s="51" t="str">
        <x:v>Regulation Z</x:v>
      </x:c>
      <x:c r="G520" s="51" t="str">
        <x:v>Regulator → rule</x:v>
      </x:c>
      <x:c r="H520" s="51" t="str">
        <x:v>Ongoing</x:v>
      </x:c>
      <x:c r="I520" s="51" t="str">
        <x:v>Consumer-credit disclosure and conduct requirements</x:v>
      </x:c>
      <x:c r="J520" s="51" t="str">
        <x:v>INS-166</x:v>
      </x:c>
      <x:c r="K520" s="51" t="str">
        <x:v>System-wide</x:v>
      </x:c>
      <x:c r="L520" s="51" t="str">
        <x:v>Statutory authority and mortgage-market evidence</x:v>
      </x:c>
      <x:c r="M520" s="51" t="str">
        <x:v>Standard disclosures and creditor duties</x:v>
      </x:c>
      <x:c r="N520" s="51" t="str">
        <x:v>The regulator converts complex mortgage pricing into standard forms intended to improve comparison and accountability</x:v>
      </x:c>
      <x:c r="O520" s="51" t="str">
        <x:v>Informational; institutional; enforcement</x:v>
      </x:c>
      <x:c r="P520" s="51" t="str">
        <x:v>E1</x:v>
      </x:c>
      <x:c r="Q520" s="51" t="str">
        <x:v>Very high</x:v>
      </x:c>
      <x:c r="R520" s="51" t="str">
        <x:v>SRC-315; SRC-328</x:v>
      </x:c>
      <x:c r="S520" s="51" t="str">
        <x:v>Regulation Z governs mortgage disclosures and consumer-credit protections.</x:v>
      </x:c>
      <x:c r="T520" s="51" t="str">
        <x:v>A guarantee that consumers understand or choose optimally.</x:v>
      </x:c>
      <x:c r="U520" s="51" t="str">
        <x:v>Disclosure quality and behavioural response vary.</x:v>
      </x:c>
      <x:c r="V520" s="51" t="str">
        <x:v>Active</x:v>
      </x:c>
      <x:c r="W520" s="51" t="str">
        <x:v>39;57</x:v>
      </x:c>
      <x:c r="X520" s="51" t="str">
        <x:v>2026-07-27</x:v>
      </x:c>
    </x:row>
    <x:row r="521">
      <x:c r="A521" s="51" t="str">
        <x:v>MORT-004</x:v>
      </x:c>
      <x:c r="B521" s="51" t="str">
        <x:v>Mortgage origination and consumer legibility</x:v>
      </x:c>
      <x:c r="C521" s="51" t="str">
        <x:v>ACT-CONSUMERFINANCIALPROTECT</x:v>
      </x:c>
      <x:c r="D521" s="51" t="str">
        <x:v>Consumer Financial Protection Bureau</x:v>
      </x:c>
      <x:c r="E521" s="51" t="str">
        <x:v>ACT-REGULATIONX</x:v>
      </x:c>
      <x:c r="F521" s="51" t="str">
        <x:v>Regulation X</x:v>
      </x:c>
      <x:c r="G521" s="51" t="str">
        <x:v>Regulator → rule</x:v>
      </x:c>
      <x:c r="H521" s="51" t="str">
        <x:v>Ongoing</x:v>
      </x:c>
      <x:c r="I521" s="51" t="str">
        <x:v>Settlement and servicing requirements</x:v>
      </x:c>
      <x:c r="J521" s="51" t="str">
        <x:v>INS-165</x:v>
      </x:c>
      <x:c r="K521" s="51" t="str">
        <x:v>System-wide</x:v>
      </x:c>
      <x:c r="L521" s="51" t="str">
        <x:v>RESPA authority and servicing evidence</x:v>
      </x:c>
      <x:c r="M521" s="51" t="str">
        <x:v>Error-resolution, escrow and loss-mitigation duties</x:v>
      </x:c>
      <x:c r="N521" s="51" t="str">
        <x:v>A federal rule constrains how mortgage servicers handle household distress and payment administration</x:v>
      </x:c>
      <x:c r="O521" s="51" t="str">
        <x:v>Institutional; enforcement; relational</x:v>
      </x:c>
      <x:c r="P521" s="51" t="str">
        <x:v>E1</x:v>
      </x:c>
      <x:c r="Q521" s="51" t="str">
        <x:v>Very high</x:v>
      </x:c>
      <x:c r="R521" s="51" t="str">
        <x:v>SRC-314</x:v>
      </x:c>
      <x:c r="S521" s="51" t="str">
        <x:v>Regulation X covers servicing disclosures, errors, force-placed insurance and loss mitigation.</x:v>
      </x:c>
      <x:c r="T521" s="51" t="str">
        <x:v>Prevention of all foreclosure or uniform enforcement.</x:v>
      </x:c>
      <x:c r="U521" s="51" t="str">
        <x:v>State law and loan investor rules also apply.</x:v>
      </x:c>
      <x:c r="V521" s="51" t="str">
        <x:v>Active</x:v>
      </x:c>
      <x:c r="W521" s="51" t="str">
        <x:v>39;47;57</x:v>
      </x:c>
      <x:c r="X521" s="51" t="str">
        <x:v>2026-07-27</x:v>
      </x:c>
    </x:row>
    <x:row r="522">
      <x:c r="A522" s="51" t="str">
        <x:v>MORT-005</x:v>
      </x:c>
      <x:c r="B522" s="51" t="str">
        <x:v>Mortgage origination and consumer legibility</x:v>
      </x:c>
      <x:c r="C522" s="51" t="str">
        <x:v>ACT-MORTGAGEORIGINATORS</x:v>
      </x:c>
      <x:c r="D522" s="51" t="str">
        <x:v>Mortgage originators</x:v>
      </x:c>
      <x:c r="E522" s="51" t="str">
        <x:v>ACT-HOMEMORTGAGEDISCLOSUREAC</x:v>
      </x:c>
      <x:c r="F522" s="51" t="str">
        <x:v>Home Mortgage Disclosure Act dataset</x:v>
      </x:c>
      <x:c r="G522" s="51" t="str">
        <x:v>Reporting institution → public dataset</x:v>
      </x:c>
      <x:c r="H522" s="51" t="str">
        <x:v>Annual</x:v>
      </x:c>
      <x:c r="I522" s="51" t="str">
        <x:v>Loan-level regulatory reporting</x:v>
      </x:c>
      <x:c r="J522" s="51" t="str">
        <x:v>INS-167</x:v>
      </x:c>
      <x:c r="K522" s="51" t="str">
        <x:v>Millions of applications and originations</x:v>
      </x:c>
      <x:c r="L522" s="51" t="str">
        <x:v>Application, action and borrower/property characteristics</x:v>
      </x:c>
      <x:c r="M522" s="51" t="str">
        <x:v>Modified public mortgage dataset</x:v>
      </x:c>
      <x:c r="N522" s="51" t="str">
        <x:v>HMDA converts dispersed lender decisions into a market-wide map of credit access</x:v>
      </x:c>
      <x:c r="O522" s="51" t="str">
        <x:v>Informational; institutional</x:v>
      </x:c>
      <x:c r="P522" s="51" t="str">
        <x:v>E1</x:v>
      </x:c>
      <x:c r="Q522" s="51" t="str">
        <x:v>Very high</x:v>
      </x:c>
      <x:c r="R522" s="51" t="str">
        <x:v>SRC-316</x:v>
      </x:c>
      <x:c r="S522" s="51" t="str">
        <x:v>Covered institutions report loan-level data used for public analysis.</x:v>
      </x:c>
      <x:c r="T522" s="51" t="str">
        <x:v>Proof of discrimination from raw approval-rate differences alone.</x:v>
      </x:c>
      <x:c r="U522" s="51" t="str">
        <x:v>Risk, product and geographic differences require analysis.</x:v>
      </x:c>
      <x:c r="V522" s="51" t="str">
        <x:v>Active</x:v>
      </x:c>
      <x:c r="W522" s="51" t="str">
        <x:v>39;57</x:v>
      </x:c>
      <x:c r="X522" s="51" t="str">
        <x:v>2026-07-27</x:v>
      </x:c>
    </x:row>
    <x:row r="523">
      <x:c r="A523" s="51" t="str">
        <x:v>MORT-006</x:v>
      </x:c>
      <x:c r="B523" s="51" t="str">
        <x:v>Mortgage origination and consumer legibility</x:v>
      </x:c>
      <x:c r="C523" s="51" t="str">
        <x:v>ACT-HOMEMORTGAGEDISCLOSUREAC</x:v>
      </x:c>
      <x:c r="D523" s="51" t="str">
        <x:v>Home Mortgage Disclosure Act dataset</x:v>
      </x:c>
      <x:c r="E523" s="51" t="str">
        <x:v>ACT-RESIDENTSANDCOMMUNITYBOA</x:v>
      </x:c>
      <x:c r="F523" s="51" t="str">
        <x:v>Residents and community boards</x:v>
      </x:c>
      <x:c r="G523" s="51" t="str">
        <x:v>Dataset → public stakeholders</x:v>
      </x:c>
      <x:c r="H523" s="51" t="str">
        <x:v>Annual</x:v>
      </x:c>
      <x:c r="I523" s="51" t="str">
        <x:v>Public accountability and research</x:v>
      </x:c>
      <x:c r="J523" s="51" t="str">
        <x:v>INS-167</x:v>
      </x:c>
      <x:c r="K523" s="51" t="str">
        <x:v>National</x:v>
      </x:c>
      <x:c r="L523" s="51" t="str">
        <x:v>Modified mortgage application data</x:v>
      </x:c>
      <x:c r="M523" s="51" t="str">
        <x:v>Evidence for policy, fair-lending and community analysis</x:v>
      </x:c>
      <x:c r="N523" s="51" t="str">
        <x:v>Public data can reveal geographic and demographic patterns otherwise hidden inside lenders</x:v>
      </x:c>
      <x:c r="O523" s="51" t="str">
        <x:v>Informational; narrative; institutional</x:v>
      </x:c>
      <x:c r="P523" s="51" t="str">
        <x:v>S1</x:v>
      </x:c>
      <x:c r="Q523" s="51" t="str">
        <x:v>High</x:v>
      </x:c>
      <x:c r="R523" s="51" t="str">
        <x:v>SRC-316</x:v>
      </x:c>
      <x:c r="S523" s="51" t="str">
        <x:v>HMDA data are intended to illuminate whether institutions serve community housing needs.</x:v>
      </x:c>
      <x:c r="T523" s="51" t="str">
        <x:v>Individual borrower identity or causal proof without modelling.</x:v>
      </x:c>
      <x:c r="U523" s="51" t="str">
        <x:v>Privacy modifications and missing variables limit inference.</x:v>
      </x:c>
      <x:c r="V523" s="51" t="str">
        <x:v>Active</x:v>
      </x:c>
      <x:c r="W523" s="51" t="str">
        <x:v>39;57</x:v>
      </x:c>
      <x:c r="X523" s="51" t="str">
        <x:v>2026-07-27</x:v>
      </x:c>
    </x:row>
    <x:row r="524">
      <x:c r="A524" s="51" t="str">
        <x:v>MUNI-001</x:v>
      </x:c>
      <x:c r="B524" s="51" t="str">
        <x:v>Municipal finance, taxation and infrastructure</x:v>
      </x:c>
      <x:c r="C524" s="51" t="str">
        <x:v>ACT-COUNTYANDMUNICIPALPROPER</x:v>
      </x:c>
      <x:c r="D524" s="51" t="str">
        <x:v>County and municipal property assessors</x:v>
      </x:c>
      <x:c r="E524" s="51" t="str">
        <x:v>ACT-PROPERTYTAXPAYERS</x:v>
      </x:c>
      <x:c r="F524" s="51" t="str">
        <x:v>Property taxpayers</x:v>
      </x:c>
      <x:c r="G524" s="51" t="str">
        <x:v>Authority → taxpayers</x:v>
      </x:c>
      <x:c r="H524" s="51" t="str">
        <x:v>Annual</x:v>
      </x:c>
      <x:c r="I524" s="51" t="str">
        <x:v>Property valuation and tax assessment</x:v>
      </x:c>
      <x:c r="J524" s="51" t="str">
        <x:v>INS-182</x:v>
      </x:c>
      <x:c r="K524" s="51" t="str">
        <x:v>Parcel-specific</x:v>
      </x:c>
      <x:c r="L524" s="51" t="str">
        <x:v>Estimated taxable value and statutory rate</x:v>
      </x:c>
      <x:c r="M524" s="51" t="str">
        <x:v>Property tax bill</x:v>
      </x:c>
      <x:c r="N524" s="51" t="str">
        <x:v>Assessment converts land and improvements into a recurring local fiscal claim</x:v>
      </x:c>
      <x:c r="O524" s="51" t="str">
        <x:v>Financial; material; institutional</x:v>
      </x:c>
      <x:c r="P524" s="51" t="str">
        <x:v>E1</x:v>
      </x:c>
      <x:c r="Q524" s="51" t="str">
        <x:v>High</x:v>
      </x:c>
      <x:c r="R524" s="51" t="str">
        <x:v>SRC-292; SRC-293</x:v>
      </x:c>
      <x:c r="S524" s="51" t="str">
        <x:v>Local governments collect property taxes measured by assessed property value.</x:v>
      </x:c>
      <x:c r="T524" s="51" t="str">
        <x:v>Uniform market-value accuracy or identical appeal rights.</x:v>
      </x:c>
      <x:c r="U524" s="51" t="str">
        <x:v>Assessment standards and exemptions vary.</x:v>
      </x:c>
      <x:c r="V524" s="51" t="str">
        <x:v>Active</x:v>
      </x:c>
      <x:c r="W524" s="51" t="str">
        <x:v>22;57</x:v>
      </x:c>
      <x:c r="X524" s="51" t="str">
        <x:v>2026-07-27</x:v>
      </x:c>
    </x:row>
    <x:row r="525">
      <x:c r="A525" s="51" t="str">
        <x:v>MUNI-002</x:v>
      </x:c>
      <x:c r="B525" s="51" t="str">
        <x:v>Municipal finance, taxation and infrastructure</x:v>
      </x:c>
      <x:c r="C525" s="51" t="str">
        <x:v>ACT-PROPERTYTAXPAYERS</x:v>
      </x:c>
      <x:c r="D525" s="51" t="str">
        <x:v>Property taxpayers</x:v>
      </x:c>
      <x:c r="E525" s="51" t="str">
        <x:v>ACT-LOCALGOVERNMENTS</x:v>
      </x:c>
      <x:c r="F525" s="51" t="str">
        <x:v>Local governments</x:v>
      </x:c>
      <x:c r="G525" s="51" t="str">
        <x:v>Taxpayer → government</x:v>
      </x:c>
      <x:c r="H525" s="51" t="str">
        <x:v>Annual</x:v>
      </x:c>
      <x:c r="I525" s="51" t="str">
        <x:v>Property tax payment</x:v>
      </x:c>
      <x:c r="J525" s="51" t="str">
        <x:v>INS-182</x:v>
      </x:c>
      <x:c r="K525" s="51" t="str">
        <x:v>Nationally significant local revenue category</x:v>
      </x:c>
      <x:c r="L525" s="51" t="str">
        <x:v>Household and business cash flow</x:v>
      </x:c>
      <x:c r="M525" s="51" t="str">
        <x:v>Funding for schools, safety, utilities and debt service</x:v>
      </x:c>
      <x:c r="N525" s="51" t="str">
        <x:v>Property ownership creates a recurring fiscal obligation independent of mortgage status</x:v>
      </x:c>
      <x:c r="O525" s="51" t="str">
        <x:v>Financial; institutional; distributional</x:v>
      </x:c>
      <x:c r="P525" s="51" t="str">
        <x:v>E1</x:v>
      </x:c>
      <x:c r="Q525" s="51" t="str">
        <x:v>High</x:v>
      </x:c>
      <x:c r="R525" s="51" t="str">
        <x:v>SRC-292; SRC-293</x:v>
      </x:c>
      <x:c r="S525" s="51" t="str">
        <x:v>Property tax is a major state and local revenue category.</x:v>
      </x:c>
      <x:c r="T525" s="51" t="str">
        <x:v>A direct earmark to a single service in every locality.</x:v>
      </x:c>
      <x:c r="U525" s="51" t="str">
        <x:v>Revenue allocation varies by government and law.</x:v>
      </x:c>
      <x:c r="V525" s="51" t="str">
        <x:v>Active</x:v>
      </x:c>
      <x:c r="W525" s="51" t="str">
        <x:v>22;57</x:v>
      </x:c>
      <x:c r="X525" s="51" t="str">
        <x:v>2026-07-27</x:v>
      </x:c>
    </x:row>
    <x:row r="526">
      <x:c r="A526" s="51" t="str">
        <x:v>MUNI-003</x:v>
      </x:c>
      <x:c r="B526" s="51" t="str">
        <x:v>Municipal finance, taxation and infrastructure</x:v>
      </x:c>
      <x:c r="C526" s="51" t="str">
        <x:v>ACT-MUNICIPALISSUERS</x:v>
      </x:c>
      <x:c r="D526" s="51" t="str">
        <x:v>Municipal issuers</x:v>
      </x:c>
      <x:c r="E526" s="51" t="str">
        <x:v>ACT-MUNICIPALBONDHOLDERS</x:v>
      </x:c>
      <x:c r="F526" s="51" t="str">
        <x:v>Municipal bondholders</x:v>
      </x:c>
      <x:c r="G526" s="51" t="str">
        <x:v>Issuer → investors</x:v>
      </x:c>
      <x:c r="H526" s="51" t="str">
        <x:v>Issuance-specific</x:v>
      </x:c>
      <x:c r="I526" s="51" t="str">
        <x:v>Debt issuance</x:v>
      </x:c>
      <x:c r="J526" s="51" t="str">
        <x:v>INS-183</x:v>
      </x:c>
      <x:c r="K526" s="51" t="str">
        <x:v>Approximately $4 trillion market</x:v>
      </x:c>
      <x:c r="L526" s="51" t="str">
        <x:v>Tax, rate or project revenue pledge</x:v>
      </x:c>
      <x:c r="M526" s="51" t="str">
        <x:v>Bond principal and interest obligation</x:v>
      </x:c>
      <x:c r="N526" s="51" t="str">
        <x:v>Local governments convert future taxes or user charges into present infrastructure capital</x:v>
      </x:c>
      <x:c r="O526" s="51" t="str">
        <x:v>Financial; material; institutional</x:v>
      </x:c>
      <x:c r="P526" s="51" t="str">
        <x:v>E1</x:v>
      </x:c>
      <x:c r="Q526" s="51" t="str">
        <x:v>Very high</x:v>
      </x:c>
      <x:c r="R526" s="51" t="str">
        <x:v>SRC-294; SRC-295; SRC-299</x:v>
      </x:c>
      <x:c r="S526" s="51" t="str">
        <x:v>Municipal bonds finance public infrastructure and operating purposes.</x:v>
      </x:c>
      <x:c r="T526" s="51" t="str">
        <x:v>Full repayment or taxpayer liability for every revenue bond.</x:v>
      </x:c>
      <x:c r="U526" s="51" t="str">
        <x:v>Security, covenants and bankruptcy treatment vary.</x:v>
      </x:c>
      <x:c r="V526" s="51" t="str">
        <x:v>Active</x:v>
      </x:c>
      <x:c r="W526" s="51" t="str">
        <x:v>22;47;57</x:v>
      </x:c>
      <x:c r="X526" s="51" t="str">
        <x:v>2026-07-27</x:v>
      </x:c>
    </x:row>
    <x:row r="527">
      <x:c r="A527" s="51" t="str">
        <x:v>MUNI-004</x:v>
      </x:c>
      <x:c r="B527" s="51" t="str">
        <x:v>Municipal finance, taxation and infrastructure</x:v>
      </x:c>
      <x:c r="C527" s="51" t="str">
        <x:v>ACT-MUNICIPALADVISORS</x:v>
      </x:c>
      <x:c r="D527" s="51" t="str">
        <x:v>Municipal advisors</x:v>
      </x:c>
      <x:c r="E527" s="51" t="str">
        <x:v>ACT-MUNICIPALISSUERS</x:v>
      </x:c>
      <x:c r="F527" s="51" t="str">
        <x:v>Municipal issuers</x:v>
      </x:c>
      <x:c r="G527" s="51" t="str">
        <x:v>Advisor → issuer</x:v>
      </x:c>
      <x:c r="H527" s="51" t="str">
        <x:v>Transaction-specific</x:v>
      </x:c>
      <x:c r="I527" s="51" t="str">
        <x:v>Debt and financial-product advice</x:v>
      </x:c>
      <x:c r="J527" s="51" t="str">
        <x:v>INS-186</x:v>
      </x:c>
      <x:c r="K527" s="51" t="str">
        <x:v>Issuance-specific</x:v>
      </x:c>
      <x:c r="L527" s="51" t="str">
        <x:v>Issuer objectives, cash flows and market conditions</x:v>
      </x:c>
      <x:c r="M527" s="51" t="str">
        <x:v>Financing structure, timing and disclosure advice</x:v>
      </x:c>
      <x:c r="N527" s="51" t="str">
        <x:v>Specialised advisers translate local public needs into capital-market structures</x:v>
      </x:c>
      <x:c r="O527" s="51" t="str">
        <x:v>Informational; relational; financial</x:v>
      </x:c>
      <x:c r="P527" s="51" t="str">
        <x:v>E1</x:v>
      </x:c>
      <x:c r="Q527" s="51" t="str">
        <x:v>High</x:v>
      </x:c>
      <x:c r="R527" s="51" t="str">
        <x:v>SRC-298</x:v>
      </x:c>
      <x:c r="S527" s="51" t="str">
        <x:v>Municipal advisors owe defined duties under MSRB rules.</x:v>
      </x:c>
      <x:c r="T527" s="51" t="str">
        <x:v>Control of the issuer's final decision or absence of conflicts.</x:v>
      </x:c>
      <x:c r="U527" s="51" t="str">
        <x:v>Issuer officials retain legal authority.</x:v>
      </x:c>
      <x:c r="V527" s="51" t="str">
        <x:v>Active</x:v>
      </x:c>
      <x:c r="W527" s="51" t="str">
        <x:v>22;57</x:v>
      </x:c>
      <x:c r="X527" s="51" t="str">
        <x:v>2026-07-27</x:v>
      </x:c>
    </x:row>
    <x:row r="528">
      <x:c r="A528" s="51" t="str">
        <x:v>MUNI-005</x:v>
      </x:c>
      <x:c r="B528" s="51" t="str">
        <x:v>Municipal finance, taxation and infrastructure</x:v>
      </x:c>
      <x:c r="C528" s="51" t="str">
        <x:v>ACT-MUNICIPALBONDUNDERWRITER</x:v>
      </x:c>
      <x:c r="D528" s="51" t="str">
        <x:v>Municipal bond underwriters</x:v>
      </x:c>
      <x:c r="E528" s="51" t="str">
        <x:v>ACT-MUNICIPALISSUERS</x:v>
      </x:c>
      <x:c r="F528" s="51" t="str">
        <x:v>Municipal issuers</x:v>
      </x:c>
      <x:c r="G528" s="51" t="str">
        <x:v>Underwriter → issuer</x:v>
      </x:c>
      <x:c r="H528" s="51" t="str">
        <x:v>Primary offering</x:v>
      </x:c>
      <x:c r="I528" s="51" t="str">
        <x:v>Purchase and distribution agreement</x:v>
      </x:c>
      <x:c r="J528" s="51" t="str">
        <x:v>INS-183; INS-185</x:v>
      </x:c>
      <x:c r="K528" s="51" t="str">
        <x:v>Issuance-specific</x:v>
      </x:c>
      <x:c r="L528" s="51" t="str">
        <x:v>Bond terms, investor demand and underwriting capital</x:v>
      </x:c>
      <x:c r="M528" s="51" t="str">
        <x:v>Sale proceeds and distributed securities</x:v>
      </x:c>
      <x:c r="N528" s="51" t="str">
        <x:v>Underwriters convert a local debt promise into marketable securities and investor placement</x:v>
      </x:c>
      <x:c r="O528" s="51" t="str">
        <x:v>Financial; relational; informational</x:v>
      </x:c>
      <x:c r="P528" s="51" t="str">
        <x:v>E1</x:v>
      </x:c>
      <x:c r="Q528" s="51" t="str">
        <x:v>High</x:v>
      </x:c>
      <x:c r="R528" s="51" t="str">
        <x:v>SRC-294; SRC-295; SRC-297</x:v>
      </x:c>
      <x:c r="S528" s="51" t="str">
        <x:v>Underwriters distribute municipal offerings and are subject to MSRB rules.</x:v>
      </x:c>
      <x:c r="T528" s="51" t="str">
        <x:v>Best pricing or absence of political influence in every selection.</x:v>
      </x:c>
      <x:c r="U528" s="51" t="str">
        <x:v>Competition and advisor quality affect outcomes.</x:v>
      </x:c>
      <x:c r="V528" s="51" t="str">
        <x:v>Active</x:v>
      </x:c>
      <x:c r="W528" s="51" t="str">
        <x:v>22;57</x:v>
      </x:c>
      <x:c r="X528" s="51" t="str">
        <x:v>2026-07-27</x:v>
      </x:c>
    </x:row>
    <x:row r="529">
      <x:c r="A529" s="51" t="str">
        <x:v>MUNI-006</x:v>
      </x:c>
      <x:c r="B529" s="51" t="str">
        <x:v>Municipal finance, taxation and infrastructure</x:v>
      </x:c>
      <x:c r="C529" s="51" t="str">
        <x:v>ACT-MUNICIPALSECURITIESRULEM</x:v>
      </x:c>
      <x:c r="D529" s="51" t="str">
        <x:v>Municipal Securities Rulemaking Board</x:v>
      </x:c>
      <x:c r="E529" s="51" t="str">
        <x:v>ACT-ELECTRONICMUNICIPALMARKE</x:v>
      </x:c>
      <x:c r="F529" s="51" t="str">
        <x:v>Electronic Municipal Market Access</x:v>
      </x:c>
      <x:c r="G529" s="51" t="str">
        <x:v>Self-regulator → platform</x:v>
      </x:c>
      <x:c r="H529" s="51" t="str">
        <x:v>Ongoing</x:v>
      </x:c>
      <x:c r="I529" s="51" t="str">
        <x:v>Disclosure and transaction-data infrastructure</x:v>
      </x:c>
      <x:c r="J529" s="51" t="str">
        <x:v>INS-184</x:v>
      </x:c>
      <x:c r="K529" s="51" t="str">
        <x:v>More than one million securities</x:v>
      </x:c>
      <x:c r="L529" s="51" t="str">
        <x:v>Issuer filings and dealer trade reports</x:v>
      </x:c>
      <x:c r="M529" s="51" t="str">
        <x:v>Public official statements, continuing disclosures and prices</x:v>
      </x:c>
      <x:c r="N529" s="51" t="str">
        <x:v>A self-regulatory body converts fragmented public-borrower information into a national transparency platform</x:v>
      </x:c>
      <x:c r="O529" s="51" t="str">
        <x:v>Informational; institutional; financial</x:v>
      </x:c>
      <x:c r="P529" s="51" t="str">
        <x:v>E1</x:v>
      </x:c>
      <x:c r="Q529" s="51" t="str">
        <x:v>Very high</x:v>
      </x:c>
      <x:c r="R529" s="51" t="str">
        <x:v>SRC-296; SRC-329</x:v>
      </x:c>
      <x:c r="S529" s="51" t="str">
        <x:v>MSRB operates EMMA as the official municipal disclosure and trade-data repository.</x:v>
      </x:c>
      <x:c r="T529" s="51" t="str">
        <x:v>Validation of every issuer statement or complete real-time fiscal transparency.</x:v>
      </x:c>
      <x:c r="U529" s="51" t="str">
        <x:v>Disclosure timeliness and quality vary.</x:v>
      </x:c>
      <x:c r="V529" s="51" t="str">
        <x:v>Active</x:v>
      </x:c>
      <x:c r="W529" s="51" t="str">
        <x:v>22;57</x:v>
      </x:c>
      <x:c r="X529" s="51" t="str">
        <x:v>2026-07-27</x:v>
      </x:c>
    </x:row>
    <x:row r="530">
      <x:c r="A530" s="51" t="str">
        <x:v>MUNI-007</x:v>
      </x:c>
      <x:c r="B530" s="51" t="str">
        <x:v>Municipal finance, taxation and infrastructure</x:v>
      </x:c>
      <x:c r="C530" s="51" t="str">
        <x:v>ACT-MUNICIPALISSUERS</x:v>
      </x:c>
      <x:c r="D530" s="51" t="str">
        <x:v>Municipal issuers</x:v>
      </x:c>
      <x:c r="E530" s="51" t="str">
        <x:v>ACT-ELECTRONICMUNICIPALMARKE</x:v>
      </x:c>
      <x:c r="F530" s="51" t="str">
        <x:v>Electronic Municipal Market Access</x:v>
      </x:c>
      <x:c r="G530" s="51" t="str">
        <x:v>Issuer → platform</x:v>
      </x:c>
      <x:c r="H530" s="51" t="str">
        <x:v>Ongoing</x:v>
      </x:c>
      <x:c r="I530" s="51" t="str">
        <x:v>Official statement and continuing disclosure submission</x:v>
      </x:c>
      <x:c r="J530" s="51" t="str">
        <x:v>INS-184</x:v>
      </x:c>
      <x:c r="K530" s="51" t="str">
        <x:v>Security-specific</x:v>
      </x:c>
      <x:c r="L530" s="51" t="str">
        <x:v>Financial statements, operating data and event notices</x:v>
      </x:c>
      <x:c r="M530" s="51" t="str">
        <x:v>Public investor disclosure</x:v>
      </x:c>
      <x:c r="N530" s="51" t="str">
        <x:v>Disclosure obligations make local fiscal conditions legible to distant investors</x:v>
      </x:c>
      <x:c r="O530" s="51" t="str">
        <x:v>Informational; institutional; narrative</x:v>
      </x:c>
      <x:c r="P530" s="51" t="str">
        <x:v>E1</x:v>
      </x:c>
      <x:c r="Q530" s="51" t="str">
        <x:v>High</x:v>
      </x:c>
      <x:c r="R530" s="51" t="str">
        <x:v>SRC-296; SRC-329</x:v>
      </x:c>
      <x:c r="S530" s="51" t="str">
        <x:v>EMMA publishes official and continuing disclosures.</x:v>
      </x:c>
      <x:c r="T530" s="51" t="str">
        <x:v>Comparable accounting quality or timely disclosure by every issuer.</x:v>
      </x:c>
      <x:c r="U530" s="51" t="str">
        <x:v>Municipal reporting practices remain heterogeneous.</x:v>
      </x:c>
      <x:c r="V530" s="51" t="str">
        <x:v>Active</x:v>
      </x:c>
      <x:c r="W530" s="51" t="str">
        <x:v>22;57</x:v>
      </x:c>
      <x:c r="X530" s="51" t="str">
        <x:v>2026-07-27</x:v>
      </x:c>
    </x:row>
    <x:row r="531">
      <x:c r="A531" s="51" t="str">
        <x:v>MUNI-008</x:v>
      </x:c>
      <x:c r="B531" s="51" t="str">
        <x:v>Municipal finance, taxation and infrastructure</x:v>
      </x:c>
      <x:c r="C531" s="51" t="str">
        <x:v>ACT-MUNICIPALSECURITIESRULEM</x:v>
      </x:c>
      <x:c r="D531" s="51" t="str">
        <x:v>Municipal Securities Rulemaking Board</x:v>
      </x:c>
      <x:c r="E531" s="51" t="str">
        <x:v>ACT-MUNICIPALBONDUNDERWRITER</x:v>
      </x:c>
      <x:c r="F531" s="51" t="str">
        <x:v>Municipal bond underwriters</x:v>
      </x:c>
      <x:c r="G531" s="51" t="str">
        <x:v>Self-regulator → dealers</x:v>
      </x:c>
      <x:c r="H531" s="51" t="str">
        <x:v>Ongoing</x:v>
      </x:c>
      <x:c r="I531" s="51" t="str">
        <x:v>Conduct, disclosure and political-contribution rules</x:v>
      </x:c>
      <x:c r="J531" s="51" t="str">
        <x:v>INS-185</x:v>
      </x:c>
      <x:c r="K531" s="51" t="str">
        <x:v>Market-wide</x:v>
      </x:c>
      <x:c r="L531" s="51" t="str">
        <x:v>Rulemaking and SEC oversight</x:v>
      </x:c>
      <x:c r="M531" s="51" t="str">
        <x:v>Business restrictions and compliance duties</x:v>
      </x:c>
      <x:c r="N531" s="51" t="str">
        <x:v>MSRB rules constrain how private intermediaries compete for public financing mandates</x:v>
      </x:c>
      <x:c r="O531" s="51" t="str">
        <x:v>Institutional; enforcement; relational</x:v>
      </x:c>
      <x:c r="P531" s="51" t="str">
        <x:v>E1</x:v>
      </x:c>
      <x:c r="Q531" s="51" t="str">
        <x:v>Very high</x:v>
      </x:c>
      <x:c r="R531" s="51" t="str">
        <x:v>SRC-297</x:v>
      </x:c>
      <x:c r="S531" s="51" t="str">
        <x:v>Rule G-37 imposes defined business bans after covered political contributions.</x:v>
      </x:c>
      <x:c r="T531" s="51" t="str">
        <x:v>Elimination of all influence or campaign finance concerns.</x:v>
      </x:c>
      <x:c r="U531" s="51" t="str">
        <x:v>The rule has definitions, thresholds and exceptions.</x:v>
      </x:c>
      <x:c r="V531" s="51" t="str">
        <x:v>Active</x:v>
      </x:c>
      <x:c r="W531" s="51" t="str">
        <x:v>22;57</x:v>
      </x:c>
      <x:c r="X531" s="51" t="str">
        <x:v>2026-07-27</x:v>
      </x:c>
    </x:row>
    <x:row r="532">
      <x:c r="A532" s="51" t="str">
        <x:v>MUNI-009</x:v>
      </x:c>
      <x:c r="B532" s="51" t="str">
        <x:v>Municipal finance, taxation and infrastructure</x:v>
      </x:c>
      <x:c r="C532" s="51" t="str">
        <x:v>ACT-MUNICIPALSECURITIESRULEM</x:v>
      </x:c>
      <x:c r="D532" s="51" t="str">
        <x:v>Municipal Securities Rulemaking Board</x:v>
      </x:c>
      <x:c r="E532" s="51" t="str">
        <x:v>ACT-MUNICIPALADVISORS</x:v>
      </x:c>
      <x:c r="F532" s="51" t="str">
        <x:v>Municipal advisors</x:v>
      </x:c>
      <x:c r="G532" s="51" t="str">
        <x:v>Self-regulator → advisors</x:v>
      </x:c>
      <x:c r="H532" s="51" t="str">
        <x:v>Ongoing</x:v>
      </x:c>
      <x:c r="I532" s="51" t="str">
        <x:v>Professional conduct rule</x:v>
      </x:c>
      <x:c r="J532" s="51" t="str">
        <x:v>INS-186</x:v>
      </x:c>
      <x:c r="K532" s="51" t="str">
        <x:v>Market-wide</x:v>
      </x:c>
      <x:c r="L532" s="51" t="str">
        <x:v>Rulemaking and registration</x:v>
      </x:c>
      <x:c r="M532" s="51" t="str">
        <x:v>Duties of care and conduct</x:v>
      </x:c>
      <x:c r="N532" s="51" t="str">
        <x:v>A public-finance advisory market is constitutionalised through fiduciary-like duties and recordkeeping</x:v>
      </x:c>
      <x:c r="O532" s="51" t="str">
        <x:v>Institutional; enforcement; informational</x:v>
      </x:c>
      <x:c r="P532" s="51" t="str">
        <x:v>E1</x:v>
      </x:c>
      <x:c r="Q532" s="51" t="str">
        <x:v>Very high</x:v>
      </x:c>
      <x:c r="R532" s="51" t="str">
        <x:v>SRC-298</x:v>
      </x:c>
      <x:c r="S532" s="51" t="str">
        <x:v>Rule G-42 defines duties of non-solicitor municipal advisors.</x:v>
      </x:c>
      <x:c r="T532" s="51" t="str">
        <x:v>A guarantee of competent advice or absence of conflicts.</x:v>
      </x:c>
      <x:c r="U532" s="51" t="str">
        <x:v>Enforcement and issuer sophistication remain important.</x:v>
      </x:c>
      <x:c r="V532" s="51" t="str">
        <x:v>Active</x:v>
      </x:c>
      <x:c r="W532" s="51" t="str">
        <x:v>22;57</x:v>
      </x:c>
      <x:c r="X532" s="51" t="str">
        <x:v>2026-07-27</x:v>
      </x:c>
    </x:row>
    <x:row r="533">
      <x:c r="A533" s="51" t="str">
        <x:v>MUNI-010</x:v>
      </x:c>
      <x:c r="B533" s="51" t="str">
        <x:v>Municipal finance, taxation and infrastructure</x:v>
      </x:c>
      <x:c r="C533" s="51" t="str">
        <x:v>ACT-MUNICIPALBONDHOLDERS</x:v>
      </x:c>
      <x:c r="D533" s="51" t="str">
        <x:v>Municipal bondholders</x:v>
      </x:c>
      <x:c r="E533" s="51" t="str">
        <x:v>ACT-LOCALPUBLICUTILITIESANDA</x:v>
      </x:c>
      <x:c r="F533" s="51" t="str">
        <x:v>Local public utilities and authorities</x:v>
      </x:c>
      <x:c r="G533" s="51" t="str">
        <x:v>Investors → infrastructure operator</x:v>
      </x:c>
      <x:c r="H533" s="51" t="str">
        <x:v>Bond term</x:v>
      </x:c>
      <x:c r="I533" s="51" t="str">
        <x:v>Debt capital and covenant relationship</x:v>
      </x:c>
      <x:c r="J533" s="51" t="str">
        <x:v>INS-183</x:v>
      </x:c>
      <x:c r="K533" s="51" t="str">
        <x:v>Project-specific</x:v>
      </x:c>
      <x:c r="L533" s="51" t="str">
        <x:v>Investor principal</x:v>
      </x:c>
      <x:c r="M533" s="51" t="str">
        <x:v>Water, sewer, transit or other infrastructure financing</x:v>
      </x:c>
      <x:c r="N533" s="51" t="str">
        <x:v>User charges and public-service cash flows are converted into debt-service capacity</x:v>
      </x:c>
      <x:c r="O533" s="51" t="str">
        <x:v>Financial; material; relational</x:v>
      </x:c>
      <x:c r="P533" s="51" t="str">
        <x:v>S1</x:v>
      </x:c>
      <x:c r="Q533" s="51" t="str">
        <x:v>High</x:v>
      </x:c>
      <x:c r="R533" s="51" t="str">
        <x:v>SRC-295</x:v>
      </x:c>
      <x:c r="S533" s="51" t="str">
        <x:v>Municipal bonds commonly finance schools, transport, water and sewer systems.</x:v>
      </x:c>
      <x:c r="T533" s="51" t="str">
        <x:v>Investor ownership or operational control of the public utility.</x:v>
      </x:c>
      <x:c r="U533" s="51" t="str">
        <x:v>Covenants may constrain finances without transferring formal governance.</x:v>
      </x:c>
      <x:c r="V533" s="51" t="str">
        <x:v>Active</x:v>
      </x:c>
      <x:c r="W533" s="51" t="str">
        <x:v>22;57</x:v>
      </x:c>
      <x:c r="X533" s="51" t="str">
        <x:v>2026-07-27</x:v>
      </x:c>
    </x:row>
    <x:row r="534">
      <x:c r="A534" s="51" t="str">
        <x:v>NET-001</x:v>
      </x:c>
      <x:c r="B534" s="51" t="str">
        <x:v>Adaptive network power</x:v>
      </x:c>
      <x:c r="C534" s="51" t="str">
        <x:v>ACT-GOVERNINGINSTITUTIONALNE</x:v>
      </x:c>
      <x:c r="D534" s="51" t="str">
        <x:v>Governing institutional networks</x:v>
      </x:c>
      <x:c r="E534" s="51" t="str">
        <x:v>ACT-CITIZENSANDLABOUR</x:v>
      </x:c>
      <x:c r="F534" s="51" t="str">
        <x:v>Citizens and labour</x:v>
      </x:c>
      <x:c r="G534" s="51" t="str">
        <x:v>Network → population</x:v>
      </x:c>
      <x:c r="H534" s="51" t="str">
        <x:v>Emerging</x:v>
      </x:c>
      <x:c r="I534" s="51" t="str">
        <x:v>Asymmetric legibility</x:v>
      </x:c>
      <x:c r="J534" s="51" t="str"/>
      <x:c r="K534" s="51" t="str">
        <x:v>System-level</x:v>
      </x:c>
      <x:c r="L534" s="51" t="str">
        <x:v>Identity, payments, platforms and sensors</x:v>
      </x:c>
      <x:c r="M534" s="51" t="str">
        <x:v>Downward visibility / upward opacity</x:v>
      </x:c>
      <x:c r="N534" s="51" t="str">
        <x:v>Subjects become machine-readable faster than procurement and elite decisions become transparent</x:v>
      </x:c>
      <x:c r="O534" s="51" t="str">
        <x:v>Informational; relational; enforcement</x:v>
      </x:c>
      <x:c r="P534" s="51" t="str">
        <x:v>S1</x:v>
      </x:c>
      <x:c r="Q534" s="51" t="str">
        <x:v>High</x:v>
      </x:c>
      <x:c r="R534" s="51" t="str">
        <x:v>SRC-027; SRC-028; SRC-029; SRC-031</x:v>
      </x:c>
      <x:c r="S534" s="51" t="str">
        <x:v>Multiple systems increase subject legibility and public/private integration.</x:v>
      </x:c>
      <x:c r="T534" s="51" t="str">
        <x:v>Complete knowledge of every person or total invisibility of government.</x:v>
      </x:c>
      <x:c r="U534" s="51" t="str">
        <x:v>Courts, journalism and FOI provide partial counter-legibility.</x:v>
      </x:c>
      <x:c r="V534" s="51" t="str">
        <x:v>Emerging</x:v>
      </x:c>
      <x:c r="W534" s="51" t="str">
        <x:v>57;74</x:v>
      </x:c>
      <x:c r="X534" s="51" t="str">
        <x:v>2026-07-27</x:v>
      </x:c>
    </x:row>
    <x:row r="535">
      <x:c r="A535" s="51" t="str">
        <x:v>NET-002</x:v>
      </x:c>
      <x:c r="B535" s="51" t="str">
        <x:v>Adaptive network power</x:v>
      </x:c>
      <x:c r="C535" s="51" t="str">
        <x:v>ACT-PALANTIRTECHNOLOGIES</x:v>
      </x:c>
      <x:c r="D535" s="51" t="str">
        <x:v>Palantir Technologies</x:v>
      </x:c>
      <x:c r="E535" s="51" t="str">
        <x:v>ACT-JEFFREYEPSTEIN</x:v>
      </x:c>
      <x:c r="F535" s="51" t="str">
        <x:v>Jeffrey Epstein</x:v>
      </x:c>
      <x:c r="G535" s="51" t="str">
        <x:v>Structural analogy only</x:v>
      </x:c>
      <x:c r="H535" s="51" t="str">
        <x:v>Analytical</x:v>
      </x:c>
      <x:c r="I535" s="51" t="str">
        <x:v>Bridge-control analogy</x:v>
      </x:c>
      <x:c r="J535" s="51" t="str"/>
      <x:c r="K535" s="51" t="str">
        <x:v>N/A</x:v>
      </x:c>
      <x:c r="L535" s="51" t="str">
        <x:v>Fragmented records / elite communities</x:v>
      </x:c>
      <x:c r="M535" s="51" t="str">
        <x:v>Operational graph / access network</x:v>
      </x:c>
      <x:c r="N535" s="51" t="str">
        <x:v>Both illustrate power from connecting separated nodes</x:v>
      </x:c>
      <x:c r="O535" s="51" t="str">
        <x:v>Informational; relational</x:v>
      </x:c>
      <x:c r="P535" s="51" t="str">
        <x:v>S1</x:v>
      </x:c>
      <x:c r="Q535" s="51" t="str">
        <x:v>Moderate</x:v>
      </x:c>
      <x:c r="R535" s="51" t="str">
        <x:v>SRC-030; SRC-043; SRC-045</x:v>
      </x:c>
      <x:c r="S535" s="51" t="str">
        <x:v>Palantir computationally links records; Epstein socially linked elites.</x:v>
      </x:c>
      <x:c r="T535" s="51" t="str">
        <x:v>Cooperation, shared purpose, moral equivalence or institutional unity.</x:v>
      </x:c>
      <x:c r="U535" s="51" t="str">
        <x:v>The analogy concerns network position only.</x:v>
      </x:c>
      <x:c r="V535" s="51" t="str">
        <x:v>Analytical</x:v>
      </x:c>
      <x:c r="W535" s="51" t="str">
        <x:v>57</x:v>
      </x:c>
      <x:c r="X535" s="51" t="str">
        <x:v>2026-07-27</x:v>
      </x:c>
    </x:row>
    <x:row r="536">
      <x:c r="A536" s="51" t="str">
        <x:v>NET-003</x:v>
      </x:c>
      <x:c r="B536" s="51" t="str">
        <x:v>Adaptive network power</x:v>
      </x:c>
      <x:c r="C536" s="51" t="str">
        <x:v>ACT-GOVERNINGINSTITUTIONALNE</x:v>
      </x:c>
      <x:c r="D536" s="51" t="str">
        <x:v>Governing institutional networks</x:v>
      </x:c>
      <x:c r="E536" s="51" t="str">
        <x:v>ACT-GOVERNINGINSTITUTIONALNE</x:v>
      </x:c>
      <x:c r="F536" s="51" t="str">
        <x:v>Governing institutional networks</x:v>
      </x:c>
      <x:c r="G536" s="51" t="str">
        <x:v>Self-reinforcing</x:v>
      </x:c>
      <x:c r="H536" s="51" t="str">
        <x:v>Ongoing</x:v>
      </x:c>
      <x:c r="I536" s="51" t="str">
        <x:v>State–corporate symbiosis</x:v>
      </x:c>
      <x:c r="J536" s="51" t="str"/>
      <x:c r="K536" s="51" t="str">
        <x:v>System-level</x:v>
      </x:c>
      <x:c r="L536" s="51" t="str">
        <x:v>State authority/data + private technology/capital</x:v>
      </x:c>
      <x:c r="M536" s="51" t="str">
        <x:v>Operational capability and dependence</x:v>
      </x:c>
      <x:c r="N536" s="51" t="str">
        <x:v>Complementary assets create mutually reinforcing contracts</x:v>
      </x:c>
      <x:c r="O536" s="51" t="str">
        <x:v>Financial; informational; enforcement; relational; adaptive</x:v>
      </x:c>
      <x:c r="P536" s="51" t="str">
        <x:v>S1</x:v>
      </x:c>
      <x:c r="Q536" s="51" t="str">
        <x:v>High</x:v>
      </x:c>
      <x:c r="R536" s="51" t="str">
        <x:v>SRC-015; SRC-030; SRC-031</x:v>
      </x:c>
      <x:c r="S536" s="51" t="str">
        <x:v>Contracts/investments repeatedly join public authority and private capability.</x:v>
      </x:c>
      <x:c r="T536" s="51" t="str">
        <x:v>States are powerless or corporations fully command policy.</x:v>
      </x:c>
      <x:c r="U536" s="51" t="str">
        <x:v>Bargaining power varies by domain and alternatives.</x:v>
      </x:c>
      <x:c r="V536" s="51" t="str">
        <x:v>Ongoing</x:v>
      </x:c>
      <x:c r="W536" s="51" t="str">
        <x:v>57;84</x:v>
      </x:c>
      <x:c r="X536" s="51" t="str">
        <x:v>2026-07-27</x:v>
      </x:c>
    </x:row>
    <x:row r="537">
      <x:c r="A537" s="51" t="str">
        <x:v>NET-004</x:v>
      </x:c>
      <x:c r="B537" s="51" t="str">
        <x:v>Adaptive network power</x:v>
      </x:c>
      <x:c r="C537" s="51" t="str">
        <x:v>ACT-GOVERNINGINSTITUTIONALNE</x:v>
      </x:c>
      <x:c r="D537" s="51" t="str">
        <x:v>Governing institutional networks</x:v>
      </x:c>
      <x:c r="E537" s="51" t="str">
        <x:v>ACT-CITIZENSANDLABOUR</x:v>
      </x:c>
      <x:c r="F537" s="51" t="str">
        <x:v>Citizens and labour</x:v>
      </x:c>
      <x:c r="G537" s="51" t="str">
        <x:v>Network → population</x:v>
      </x:c>
      <x:c r="H537" s="51" t="str">
        <x:v>Emerging</x:v>
      </x:c>
      <x:c r="I537" s="51" t="str">
        <x:v>Adaptive feedback loop</x:v>
      </x:c>
      <x:c r="J537" s="51" t="str"/>
      <x:c r="K537" s="51" t="str">
        <x:v>System-level</x:v>
      </x:c>
      <x:c r="L537" s="51" t="str">
        <x:v>Observed responses</x:v>
      </x:c>
      <x:c r="M537" s="51" t="str">
        <x:v>Revised prices, narratives, permissions and enforcement</x:v>
      </x:c>
      <x:c r="N537" s="51" t="str">
        <x:v>Institutions can learn which interventions better achieve selected objectives</x:v>
      </x:c>
      <x:c r="O537" s="51" t="str">
        <x:v>Adaptive; informational; enforcement</x:v>
      </x:c>
      <x:c r="P537" s="51" t="str">
        <x:v>S1</x:v>
      </x:c>
      <x:c r="Q537" s="51" t="str">
        <x:v>Moderate</x:v>
      </x:c>
      <x:c r="R537" s="51" t="str">
        <x:v>SRC-026; SRC-028; SRC-031</x:v>
      </x:c>
      <x:c r="S537" s="51" t="str">
        <x:v>AI-enabled systems can incorporate feedback.</x:v>
      </x:c>
      <x:c r="T537" s="51" t="str">
        <x:v>Perfect optimisation, unified goals or inevitable domination.</x:v>
      </x:c>
      <x:c r="U537" s="51" t="str">
        <x:v>Feedback can amplify error, gaming and blindness.</x:v>
      </x:c>
      <x:c r="V537" s="51" t="str">
        <x:v>Emerging hypothesis</x:v>
      </x:c>
      <x:c r="W537" s="51" t="str">
        <x:v>74;84;85</x:v>
      </x:c>
      <x:c r="X537" s="51" t="str">
        <x:v>2026-07-27</x:v>
      </x:c>
    </x:row>
    <x:row r="538">
      <x:c r="A538" s="51" t="str">
        <x:v>NET-005</x:v>
      </x:c>
      <x:c r="B538" s="51" t="str">
        <x:v>Adaptive network power</x:v>
      </x:c>
      <x:c r="C538" s="51" t="str">
        <x:v>ACT-STATECOUNCILOFCHINA</x:v>
      </x:c>
      <x:c r="D538" s="51" t="str">
        <x:v>State Council of China</x:v>
      </x:c>
      <x:c r="E538" s="51" t="str">
        <x:v>ACT-CHINAAIPLUSACTION</x:v>
      </x:c>
      <x:c r="F538" s="51" t="str">
        <x:v>China AI Plus action</x:v>
      </x:c>
      <x:c r="G538" s="51" t="str">
        <x:v>Objective authority → technical programme</x:v>
      </x:c>
      <x:c r="H538" s="51" t="str">
        <x:v>2025 onward</x:v>
      </x:c>
      <x:c r="I538" s="51" t="str">
        <x:v>Objective-function sovereignty</x:v>
      </x:c>
      <x:c r="J538" s="51" t="str">
        <x:v>INS-024</x:v>
      </x:c>
      <x:c r="K538" s="51" t="str">
        <x:v>National scope</x:v>
      </x:c>
      <x:c r="L538" s="51" t="str">
        <x:v>Political priorities</x:v>
      </x:c>
      <x:c r="M538" s="51" t="str">
        <x:v>System targets and constraints</x:v>
      </x:c>
      <x:c r="N538" s="51" t="str">
        <x:v>The institution choosing objectives shapes how AI capacity is used</x:v>
      </x:c>
      <x:c r="O538" s="51" t="str">
        <x:v>Institutional; adaptive; enforcement</x:v>
      </x:c>
      <x:c r="P538" s="51" t="str">
        <x:v>S1</x:v>
      </x:c>
      <x:c r="Q538" s="51" t="str">
        <x:v>High</x:v>
      </x:c>
      <x:c r="R538" s="51" t="str">
        <x:v>SRC-026</x:v>
      </x:c>
      <x:c r="S538" s="51" t="str">
        <x:v>Policy authorities specify domains, targets and desired outcomes.</x:v>
      </x:c>
      <x:c r="T538" s="51" t="str">
        <x:v>A single scalar objective or deterministic implementation.</x:v>
      </x:c>
      <x:c r="U538" s="51" t="str">
        <x:v>Real institutions pursue multiple conflicting goals.</x:v>
      </x:c>
      <x:c r="V538" s="51" t="str">
        <x:v>Emerging</x:v>
      </x:c>
      <x:c r="W538" s="51" t="str">
        <x:v>74;84</x:v>
      </x:c>
      <x:c r="X538" s="51" t="str">
        <x:v>2026-07-27</x:v>
      </x:c>
    </x:row>
    <x:row r="539">
      <x:c r="A539" s="51" t="str">
        <x:v>NET-006</x:v>
      </x:c>
      <x:c r="B539" s="51" t="str">
        <x:v>Institutional design</x:v>
      </x:c>
      <x:c r="C539" s="51" t="str">
        <x:v>ACT-CITIZENSANDLABOUR</x:v>
      </x:c>
      <x:c r="D539" s="51" t="str">
        <x:v>Citizens and labour</x:v>
      </x:c>
      <x:c r="E539" s="51" t="str">
        <x:v>ACT-GOVERNINGINSTITUTIONALNE</x:v>
      </x:c>
      <x:c r="F539" s="51" t="str">
        <x:v>Governing institutional networks</x:v>
      </x:c>
      <x:c r="G539" s="51" t="str">
        <x:v>Population → institutions</x:v>
      </x:c>
      <x:c r="H539" s="51" t="str">
        <x:v>Normative</x:v>
      </x:c>
      <x:c r="I539" s="51" t="str">
        <x:v>Constitutional contestability</x:v>
      </x:c>
      <x:c r="J539" s="51" t="str"/>
      <x:c r="K539" s="51" t="str">
        <x:v>System-level</x:v>
      </x:c>
      <x:c r="L539" s="51" t="str">
        <x:v>Rights, representation and scrutiny</x:v>
      </x:c>
      <x:c r="M539" s="51" t="str">
        <x:v>Inspection, appeal, separation, expiry and exit</x:v>
      </x:c>
      <x:c r="N539" s="51" t="str">
        <x:v>Constitutional friction limits direct conversion of observation into consequence</x:v>
      </x:c>
      <x:c r="O539" s="51" t="str">
        <x:v>Institutional; legal; informational</x:v>
      </x:c>
      <x:c r="P539" s="51" t="str">
        <x:v>N1</x:v>
      </x:c>
      <x:c r="Q539" s="51" t="str">
        <x:v>High</x:v>
      </x:c>
      <x:c r="R539" s="51" t="str">
        <x:v>SRC-027; SRC-028</x:v>
      </x:c>
      <x:c r="S539" s="51" t="str">
        <x:v>The ledger proposes contestability as a safeguard.</x:v>
      </x:c>
      <x:c r="T539" s="51" t="str">
        <x:v>Safeguards enforce themselves or eliminate abuse.</x:v>
      </x:c>
      <x:c r="U539" s="51" t="str">
        <x:v>Independent institutions and political organisation determine effectiveness.</x:v>
      </x:c>
      <x:c r="V539" s="51" t="str">
        <x:v>Proposed</x:v>
      </x:c>
      <x:c r="W539" s="51" t="str">
        <x:v>74;80;82</x:v>
      </x:c>
      <x:c r="X539" s="51" t="str">
        <x:v>2026-07-27</x:v>
      </x:c>
    </x:row>
    <x:row r="540">
      <x:c r="A540" s="51" t="str">
        <x:v>NET-007</x:v>
      </x:c>
      <x:c r="B540" s="51" t="str">
        <x:v>Institutional design</x:v>
      </x:c>
      <x:c r="C540" s="51" t="str">
        <x:v>ACT-CITIZENSANDLABOUR</x:v>
      </x:c>
      <x:c r="D540" s="51" t="str">
        <x:v>Citizens and labour</x:v>
      </x:c>
      <x:c r="E540" s="51" t="str">
        <x:v>ACT-NATIONALONLINEIDENTITYAU</x:v>
      </x:c>
      <x:c r="F540" s="51" t="str">
        <x:v>National Online Identity Authentication Public Service</x:v>
      </x:c>
      <x:c r="G540" s="51" t="str">
        <x:v>Population → identity system</x:v>
      </x:c>
      <x:c r="H540" s="51" t="str">
        <x:v>Normative</x:v>
      </x:c>
      <x:c r="I540" s="51" t="str">
        <x:v>Purpose limitation and portability</x:v>
      </x:c>
      <x:c r="J540" s="51" t="str">
        <x:v>INS-022</x:v>
      </x:c>
      <x:c r="K540" s="51" t="str">
        <x:v>System-wide proposal</x:v>
      </x:c>
      <x:c r="L540" s="51" t="str">
        <x:v>Personal data and credentials</x:v>
      </x:c>
      <x:c r="M540" s="51" t="str">
        <x:v>Useful authentication without unrestricted tracking</x:v>
      </x:c>
      <x:c r="N540" s="51" t="str">
        <x:v>Identity should separate verification from universal behavioural control</x:v>
      </x:c>
      <x:c r="O540" s="51" t="str">
        <x:v>Informational; institutional</x:v>
      </x:c>
      <x:c r="P540" s="51" t="str">
        <x:v>N1</x:v>
      </x:c>
      <x:c r="Q540" s="51" t="str">
        <x:v>High</x:v>
      </x:c>
      <x:c r="R540" s="51" t="str">
        <x:v>SRC-027</x:v>
      </x:c>
      <x:c r="S540" s="51" t="str">
        <x:v>Purpose limitation, minimisation and appeal are proposed principles.</x:v>
      </x:c>
      <x:c r="T540" s="51" t="str">
        <x:v>Technical privacy alone resolves political power.</x:v>
      </x:c>
      <x:c r="U540" s="51" t="str">
        <x:v>State access, platform incentives and enforcement also matter.</x:v>
      </x:c>
      <x:c r="V540" s="51" t="str">
        <x:v>Proposed</x:v>
      </x:c>
      <x:c r="W540" s="51" t="str">
        <x:v>73;74;80</x:v>
      </x:c>
      <x:c r="X540" s="51" t="str">
        <x:v>2026-07-27</x:v>
      </x:c>
    </x:row>
    <x:row r="541">
      <x:c r="A541" s="51" t="str">
        <x:v>NET-008</x:v>
      </x:c>
      <x:c r="B541" s="51" t="str">
        <x:v>Adaptive network power</x:v>
      </x:c>
      <x:c r="C541" s="51" t="str">
        <x:v>ACT-USDEPARTMENTOFDEFENSE</x:v>
      </x:c>
      <x:c r="D541" s="51" t="str">
        <x:v>US Department of Defense</x:v>
      </x:c>
      <x:c r="E541" s="51" t="str">
        <x:v>ACT-PALANTIRTECHNOLOGIES</x:v>
      </x:c>
      <x:c r="F541" s="51" t="str">
        <x:v>Palantir Technologies</x:v>
      </x:c>
      <x:c r="G541" s="51" t="str">
        <x:v>Institution → supplier</x:v>
      </x:c>
      <x:c r="H541" s="51" t="str">
        <x:v>Ongoing</x:v>
      </x:c>
      <x:c r="I541" s="51" t="str">
        <x:v>Supplier dependence / decision sovereignty</x:v>
      </x:c>
      <x:c r="J541" s="51" t="str"/>
      <x:c r="K541" s="51" t="str">
        <x:v>Programme-scale</x:v>
      </x:c>
      <x:c r="L541" s="51" t="str">
        <x:v>Procurement and proprietary software</x:v>
      </x:c>
      <x:c r="M541" s="51" t="str">
        <x:v>Capability mediated by private platform</x:v>
      </x:c>
      <x:c r="N541" s="51" t="str">
        <x:v>Replaceability, logging and state-owned authorisation determine retained sovereignty</x:v>
      </x:c>
      <x:c r="O541" s="51" t="str">
        <x:v>Institutional; informational; enforcement</x:v>
      </x:c>
      <x:c r="P541" s="51" t="str">
        <x:v>S1</x:v>
      </x:c>
      <x:c r="Q541" s="51" t="str">
        <x:v>High</x:v>
      </x:c>
      <x:c r="R541" s="51" t="str">
        <x:v>SRC-031</x:v>
      </x:c>
      <x:c r="S541" s="51" t="str">
        <x:v>DoD is institutionalising Maven with Palantir as a key supplier.</x:v>
      </x:c>
      <x:c r="T541" s="51" t="str">
        <x:v>Loss of all sovereign decision authority.</x:v>
      </x:c>
      <x:c r="U541" s="51" t="str">
        <x:v>Government can retain authority if the architecture remains auditable and replaceable.</x:v>
      </x:c>
      <x:c r="V541" s="51" t="str">
        <x:v>Active</x:v>
      </x:c>
      <x:c r="W541" s="51" t="str">
        <x:v>71;84</x:v>
      </x:c>
      <x:c r="X541" s="51" t="str">
        <x:v>2026-07-27</x:v>
      </x:c>
    </x:row>
    <x:row r="542">
      <x:c r="A542" s="51" t="str">
        <x:v>NET-009</x:v>
      </x:c>
      <x:c r="B542" s="51" t="str">
        <x:v>Adaptive network power</x:v>
      </x:c>
      <x:c r="C542" s="51" t="str">
        <x:v>ACT-AIINFRASTRUCTUREPARTNERS</x:v>
      </x:c>
      <x:c r="D542" s="51" t="str">
        <x:v>AI Infrastructure Partnership</x:v>
      </x:c>
      <x:c r="E542" s="51" t="str">
        <x:v>ACT-STRAITOFHORMUZ</x:v>
      </x:c>
      <x:c r="F542" s="51" t="str">
        <x:v>Strait of Hormuz</x:v>
      </x:c>
      <x:c r="G542" s="51" t="str">
        <x:v>System-level coupling</x:v>
      </x:c>
      <x:c r="H542" s="51" t="str">
        <x:v>Emerging</x:v>
      </x:c>
      <x:c r="I542" s="51" t="str">
        <x:v>Finance–energy–compute coupling</x:v>
      </x:c>
      <x:c r="J542" s="51" t="str"/>
      <x:c r="K542" s="51" t="str">
        <x:v>System-level</x:v>
      </x:c>
      <x:c r="L542" s="51" t="str">
        <x:v>AI-infrastructure capital and energy demand</x:v>
      </x:c>
      <x:c r="M542" s="51" t="str">
        <x:v>Compute constrained by power and geography</x:v>
      </x:c>
      <x:c r="N542" s="51" t="str">
        <x:v>Compute investment increasingly depends on energy, land, cooling and grids</x:v>
      </x:c>
      <x:c r="O542" s="51" t="str">
        <x:v>Financial; material; technological</x:v>
      </x:c>
      <x:c r="P542" s="51" t="str">
        <x:v>S1</x:v>
      </x:c>
      <x:c r="Q542" s="51" t="str">
        <x:v>High</x:v>
      </x:c>
      <x:c r="R542" s="51" t="str">
        <x:v>SRC-015; SRC-018</x:v>
      </x:c>
      <x:c r="S542" s="51" t="str">
        <x:v>Large infrastructure investments and energy chokepoints are documented.</x:v>
      </x:c>
      <x:c r="T542" s="51" t="str">
        <x:v>A direct Aligned–Hormuz supply contract.</x:v>
      </x:c>
      <x:c r="U542" s="51" t="str">
        <x:v>This is a system-level mechanism, not a specific edge.</x:v>
      </x:c>
      <x:c r="V542" s="51" t="str">
        <x:v>Emerging</x:v>
      </x:c>
      <x:c r="W542" s="51" t="str">
        <x:v>57;69;76</x:v>
      </x:c>
      <x:c r="X542" s="51" t="str">
        <x:v>2026-07-27</x:v>
      </x:c>
    </x:row>
    <x:row r="543">
      <x:c r="A543" s="51" t="str">
        <x:v>NET-010</x:v>
      </x:c>
      <x:c r="B543" s="51" t="str">
        <x:v>Adaptive network power</x:v>
      </x:c>
      <x:c r="C543" s="51" t="str">
        <x:v>ACT-UNITEDSTATES</x:v>
      </x:c>
      <x:c r="D543" s="51" t="str">
        <x:v>United States</x:v>
      </x:c>
      <x:c r="E543" s="51" t="str">
        <x:v>ACT-PEOPLESREPUBLICOFCHINA</x:v>
      </x:c>
      <x:c r="F543" s="51" t="str">
        <x:v>People's Republic of China</x:v>
      </x:c>
      <x:c r="G543" s="51" t="str">
        <x:v>Competitive / interdependent</x:v>
      </x:c>
      <x:c r="H543" s="51" t="str">
        <x:v>Current era</x:v>
      </x:c>
      <x:c r="I543" s="51" t="str">
        <x:v>Competing strategic stacks</x:v>
      </x:c>
      <x:c r="J543" s="51" t="str"/>
      <x:c r="K543" s="51" t="str">
        <x:v>System-level</x:v>
      </x:c>
      <x:c r="L543" s="51" t="str">
        <x:v>US monetary/technology strengths ↔ Chinese industrial/material strengths</x:v>
      </x:c>
      <x:c r="M543" s="51" t="str">
        <x:v>Selective interdependence and fortified chokepoints</x:v>
      </x:c>
      <x:c r="N543" s="51" t="str">
        <x:v>Each side seeks to close missing conversion layers</x:v>
      </x:c>
      <x:c r="O543" s="51" t="str">
        <x:v>Financial; material; technological; enforcement; adaptive</x:v>
      </x:c>
      <x:c r="P543" s="51" t="str">
        <x:v>S1</x:v>
      </x:c>
      <x:c r="Q543" s="51" t="str">
        <x:v>High</x:v>
      </x:c>
      <x:c r="R543" s="51" t="str">
        <x:v>SRC-004; SRC-020; SRC-021; SRC-024; SRC-026</x:v>
      </x:c>
      <x:c r="S543" s="51" t="str">
        <x:v>The countries hold complementary strengths and build resilience around chokepoints.</x:v>
      </x:c>
      <x:c r="T543" s="51" t="str">
        <x:v>Complete decoupling, inevitable war or a simple dollar-versus-RMB contest.</x:v>
      </x:c>
      <x:c r="U543" s="51" t="str">
        <x:v>Commercial interdependence remains substantial.</x:v>
      </x:c>
      <x:c r="V543" s="51" t="str">
        <x:v>Emerging</x:v>
      </x:c>
      <x:c r="W543" s="51" t="str">
        <x:v>43;57;68;78</x:v>
      </x:c>
      <x:c r="X543" s="51" t="str">
        <x:v>2026-07-27</x:v>
      </x:c>
    </x:row>
    <x:row r="544">
      <x:c r="A544" s="51" t="str">
        <x:v>NETINF-001</x:v>
      </x:c>
      <x:c r="B544" s="51" t="str">
        <x:v>Internet naming and satellite infrastructure</x:v>
      </x:c>
      <x:c r="C544" s="51" t="str">
        <x:v>ACT-ICANN</x:v>
      </x:c>
      <x:c r="D544" s="51" t="str">
        <x:v>ICANN</x:v>
      </x:c>
      <x:c r="E544" s="51" t="str">
        <x:v>ACT-INTERNETASSIGNEDNUMBERSA</x:v>
      </x:c>
      <x:c r="F544" s="51" t="str">
        <x:v>Internet Assigned Numbers Authority</x:v>
      </x:c>
      <x:c r="G544" s="51" t="str">
        <x:v>Organisation → function</x:v>
      </x:c>
      <x:c r="H544" s="51" t="str">
        <x:v>Ongoing</x:v>
      </x:c>
      <x:c r="I544" s="51" t="str">
        <x:v>Institutional operation and governance</x:v>
      </x:c>
      <x:c r="J544" s="51" t="str">
        <x:v>INS-092</x:v>
      </x:c>
      <x:c r="K544" s="51" t="str">
        <x:v>Global naming system</x:v>
      </x:c>
      <x:c r="L544" s="51" t="str">
        <x:v>Multistakeholder governance and contracts</x:v>
      </x:c>
      <x:c r="M544" s="51" t="str">
        <x:v>Root-zone and unique-identifier management</x:v>
      </x:c>
      <x:c r="N544" s="51" t="str">
        <x:v>Internet governance converts institutional legitimacy into control of a globally unique coordination layer</x:v>
      </x:c>
      <x:c r="O544" s="51" t="str">
        <x:v>Institutional; informational</x:v>
      </x:c>
      <x:c r="P544" s="51" t="str">
        <x:v>E1</x:v>
      </x:c>
      <x:c r="Q544" s="51" t="str">
        <x:v>Very high</x:v>
      </x:c>
      <x:c r="R544" s="51" t="str">
        <x:v>SRC-183</x:v>
      </x:c>
      <x:c r="S544" s="51" t="str">
        <x:v>ICANN performs the IANA functions that manage root-zone delegations.</x:v>
      </x:c>
      <x:c r="T544" s="51" t="str">
        <x:v>Control over website content or all internet traffic.</x:v>
      </x:c>
      <x:c r="U544" s="51" t="str">
        <x:v>Authoritative servers, registries and resolvers remain distributed.</x:v>
      </x:c>
      <x:c r="V544" s="51" t="str">
        <x:v>Active</x:v>
      </x:c>
      <x:c r="W544" s="51" t="str">
        <x:v>57;73</x:v>
      </x:c>
      <x:c r="X544" s="51" t="str">
        <x:v>2026-07-27</x:v>
      </x:c>
    </x:row>
    <x:row r="545">
      <x:c r="A545" s="51" t="str">
        <x:v>NETINF-002</x:v>
      </x:c>
      <x:c r="B545" s="51" t="str">
        <x:v>Internet naming and satellite infrastructure</x:v>
      </x:c>
      <x:c r="C545" s="51" t="str">
        <x:v>ACT-INTERNETASSIGNEDNUMBERSA</x:v>
      </x:c>
      <x:c r="D545" s="51" t="str">
        <x:v>Internet Assigned Numbers Authority</x:v>
      </x:c>
      <x:c r="E545" s="51" t="str">
        <x:v>ACT-DNSROOTZONE</x:v>
      </x:c>
      <x:c r="F545" s="51" t="str">
        <x:v>DNS root zone</x:v>
      </x:c>
      <x:c r="G545" s="51" t="str">
        <x:v>Function → infrastructure</x:v>
      </x:c>
      <x:c r="H545" s="51" t="str">
        <x:v>Ongoing</x:v>
      </x:c>
      <x:c r="I545" s="51" t="str">
        <x:v>Delegation and trust-anchor management</x:v>
      </x:c>
      <x:c r="J545" s="51" t="str">
        <x:v>INS-092</x:v>
      </x:c>
      <x:c r="K545" s="51" t="str">
        <x:v>Global</x:v>
      </x:c>
      <x:c r="L545" s="51" t="str">
        <x:v>Top-level-domain requests and validation</x:v>
      </x:c>
      <x:c r="M545" s="51" t="str">
        <x:v>Authoritative root-zone records</x:v>
      </x:c>
      <x:c r="N545" s="51" t="str">
        <x:v>A small administrative layer determines which top-level namespaces become globally resolvable</x:v>
      </x:c>
      <x:c r="O545" s="51" t="str">
        <x:v>Informational; institutional</x:v>
      </x:c>
      <x:c r="P545" s="51" t="str">
        <x:v>E1</x:v>
      </x:c>
      <x:c r="Q545" s="51" t="str">
        <x:v>Very high</x:v>
      </x:c>
      <x:c r="R545" s="51" t="str">
        <x:v>SRC-183</x:v>
      </x:c>
      <x:c r="S545" s="51" t="str">
        <x:v>IANA manages the root-zone database and delegations.</x:v>
      </x:c>
      <x:c r="T545" s="51" t="str">
        <x:v>Ability to censor arbitrary pages within delegated domains.</x:v>
      </x:c>
      <x:c r="U545" s="51" t="str">
        <x:v>Registries and national legal systems control lower levels.</x:v>
      </x:c>
      <x:c r="V545" s="51" t="str">
        <x:v>Active</x:v>
      </x:c>
      <x:c r="W545" s="51" t="str">
        <x:v>57;73</x:v>
      </x:c>
      <x:c r="X545" s="51" t="str">
        <x:v>2026-07-27</x:v>
      </x:c>
    </x:row>
    <x:row r="546">
      <x:c r="A546" s="51" t="str">
        <x:v>NETINF-003</x:v>
      </x:c>
      <x:c r="B546" s="51" t="str">
        <x:v>Internet naming and satellite infrastructure</x:v>
      </x:c>
      <x:c r="C546" s="51" t="str">
        <x:v>ACT-CLOUDFLARE</x:v>
      </x:c>
      <x:c r="D546" s="51" t="str">
        <x:v>Cloudflare</x:v>
      </x:c>
      <x:c r="E546" s="51" t="str">
        <x:v>ACT-1111PUBLICDNSRESOLVER</x:v>
      </x:c>
      <x:c r="F546" s="51" t="str">
        <x:v>1.1.1.1 Public DNS Resolver</x:v>
      </x:c>
      <x:c r="G546" s="51" t="str">
        <x:v>Company → resolver</x:v>
      </x:c>
      <x:c r="H546" s="51" t="str">
        <x:v>Ongoing</x:v>
      </x:c>
      <x:c r="I546" s="51" t="str">
        <x:v>Ownership and operation</x:v>
      </x:c>
      <x:c r="J546" s="51" t="str">
        <x:v>INS-093</x:v>
      </x:c>
      <x:c r="K546" s="51" t="str">
        <x:v>Global user base</x:v>
      </x:c>
      <x:c r="L546" s="51" t="str">
        <x:v>Anycast network and DNS software</x:v>
      </x:c>
      <x:c r="M546" s="51" t="str">
        <x:v>Recursive resolution for user queries</x:v>
      </x:c>
      <x:c r="N546" s="51" t="str">
        <x:v>A private resolver becomes an intermediary between users and authoritative naming infrastructure</x:v>
      </x:c>
      <x:c r="O546" s="51" t="str">
        <x:v>Informational; technological</x:v>
      </x:c>
      <x:c r="P546" s="51" t="str">
        <x:v>E1</x:v>
      </x:c>
      <x:c r="Q546" s="51" t="str">
        <x:v>Very high</x:v>
      </x:c>
      <x:c r="R546" s="51" t="str">
        <x:v>SRC-184</x:v>
      </x:c>
      <x:c r="S546" s="51" t="str">
        <x:v>Cloudflare operates the resolver and published an incident report.</x:v>
      </x:c>
      <x:c r="T546" s="51" t="str">
        <x:v>Control of the DNS root or visibility into all internet users.</x:v>
      </x:c>
      <x:c r="U546" s="51" t="str">
        <x:v>Users and networks can choose other resolvers.</x:v>
      </x:c>
      <x:c r="V546" s="51" t="str">
        <x:v>Active</x:v>
      </x:c>
      <x:c r="W546" s="51" t="str">
        <x:v>57;73</x:v>
      </x:c>
      <x:c r="X546" s="51" t="str">
        <x:v>2026-07-27</x:v>
      </x:c>
    </x:row>
    <x:row r="547">
      <x:c r="A547" s="51" t="str">
        <x:v>NETINF-004</x:v>
      </x:c>
      <x:c r="B547" s="51" t="str">
        <x:v>Internet naming and satellite infrastructure</x:v>
      </x:c>
      <x:c r="C547" s="51" t="str">
        <x:v>ACT-1111PUBLICDNSRESOLVER</x:v>
      </x:c>
      <x:c r="D547" s="51" t="str">
        <x:v>1.1.1.1 Public DNS Resolver</x:v>
      </x:c>
      <x:c r="E547" s="51" t="str">
        <x:v>ACT-PLATFORMUSERSANDRESEARCH</x:v>
      </x:c>
      <x:c r="F547" s="51" t="str">
        <x:v>Platform users and researchers</x:v>
      </x:c>
      <x:c r="G547" s="51" t="str">
        <x:v>Resolver → users</x:v>
      </x:c>
      <x:c r="H547" s="51" t="str">
        <x:v>Ongoing</x:v>
      </x:c>
      <x:c r="I547" s="51" t="str">
        <x:v>Name-resolution dependency</x:v>
      </x:c>
      <x:c r="J547" s="51" t="str">
        <x:v>INS-093</x:v>
      </x:c>
      <x:c r="K547" s="51" t="str">
        <x:v>Global</x:v>
      </x:c>
      <x:c r="L547" s="51" t="str">
        <x:v>Domain queries</x:v>
      </x:c>
      <x:c r="M547" s="51" t="str">
        <x:v>Resolved addresses or service outage</x:v>
      </x:c>
      <x:c r="N547" s="51" t="str">
        <x:v>A resolver's configuration can affect access to many otherwise independent services</x:v>
      </x:c>
      <x:c r="O547" s="51" t="str">
        <x:v>Informational; technological</x:v>
      </x:c>
      <x:c r="P547" s="51" t="str">
        <x:v>E1</x:v>
      </x:c>
      <x:c r="Q547" s="51" t="str">
        <x:v>High</x:v>
      </x:c>
      <x:c r="R547" s="51" t="str">
        <x:v>SRC-184</x:v>
      </x:c>
      <x:c r="S547" s="51" t="str">
        <x:v>An internal configuration error caused a documented resolver disruption.</x:v>
      </x:c>
      <x:c r="T547" s="51" t="str">
        <x:v>Permanent centralisation of DNS or malicious intent.</x:v>
      </x:c>
      <x:c r="U547" s="51" t="str">
        <x:v>The incident demonstrates operational concentration rather than deliberate control.</x:v>
      </x:c>
      <x:c r="V547" s="51" t="str">
        <x:v>Active / resilient alternatives exist</x:v>
      </x:c>
      <x:c r="W547" s="51" t="str">
        <x:v>57;73</x:v>
      </x:c>
      <x:c r="X547" s="51" t="str">
        <x:v>2026-07-27</x:v>
      </x:c>
    </x:row>
    <x:row r="548">
      <x:c r="A548" s="51" t="str">
        <x:v>NETINF-005</x:v>
      </x:c>
      <x:c r="B548" s="51" t="str">
        <x:v>Internet naming and satellite infrastructure</x:v>
      </x:c>
      <x:c r="C548" s="51" t="str">
        <x:v>ACT-SPACEX</x:v>
      </x:c>
      <x:c r="D548" s="51" t="str">
        <x:v>SpaceX</x:v>
      </x:c>
      <x:c r="E548" s="51" t="str">
        <x:v>ACT-STARSHIELD</x:v>
      </x:c>
      <x:c r="F548" s="51" t="str">
        <x:v>Starshield</x:v>
      </x:c>
      <x:c r="G548" s="51" t="str">
        <x:v>Company → national-security platform</x:v>
      </x:c>
      <x:c r="H548" s="51" t="str">
        <x:v>Ongoing</x:v>
      </x:c>
      <x:c r="I548" s="51" t="str">
        <x:v>Ownership and service provision</x:v>
      </x:c>
      <x:c r="J548" s="51" t="str">
        <x:v>INS-094</x:v>
      </x:c>
      <x:c r="K548" s="51" t="str">
        <x:v>Government programme scale</x:v>
      </x:c>
      <x:c r="L548" s="51" t="str">
        <x:v>Launch, satellite and Starlink-derived capabilities</x:v>
      </x:c>
      <x:c r="M548" s="51" t="str">
        <x:v>Government communications, sensing and hosted payloads</x:v>
      </x:c>
      <x:c r="N548" s="51" t="str">
        <x:v>A commercial space company vertically integrates launch and satellite networks for sovereign customers</x:v>
      </x:c>
      <x:c r="O548" s="51" t="str">
        <x:v>Ownership; technological; enforcement</x:v>
      </x:c>
      <x:c r="P548" s="51" t="str">
        <x:v>E1</x:v>
      </x:c>
      <x:c r="Q548" s="51" t="str">
        <x:v>High</x:v>
      </x:c>
      <x:c r="R548" s="51" t="str">
        <x:v>SRC-185</x:v>
      </x:c>
      <x:c r="S548" s="51" t="str">
        <x:v>SpaceX describes Starshield as a government-focused platform.</x:v>
      </x:c>
      <x:c r="T548" s="51" t="str">
        <x:v>Public knowledge of all contracts, payloads or operational command.</x:v>
      </x:c>
      <x:c r="U548" s="51" t="str">
        <x:v>Many programme details are classified.</x:v>
      </x:c>
      <x:c r="V548" s="51" t="str">
        <x:v>Active</x:v>
      </x:c>
      <x:c r="W548" s="51" t="str">
        <x:v>57;71;76</x:v>
      </x:c>
      <x:c r="X548" s="51" t="str">
        <x:v>2026-07-27</x:v>
      </x:c>
    </x:row>
    <x:row r="549">
      <x:c r="A549" s="51" t="str">
        <x:v>NETINF-006</x:v>
      </x:c>
      <x:c r="B549" s="51" t="str">
        <x:v>Internet naming and satellite infrastructure</x:v>
      </x:c>
      <x:c r="C549" s="51" t="str">
        <x:v>ACT-USDEPARTMENTOFDEFENSE</x:v>
      </x:c>
      <x:c r="D549" s="51" t="str">
        <x:v>US Department of Defense</x:v>
      </x:c>
      <x:c r="E549" s="51" t="str">
        <x:v>ACT-PROTECTEDSATELLITECOMMUN</x:v>
      </x:c>
      <x:c r="F549" s="51" t="str">
        <x:v>Protected satellite communications</x:v>
      </x:c>
      <x:c r="G549" s="51" t="str">
        <x:v>State customer → capability</x:v>
      </x:c>
      <x:c r="H549" s="51" t="str">
        <x:v>FY2025 onward</x:v>
      </x:c>
      <x:c r="I549" s="51" t="str">
        <x:v>Budget and procurement authority</x:v>
      </x:c>
      <x:c r="J549" s="51" t="str"/>
      <x:c r="K549" s="51" t="str">
        <x:v>$4.2bn FY2025 request cited</x:v>
      </x:c>
      <x:c r="L549" s="51" t="str">
        <x:v>Defence budget and mission requirements</x:v>
      </x:c>
      <x:c r="M549" s="51" t="str">
        <x:v>Resilient protected communications</x:v>
      </x:c>
      <x:c r="N549" s="51" t="str">
        <x:v>Sovereign procurement finances communications infrastructure needed to coordinate distributed military forces</x:v>
      </x:c>
      <x:c r="O549" s="51" t="str">
        <x:v>Financial; technological; enforcement</x:v>
      </x:c>
      <x:c r="P549" s="51" t="str">
        <x:v>E1</x:v>
      </x:c>
      <x:c r="Q549" s="51" t="str">
        <x:v>High</x:v>
      </x:c>
      <x:c r="R549" s="51" t="str">
        <x:v>SRC-186</x:v>
      </x:c>
      <x:c r="S549" s="51" t="str">
        <x:v>DoD publicly identified large investment in protected satellite communications.</x:v>
      </x:c>
      <x:c r="T549" s="51" t="str">
        <x:v>Allocation to SpaceX alone or successful deployment of every requested capability.</x:v>
      </x:c>
      <x:c r="U549" s="51" t="str">
        <x:v>The cited figure is a budget request covering multiple programmes.</x:v>
      </x:c>
      <x:c r="V549" s="51" t="str">
        <x:v>Active portfolio</x:v>
      </x:c>
      <x:c r="W549" s="51" t="str">
        <x:v>57;71;76</x:v>
      </x:c>
      <x:c r="X549" s="51" t="str">
        <x:v>2026-07-27</x:v>
      </x:c>
    </x:row>
    <x:row r="550">
      <x:c r="A550" s="51" t="str">
        <x:v>NETINF-007</x:v>
      </x:c>
      <x:c r="B550" s="51" t="str">
        <x:v>Internet naming and satellite infrastructure</x:v>
      </x:c>
      <x:c r="C550" s="51" t="str">
        <x:v>ACT-STARSHIELD</x:v>
      </x:c>
      <x:c r="D550" s="51" t="str">
        <x:v>Starshield</x:v>
      </x:c>
      <x:c r="E550" s="51" t="str">
        <x:v>ACT-USDEPARTMENTOFDEFENSE</x:v>
      </x:c>
      <x:c r="F550" s="51" t="str">
        <x:v>US Department of Defense</x:v>
      </x:c>
      <x:c r="G550" s="51" t="str">
        <x:v>Commercial platform → state customer</x:v>
      </x:c>
      <x:c r="H550" s="51" t="str">
        <x:v>Ongoing</x:v>
      </x:c>
      <x:c r="I550" s="51" t="str">
        <x:v>National-security service relationship</x:v>
      </x:c>
      <x:c r="J550" s="51" t="str">
        <x:v>INS-094</x:v>
      </x:c>
      <x:c r="K550" s="51" t="str">
        <x:v>Undisclosed</x:v>
      </x:c>
      <x:c r="L550" s="51" t="str">
        <x:v>Commercial satellite capability</x:v>
      </x:c>
      <x:c r="M550" s="51" t="str">
        <x:v>Government communications and sensing options</x:v>
      </x:c>
      <x:c r="N550" s="51" t="str">
        <x:v>Private infrastructure can become a sovereign dependency when it supplies unique speed, scale or geography</x:v>
      </x:c>
      <x:c r="O550" s="51" t="str">
        <x:v>Technological; relational; enforcement</x:v>
      </x:c>
      <x:c r="P550" s="51" t="str">
        <x:v>S1</x:v>
      </x:c>
      <x:c r="Q550" s="51" t="str">
        <x:v>Moderate</x:v>
      </x:c>
      <x:c r="R550" s="51" t="str">
        <x:v>SRC-185; SRC-186</x:v>
      </x:c>
      <x:c r="S550" s="51" t="str">
        <x:v>Starshield is explicitly designed for government national-security use.</x:v>
      </x:c>
      <x:c r="T550" s="51" t="str">
        <x:v>A publicly documented exclusive DoD dependency or private authority over military objectives.</x:v>
      </x:c>
      <x:c r="U550" s="51" t="str">
        <x:v>Specific customer and contract evidence remains partly classified.</x:v>
      </x:c>
      <x:c r="V550" s="51" t="str">
        <x:v>Active / contract mapping needed</x:v>
      </x:c>
      <x:c r="W550" s="51" t="str">
        <x:v>57;71;76</x:v>
      </x:c>
      <x:c r="X550" s="51" t="str">
        <x:v>2026-07-27</x:v>
      </x:c>
    </x:row>
    <x:row r="551">
      <x:c r="A551" s="51" t="str">
        <x:v>OAI-001</x:v>
      </x:c>
      <x:c r="B551" s="51" t="str">
        <x:v>Frontier AI governance</x:v>
      </x:c>
      <x:c r="C551" s="51" t="str">
        <x:v>ACT-OPENAIFOUNDATION</x:v>
      </x:c>
      <x:c r="D551" s="51" t="str">
        <x:v>OpenAI Foundation</x:v>
      </x:c>
      <x:c r="E551" s="51" t="str">
        <x:v>ACT-OPENAIGROUP</x:v>
      </x:c>
      <x:c r="F551" s="51" t="str">
        <x:v>OpenAI Group</x:v>
      </x:c>
      <x:c r="G551" s="51" t="str">
        <x:v>Foundation → company</x:v>
      </x:c>
      <x:c r="H551" s="51" t="str">
        <x:v>2025–present</x:v>
      </x:c>
      <x:c r="I551" s="51" t="str">
        <x:v>Special voting and board-appointment rights</x:v>
      </x:c>
      <x:c r="J551" s="51" t="str"/>
      <x:c r="K551" s="51" t="str">
        <x:v>Controlling governance rights</x:v>
      </x:c>
      <x:c r="L551" s="51" t="str">
        <x:v>Nonprofit mission authority</x:v>
      </x:c>
      <x:c r="M551" s="51" t="str">
        <x:v>Appointment and replacement of operating-company board</x:v>
      </x:c>
      <x:c r="N551" s="51" t="str">
        <x:v>A nonprofit governance layer controls a capital-intensive for-profit/PBC operating entity</x:v>
      </x:c>
      <x:c r="O551" s="51" t="str">
        <x:v>Institutional; ownership; informational</x:v>
      </x:c>
      <x:c r="P551" s="51" t="str">
        <x:v>E1</x:v>
      </x:c>
      <x:c r="Q551" s="51" t="str">
        <x:v>Very high</x:v>
      </x:c>
      <x:c r="R551" s="51" t="str">
        <x:v>SRC-079</x:v>
      </x:c>
      <x:c r="S551" s="51" t="str">
        <x:v>OpenAI states the Foundation appoints and can replace all OpenAI Group directors.</x:v>
      </x:c>
      <x:c r="T551" s="51" t="str">
        <x:v>Day-to-day control of every operational decision or independence from investor constraints.</x:v>
      </x:c>
      <x:c r="U551" s="51" t="str">
        <x:v>Capital contracts, fiduciary duties and operational management remain additional power centres.</x:v>
      </x:c>
      <x:c r="V551" s="51" t="str">
        <x:v>Active</x:v>
      </x:c>
      <x:c r="W551" s="51" t="str">
        <x:v>71;75;84</x:v>
      </x:c>
      <x:c r="X551" s="51" t="str">
        <x:v>2026-07-27</x:v>
      </x:c>
    </x:row>
    <x:row r="552">
      <x:c r="A552" s="51" t="str">
        <x:v>OAI-002</x:v>
      </x:c>
      <x:c r="B552" s="51" t="str">
        <x:v>Frontier AI governance</x:v>
      </x:c>
      <x:c r="C552" s="51" t="str">
        <x:v>ACT-SAMALTMAN</x:v>
      </x:c>
      <x:c r="D552" s="51" t="str">
        <x:v>Sam Altman</x:v>
      </x:c>
      <x:c r="E552" s="51" t="str">
        <x:v>ACT-OPENAIFOUNDATION</x:v>
      </x:c>
      <x:c r="F552" s="51" t="str">
        <x:v>OpenAI Foundation</x:v>
      </x:c>
      <x:c r="G552" s="51" t="str">
        <x:v>Person → board</x:v>
      </x:c>
      <x:c r="H552" s="51" t="str">
        <x:v>Current</x:v>
      </x:c>
      <x:c r="I552" s="51" t="str">
        <x:v>CEO and director role</x:v>
      </x:c>
      <x:c r="J552" s="51" t="str"/>
      <x:c r="K552" s="51" t="str">
        <x:v>Board membership</x:v>
      </x:c>
      <x:c r="L552" s="51" t="str">
        <x:v>Executive leadership and founder network</x:v>
      </x:c>
      <x:c r="M552" s="51" t="str">
        <x:v>Governance participation and operational authority</x:v>
      </x:c>
      <x:c r="N552" s="51" t="str">
        <x:v>A chief executive occupies both operational and nonprofit-governance interfaces</x:v>
      </x:c>
      <x:c r="O552" s="51" t="str">
        <x:v>Relational; institutional; informational</x:v>
      </x:c>
      <x:c r="P552" s="51" t="str">
        <x:v>E1</x:v>
      </x:c>
      <x:c r="Q552" s="51" t="str">
        <x:v>Very high</x:v>
      </x:c>
      <x:c r="R552" s="51" t="str">
        <x:v>SRC-079</x:v>
      </x:c>
      <x:c r="S552" s="51" t="str">
        <x:v>Altman is CEO and a Foundation director.</x:v>
      </x:c>
      <x:c r="T552" s="51" t="str">
        <x:v>Unilateral control of the board or ownership of OpenAI.</x:v>
      </x:c>
      <x:c r="U552" s="51" t="str">
        <x:v>Independent directors and special governance rights constrain the CEO.</x:v>
      </x:c>
      <x:c r="V552" s="51" t="str">
        <x:v>Active</x:v>
      </x:c>
      <x:c r="W552" s="51" t="str">
        <x:v>71;75</x:v>
      </x:c>
      <x:c r="X552" s="51" t="str">
        <x:v>2026-07-27</x:v>
      </x:c>
    </x:row>
    <x:row r="553">
      <x:c r="A553" s="51" t="str">
        <x:v>OAI-003</x:v>
      </x:c>
      <x:c r="B553" s="51" t="str">
        <x:v>Frontier AI governance</x:v>
      </x:c>
      <x:c r="C553" s="51" t="str">
        <x:v>ACT-BRETTAYLOR</x:v>
      </x:c>
      <x:c r="D553" s="51" t="str">
        <x:v>Bret Taylor</x:v>
      </x:c>
      <x:c r="E553" s="51" t="str">
        <x:v>ACT-OPENAIFOUNDATION</x:v>
      </x:c>
      <x:c r="F553" s="51" t="str">
        <x:v>OpenAI Foundation</x:v>
      </x:c>
      <x:c r="G553" s="51" t="str">
        <x:v>Person → board</x:v>
      </x:c>
      <x:c r="H553" s="51" t="str">
        <x:v>Current</x:v>
      </x:c>
      <x:c r="I553" s="51" t="str">
        <x:v>Board membership</x:v>
      </x:c>
      <x:c r="J553" s="51" t="str"/>
      <x:c r="K553" s="51" t="str">
        <x:v>Director role</x:v>
      </x:c>
      <x:c r="L553" s="51" t="str">
        <x:v>Professional networks and expertise</x:v>
      </x:c>
      <x:c r="M553" s="51" t="str">
        <x:v>Governance of mission-controlling foundation</x:v>
      </x:c>
      <x:c r="N553" s="51" t="str">
        <x:v>Board composition connects AI governance to technology, national security and infrastructure finance</x:v>
      </x:c>
      <x:c r="O553" s="51" t="str">
        <x:v>Relational; institutional; informational</x:v>
      </x:c>
      <x:c r="P553" s="51" t="str">
        <x:v>E1</x:v>
      </x:c>
      <x:c r="Q553" s="51" t="str">
        <x:v>Very high</x:v>
      </x:c>
      <x:c r="R553" s="51" t="str">
        <x:v>SRC-079</x:v>
      </x:c>
      <x:c r="S553" s="51" t="str">
        <x:v>Bret Taylor is an OpenAI Foundation director.</x:v>
      </x:c>
      <x:c r="T553" s="51" t="str">
        <x:v>That the director represents a former employer/government or controls company operations alone.</x:v>
      </x:c>
      <x:c r="U553" s="51" t="str">
        <x:v>Board members have fiduciary duties and collective decision rules.</x:v>
      </x:c>
      <x:c r="V553" s="51" t="str">
        <x:v>Active</x:v>
      </x:c>
      <x:c r="W553" s="51" t="str">
        <x:v>71;75</x:v>
      </x:c>
      <x:c r="X553" s="51" t="str">
        <x:v>2026-07-27</x:v>
      </x:c>
    </x:row>
    <x:row r="554">
      <x:c r="A554" s="51" t="str">
        <x:v>OAI-004</x:v>
      </x:c>
      <x:c r="B554" s="51" t="str">
        <x:v>Frontier AI governance</x:v>
      </x:c>
      <x:c r="C554" s="51" t="str">
        <x:v>ACT-PAULMNAKASONE</x:v>
      </x:c>
      <x:c r="D554" s="51" t="str">
        <x:v>Paul M. Nakasone</x:v>
      </x:c>
      <x:c r="E554" s="51" t="str">
        <x:v>ACT-OPENAIFOUNDATION</x:v>
      </x:c>
      <x:c r="F554" s="51" t="str">
        <x:v>OpenAI Foundation</x:v>
      </x:c>
      <x:c r="G554" s="51" t="str">
        <x:v>Person → board</x:v>
      </x:c>
      <x:c r="H554" s="51" t="str">
        <x:v>Current</x:v>
      </x:c>
      <x:c r="I554" s="51" t="str">
        <x:v>Board membership</x:v>
      </x:c>
      <x:c r="J554" s="51" t="str"/>
      <x:c r="K554" s="51" t="str">
        <x:v>Director role</x:v>
      </x:c>
      <x:c r="L554" s="51" t="str">
        <x:v>Professional networks and expertise</x:v>
      </x:c>
      <x:c r="M554" s="51" t="str">
        <x:v>Governance of mission-controlling foundation</x:v>
      </x:c>
      <x:c r="N554" s="51" t="str">
        <x:v>Board composition connects AI governance to technology, national security and infrastructure finance</x:v>
      </x:c>
      <x:c r="O554" s="51" t="str">
        <x:v>Relational; institutional; informational</x:v>
      </x:c>
      <x:c r="P554" s="51" t="str">
        <x:v>E1</x:v>
      </x:c>
      <x:c r="Q554" s="51" t="str">
        <x:v>Very high</x:v>
      </x:c>
      <x:c r="R554" s="51" t="str">
        <x:v>SRC-079</x:v>
      </x:c>
      <x:c r="S554" s="51" t="str">
        <x:v>Paul M. Nakasone is an OpenAI Foundation director.</x:v>
      </x:c>
      <x:c r="T554" s="51" t="str">
        <x:v>That the director represents a former employer/government or controls company operations alone.</x:v>
      </x:c>
      <x:c r="U554" s="51" t="str">
        <x:v>Board members have fiduciary duties and collective decision rules.</x:v>
      </x:c>
      <x:c r="V554" s="51" t="str">
        <x:v>Active</x:v>
      </x:c>
      <x:c r="W554" s="51" t="str">
        <x:v>71;75</x:v>
      </x:c>
      <x:c r="X554" s="51" t="str">
        <x:v>2026-07-27</x:v>
      </x:c>
    </x:row>
    <x:row r="555">
      <x:c r="A555" s="51" t="str">
        <x:v>OAI-005</x:v>
      </x:c>
      <x:c r="B555" s="51" t="str">
        <x:v>Frontier AI governance</x:v>
      </x:c>
      <x:c r="C555" s="51" t="str">
        <x:v>ACT-ADEBAYOOGUNLESI</x:v>
      </x:c>
      <x:c r="D555" s="51" t="str">
        <x:v>Adebayo Ogunlesi</x:v>
      </x:c>
      <x:c r="E555" s="51" t="str">
        <x:v>ACT-OPENAIFOUNDATION</x:v>
      </x:c>
      <x:c r="F555" s="51" t="str">
        <x:v>OpenAI Foundation</x:v>
      </x:c>
      <x:c r="G555" s="51" t="str">
        <x:v>Person → board</x:v>
      </x:c>
      <x:c r="H555" s="51" t="str">
        <x:v>Current</x:v>
      </x:c>
      <x:c r="I555" s="51" t="str">
        <x:v>Board membership</x:v>
      </x:c>
      <x:c r="J555" s="51" t="str"/>
      <x:c r="K555" s="51" t="str">
        <x:v>Director role</x:v>
      </x:c>
      <x:c r="L555" s="51" t="str">
        <x:v>Professional networks and expertise</x:v>
      </x:c>
      <x:c r="M555" s="51" t="str">
        <x:v>Governance of mission-controlling foundation</x:v>
      </x:c>
      <x:c r="N555" s="51" t="str">
        <x:v>Board composition connects AI governance to technology, national security and infrastructure finance</x:v>
      </x:c>
      <x:c r="O555" s="51" t="str">
        <x:v>Relational; institutional; informational</x:v>
      </x:c>
      <x:c r="P555" s="51" t="str">
        <x:v>E1</x:v>
      </x:c>
      <x:c r="Q555" s="51" t="str">
        <x:v>Very high</x:v>
      </x:c>
      <x:c r="R555" s="51" t="str">
        <x:v>SRC-079</x:v>
      </x:c>
      <x:c r="S555" s="51" t="str">
        <x:v>Adebayo Ogunlesi is an OpenAI Foundation director.</x:v>
      </x:c>
      <x:c r="T555" s="51" t="str">
        <x:v>That the director represents a former employer/government or controls company operations alone.</x:v>
      </x:c>
      <x:c r="U555" s="51" t="str">
        <x:v>Board members have fiduciary duties and collective decision rules.</x:v>
      </x:c>
      <x:c r="V555" s="51" t="str">
        <x:v>Active</x:v>
      </x:c>
      <x:c r="W555" s="51" t="str">
        <x:v>71;75</x:v>
      </x:c>
      <x:c r="X555" s="51" t="str">
        <x:v>2026-07-27</x:v>
      </x:c>
    </x:row>
    <x:row r="556">
      <x:c r="A556" s="51" t="str">
        <x:v>OAI-006</x:v>
      </x:c>
      <x:c r="B556" s="51" t="str">
        <x:v>Frontier AI capital</x:v>
      </x:c>
      <x:c r="C556" s="51" t="str">
        <x:v>ACT-AMAZON</x:v>
      </x:c>
      <x:c r="D556" s="51" t="str">
        <x:v>Amazon</x:v>
      </x:c>
      <x:c r="E556" s="51" t="str">
        <x:v>ACT-OPENAI</x:v>
      </x:c>
      <x:c r="F556" s="51" t="str">
        <x:v>OpenAI</x:v>
      </x:c>
      <x:c r="G556" s="51" t="str">
        <x:v>Investor → company</x:v>
      </x:c>
      <x:c r="H556" s="51" t="str">
        <x:v>2026</x:v>
      </x:c>
      <x:c r="I556" s="51" t="str">
        <x:v>Strategic equity investment</x:v>
      </x:c>
      <x:c r="J556" s="51" t="str">
        <x:v>INS-032</x:v>
      </x:c>
      <x:c r="K556" s="51" t="str">
        <x:v>$50 billion</x:v>
      </x:c>
      <x:c r="L556" s="51" t="str">
        <x:v>Corporate capital and infrastructure</x:v>
      </x:c>
      <x:c r="M556" s="51" t="str">
        <x:v>OpenAI equity exposure and strategic commercial ties</x:v>
      </x:c>
      <x:c r="N556" s="51" t="str">
        <x:v>Large suppliers/customers finance the model developer while negotiating compute and platform relationships</x:v>
      </x:c>
      <x:c r="O556" s="51" t="str">
        <x:v>Financial; ownership; technological; relational</x:v>
      </x:c>
      <x:c r="P556" s="51" t="str">
        <x:v>E1</x:v>
      </x:c>
      <x:c r="Q556" s="51" t="str">
        <x:v>Very high</x:v>
      </x:c>
      <x:c r="R556" s="51" t="str">
        <x:v>SRC-080</x:v>
      </x:c>
      <x:c r="S556" s="51" t="str">
        <x:v>Amazon was identified as an investor in the $110 billion round.</x:v>
      </x:c>
      <x:c r="T556" s="51" t="str">
        <x:v>Control of OpenAI or identical rights among investors.</x:v>
      </x:c>
      <x:c r="U556" s="51" t="str">
        <x:v>Tranches, conditions, board rights and commercial contracts differ.</x:v>
      </x:c>
      <x:c r="V556" s="51" t="str">
        <x:v>Announced / conditional where applicable</x:v>
      </x:c>
      <x:c r="W556" s="51" t="str">
        <x:v>57;75;76</x:v>
      </x:c>
      <x:c r="X556" s="51" t="str">
        <x:v>2026-07-27</x:v>
      </x:c>
    </x:row>
    <x:row r="557">
      <x:c r="A557" s="51" t="str">
        <x:v>OAI-007</x:v>
      </x:c>
      <x:c r="B557" s="51" t="str">
        <x:v>Frontier AI capital</x:v>
      </x:c>
      <x:c r="C557" s="51" t="str">
        <x:v>ACT-NVIDIA</x:v>
      </x:c>
      <x:c r="D557" s="51" t="str">
        <x:v>NVIDIA</x:v>
      </x:c>
      <x:c r="E557" s="51" t="str">
        <x:v>ACT-OPENAI</x:v>
      </x:c>
      <x:c r="F557" s="51" t="str">
        <x:v>OpenAI</x:v>
      </x:c>
      <x:c r="G557" s="51" t="str">
        <x:v>Investor → company</x:v>
      </x:c>
      <x:c r="H557" s="51" t="str">
        <x:v>2026</x:v>
      </x:c>
      <x:c r="I557" s="51" t="str">
        <x:v>Strategic equity investment</x:v>
      </x:c>
      <x:c r="J557" s="51" t="str">
        <x:v>INS-032</x:v>
      </x:c>
      <x:c r="K557" s="51" t="str">
        <x:v>$30 billion</x:v>
      </x:c>
      <x:c r="L557" s="51" t="str">
        <x:v>Corporate capital and infrastructure</x:v>
      </x:c>
      <x:c r="M557" s="51" t="str">
        <x:v>OpenAI equity exposure and strategic commercial ties</x:v>
      </x:c>
      <x:c r="N557" s="51" t="str">
        <x:v>Large suppliers/customers finance the model developer while negotiating compute and platform relationships</x:v>
      </x:c>
      <x:c r="O557" s="51" t="str">
        <x:v>Financial; ownership; technological; relational</x:v>
      </x:c>
      <x:c r="P557" s="51" t="str">
        <x:v>E1</x:v>
      </x:c>
      <x:c r="Q557" s="51" t="str">
        <x:v>Very high</x:v>
      </x:c>
      <x:c r="R557" s="51" t="str">
        <x:v>SRC-080</x:v>
      </x:c>
      <x:c r="S557" s="51" t="str">
        <x:v>NVIDIA was identified as an investor in the $110 billion round.</x:v>
      </x:c>
      <x:c r="T557" s="51" t="str">
        <x:v>Control of OpenAI or identical rights among investors.</x:v>
      </x:c>
      <x:c r="U557" s="51" t="str">
        <x:v>Tranches, conditions, board rights and commercial contracts differ.</x:v>
      </x:c>
      <x:c r="V557" s="51" t="str">
        <x:v>Announced / conditional where applicable</x:v>
      </x:c>
      <x:c r="W557" s="51" t="str">
        <x:v>57;75;76</x:v>
      </x:c>
      <x:c r="X557" s="51" t="str">
        <x:v>2026-07-27</x:v>
      </x:c>
    </x:row>
    <x:row r="558">
      <x:c r="A558" s="51" t="str">
        <x:v>OAI-008</x:v>
      </x:c>
      <x:c r="B558" s="51" t="str">
        <x:v>Frontier AI capital</x:v>
      </x:c>
      <x:c r="C558" s="51" t="str">
        <x:v>ACT-SOFTBANKGROUP</x:v>
      </x:c>
      <x:c r="D558" s="51" t="str">
        <x:v>SoftBank Group</x:v>
      </x:c>
      <x:c r="E558" s="51" t="str">
        <x:v>ACT-OPENAI</x:v>
      </x:c>
      <x:c r="F558" s="51" t="str">
        <x:v>OpenAI</x:v>
      </x:c>
      <x:c r="G558" s="51" t="str">
        <x:v>Investor → company</x:v>
      </x:c>
      <x:c r="H558" s="51" t="str">
        <x:v>2026</x:v>
      </x:c>
      <x:c r="I558" s="51" t="str">
        <x:v>Strategic equity investment</x:v>
      </x:c>
      <x:c r="J558" s="51" t="str">
        <x:v>INS-032</x:v>
      </x:c>
      <x:c r="K558" s="51" t="str">
        <x:v>$30 billion</x:v>
      </x:c>
      <x:c r="L558" s="51" t="str">
        <x:v>Corporate capital and infrastructure</x:v>
      </x:c>
      <x:c r="M558" s="51" t="str">
        <x:v>OpenAI equity exposure and strategic commercial ties</x:v>
      </x:c>
      <x:c r="N558" s="51" t="str">
        <x:v>Large suppliers/customers finance the model developer while negotiating compute and platform relationships</x:v>
      </x:c>
      <x:c r="O558" s="51" t="str">
        <x:v>Financial; ownership; technological; relational</x:v>
      </x:c>
      <x:c r="P558" s="51" t="str">
        <x:v>E1</x:v>
      </x:c>
      <x:c r="Q558" s="51" t="str">
        <x:v>Very high</x:v>
      </x:c>
      <x:c r="R558" s="51" t="str">
        <x:v>SRC-080</x:v>
      </x:c>
      <x:c r="S558" s="51" t="str">
        <x:v>SoftBank Group was identified as an investor in the $110 billion round.</x:v>
      </x:c>
      <x:c r="T558" s="51" t="str">
        <x:v>Control of OpenAI or identical rights among investors.</x:v>
      </x:c>
      <x:c r="U558" s="51" t="str">
        <x:v>Tranches, conditions, board rights and commercial contracts differ.</x:v>
      </x:c>
      <x:c r="V558" s="51" t="str">
        <x:v>Announced / conditional where applicable</x:v>
      </x:c>
      <x:c r="W558" s="51" t="str">
        <x:v>57;75;76</x:v>
      </x:c>
      <x:c r="X558" s="51" t="str">
        <x:v>2026-07-27</x:v>
      </x:c>
    </x:row>
    <x:row r="559">
      <x:c r="A559" s="51" t="str">
        <x:v>OAI-009</x:v>
      </x:c>
      <x:c r="B559" s="51" t="str">
        <x:v>Frontier AI capital</x:v>
      </x:c>
      <x:c r="C559" s="51" t="str">
        <x:v>ACT-AMAZONWEBSERVICES</x:v>
      </x:c>
      <x:c r="D559" s="51" t="str">
        <x:v>Amazon Web Services</x:v>
      </x:c>
      <x:c r="E559" s="51" t="str">
        <x:v>ACT-OPENAIFRONTIER</x:v>
      </x:c>
      <x:c r="F559" s="51" t="str">
        <x:v>OpenAI Frontier</x:v>
      </x:c>
      <x:c r="G559" s="51" t="str">
        <x:v>Cloud → platform</x:v>
      </x:c>
      <x:c r="H559" s="51" t="str">
        <x:v>2026 onward</x:v>
      </x:c>
      <x:c r="I559" s="51" t="str">
        <x:v>Exclusive third-party cloud relationship</x:v>
      </x:c>
      <x:c r="J559" s="51" t="str">
        <x:v>INS-032</x:v>
      </x:c>
      <x:c r="K559" s="51" t="str">
        <x:v>2 GW Trainium capacity plus platform relationship</x:v>
      </x:c>
      <x:c r="L559" s="51" t="str">
        <x:v>Cloud, chips and data-centre capacity</x:v>
      </x:c>
      <x:c r="M559" s="51" t="str">
        <x:v>Enterprise-agent deployment infrastructure</x:v>
      </x:c>
      <x:c r="N559" s="51" t="str">
        <x:v>Cloud infrastructure becomes a gate through which model agents reach institutions</x:v>
      </x:c>
      <x:c r="O559" s="51" t="str">
        <x:v>Technological; informational; financial</x:v>
      </x:c>
      <x:c r="P559" s="51" t="str">
        <x:v>E1</x:v>
      </x:c>
      <x:c r="Q559" s="51" t="str">
        <x:v>Very high</x:v>
      </x:c>
      <x:c r="R559" s="51" t="str">
        <x:v>SRC-080</x:v>
      </x:c>
      <x:c r="S559" s="51" t="str">
        <x:v>AWS was named exclusive third-party cloud provider for OpenAI Frontier.</x:v>
      </x:c>
      <x:c r="T559" s="51" t="str">
        <x:v>AWS exclusivity over all OpenAI products, models or first-party services.</x:v>
      </x:c>
      <x:c r="U559" s="51" t="str">
        <x:v>Microsoft Azure retained separate exclusive roles for APIs and first-party products.</x:v>
      </x:c>
      <x:c r="V559" s="51" t="str">
        <x:v>Announced</x:v>
      </x:c>
      <x:c r="W559" s="51" t="str">
        <x:v>57;71;76</x:v>
      </x:c>
      <x:c r="X559" s="51" t="str">
        <x:v>2026-07-27</x:v>
      </x:c>
    </x:row>
    <x:row r="560">
      <x:c r="A560" s="51" t="str">
        <x:v>OAI-010</x:v>
      </x:c>
      <x:c r="B560" s="51" t="str">
        <x:v>Frontier AI capital</x:v>
      </x:c>
      <x:c r="C560" s="51" t="str">
        <x:v>ACT-MICROSOFT</x:v>
      </x:c>
      <x:c r="D560" s="51" t="str">
        <x:v>Microsoft</x:v>
      </x:c>
      <x:c r="E560" s="51" t="str">
        <x:v>ACT-OPENAI</x:v>
      </x:c>
      <x:c r="F560" s="51" t="str">
        <x:v>OpenAI</x:v>
      </x:c>
      <x:c r="G560" s="51" t="str">
        <x:v>Company ↔ company</x:v>
      </x:c>
      <x:c r="H560" s="51" t="str">
        <x:v>Ongoing</x:v>
      </x:c>
      <x:c r="I560" s="51" t="str">
        <x:v>Cloud, licensing and strategic partnership</x:v>
      </x:c>
      <x:c r="J560" s="51" t="str"/>
      <x:c r="K560" s="51" t="str">
        <x:v>Large multi-year relationship</x:v>
      </x:c>
      <x:c r="L560" s="51" t="str">
        <x:v>Azure compute and capital</x:v>
      </x:c>
      <x:c r="M560" s="51" t="str">
        <x:v>Model access, IP rights and cloud demand</x:v>
      </x:c>
      <x:c r="N560" s="51" t="str">
        <x:v>A cloud platform finances and distributes a model lab while gaining privileged IP and product access</x:v>
      </x:c>
      <x:c r="O560" s="51" t="str">
        <x:v>Financial; technological; ownership; informational</x:v>
      </x:c>
      <x:c r="P560" s="51" t="str">
        <x:v>E1</x:v>
      </x:c>
      <x:c r="Q560" s="51" t="str">
        <x:v>High</x:v>
      </x:c>
      <x:c r="R560" s="51" t="str">
        <x:v>SRC-080</x:v>
      </x:c>
      <x:c r="S560" s="51" t="str">
        <x:v>Reuters reported Azure remains exclusive for OpenAI APIs/first-party products and Microsoft retains exclusive IP access.</x:v>
      </x:c>
      <x:c r="T560" s="51" t="str">
        <x:v>Microsoft ownership or unilateral control of OpenAI.</x:v>
      </x:c>
      <x:c r="U560" s="51" t="str">
        <x:v>OpenAI has diversified financing and compute suppliers.</x:v>
      </x:c>
      <x:c r="V560" s="51" t="str">
        <x:v>Active</x:v>
      </x:c>
      <x:c r="W560" s="51" t="str">
        <x:v>57;75;76</x:v>
      </x:c>
      <x:c r="X560" s="51" t="str">
        <x:v>2026-07-27</x:v>
      </x:c>
    </x:row>
    <x:row r="561">
      <x:c r="A561" s="51" t="str">
        <x:v>OAI-011</x:v>
      </x:c>
      <x:c r="B561" s="51" t="str">
        <x:v>Frontier AI infrastructure</x:v>
      </x:c>
      <x:c r="C561" s="51" t="str">
        <x:v>ACT-SOFTBANKGROUP</x:v>
      </x:c>
      <x:c r="D561" s="51" t="str">
        <x:v>SoftBank Group</x:v>
      </x:c>
      <x:c r="E561" s="51" t="str">
        <x:v>ACT-STARGATEPROJECT</x:v>
      </x:c>
      <x:c r="F561" s="51" t="str">
        <x:v>Stargate Project</x:v>
      </x:c>
      <x:c r="G561" s="51" t="str">
        <x:v>Financial lead → programme</x:v>
      </x:c>
      <x:c r="H561" s="51" t="str">
        <x:v>2025 onward</x:v>
      </x:c>
      <x:c r="I561" s="51" t="str">
        <x:v>Lead financial responsibility</x:v>
      </x:c>
      <x:c r="J561" s="51" t="str">
        <x:v>INS-033</x:v>
      </x:c>
      <x:c r="K561" s="51" t="str">
        <x:v>Up to $500 billion plan</x:v>
      </x:c>
      <x:c r="L561" s="51" t="str">
        <x:v>Investment capital and project finance</x:v>
      </x:c>
      <x:c r="M561" s="51" t="str">
        <x:v>US AI data-centre capacity</x:v>
      </x:c>
      <x:c r="N561" s="51" t="str">
        <x:v>A multinational investment group converts capital markets into physical compute infrastructure</x:v>
      </x:c>
      <x:c r="O561" s="51" t="str">
        <x:v>Financial; material; technological</x:v>
      </x:c>
      <x:c r="P561" s="51" t="str">
        <x:v>E1</x:v>
      </x:c>
      <x:c r="Q561" s="51" t="str">
        <x:v>Very high</x:v>
      </x:c>
      <x:c r="R561" s="51" t="str">
        <x:v>SRC-081; SRC-096</x:v>
      </x:c>
      <x:c r="S561" s="51" t="str">
        <x:v>SoftBank is the Stargate financial lead and initial equity funder.</x:v>
      </x:c>
      <x:c r="T561" s="51" t="str">
        <x:v>Deployment of the full $500 billion or sole control of the programme.</x:v>
      </x:c>
      <x:c r="U561" s="51" t="str">
        <x:v>The figure is an intended multi-year investment ceiling.</x:v>
      </x:c>
      <x:c r="V561" s="51" t="str">
        <x:v>Development</x:v>
      </x:c>
      <x:c r="W561" s="51" t="str">
        <x:v>57;69;76</x:v>
      </x:c>
      <x:c r="X561" s="51" t="str">
        <x:v>2026-07-27</x:v>
      </x:c>
    </x:row>
    <x:row r="562">
      <x:c r="A562" s="51" t="str">
        <x:v>OAI-012</x:v>
      </x:c>
      <x:c r="B562" s="51" t="str">
        <x:v>Frontier AI infrastructure</x:v>
      </x:c>
      <x:c r="C562" s="51" t="str">
        <x:v>ACT-OPENAI</x:v>
      </x:c>
      <x:c r="D562" s="51" t="str">
        <x:v>OpenAI</x:v>
      </x:c>
      <x:c r="E562" s="51" t="str">
        <x:v>ACT-STARGATEPROJECT</x:v>
      </x:c>
      <x:c r="F562" s="51" t="str">
        <x:v>Stargate Project</x:v>
      </x:c>
      <x:c r="G562" s="51" t="str">
        <x:v>Operational lead → programme</x:v>
      </x:c>
      <x:c r="H562" s="51" t="str">
        <x:v>2025 onward</x:v>
      </x:c>
      <x:c r="I562" s="51" t="str">
        <x:v>Operational responsibility</x:v>
      </x:c>
      <x:c r="J562" s="51" t="str">
        <x:v>INS-033</x:v>
      </x:c>
      <x:c r="K562" s="51" t="str">
        <x:v>Programme scale</x:v>
      </x:c>
      <x:c r="L562" s="51" t="str">
        <x:v>Model-lab demand and technical specifications</x:v>
      </x:c>
      <x:c r="M562" s="51" t="str">
        <x:v>Data-centre design and operation</x:v>
      </x:c>
      <x:c r="N562" s="51" t="str">
        <x:v>The dominant customer/operator shapes infrastructure around its model-development needs</x:v>
      </x:c>
      <x:c r="O562" s="51" t="str">
        <x:v>Technological; material; informational</x:v>
      </x:c>
      <x:c r="P562" s="51" t="str">
        <x:v>E1</x:v>
      </x:c>
      <x:c r="Q562" s="51" t="str">
        <x:v>Very high</x:v>
      </x:c>
      <x:c r="R562" s="51" t="str">
        <x:v>SRC-081</x:v>
      </x:c>
      <x:c r="S562" s="51" t="str">
        <x:v>OpenAI is Stargate's operational lead.</x:v>
      </x:c>
      <x:c r="T562" s="51" t="str">
        <x:v>Ownership of every underlying site, energy asset or supplier.</x:v>
      </x:c>
      <x:c r="U562" s="51" t="str">
        <x:v>Financing, construction and technology roles are distributed across partners.</x:v>
      </x:c>
      <x:c r="V562" s="51" t="str">
        <x:v>Development</x:v>
      </x:c>
      <x:c r="W562" s="51" t="str">
        <x:v>69;76</x:v>
      </x:c>
      <x:c r="X562" s="51" t="str">
        <x:v>2026-07-27</x:v>
      </x:c>
    </x:row>
    <x:row r="563">
      <x:c r="A563" s="51" t="str">
        <x:v>OAI-013</x:v>
      </x:c>
      <x:c r="B563" s="51" t="str">
        <x:v>Frontier AI infrastructure</x:v>
      </x:c>
      <x:c r="C563" s="51" t="str">
        <x:v>ACT-MGX</x:v>
      </x:c>
      <x:c r="D563" s="51" t="str">
        <x:v>MGX</x:v>
      </x:c>
      <x:c r="E563" s="51" t="str">
        <x:v>ACT-STARGATEPROJECT</x:v>
      </x:c>
      <x:c r="F563" s="51" t="str">
        <x:v>Stargate Project</x:v>
      </x:c>
      <x:c r="G563" s="51" t="str">
        <x:v>Investor → programme</x:v>
      </x:c>
      <x:c r="H563" s="51" t="str">
        <x:v>2025 onward</x:v>
      </x:c>
      <x:c r="I563" s="51" t="str">
        <x:v>Initial equity funding</x:v>
      </x:c>
      <x:c r="J563" s="51" t="str">
        <x:v>INS-033</x:v>
      </x:c>
      <x:c r="K563" s="51" t="str">
        <x:v>Undisclosed share of up to $500 billion plan</x:v>
      </x:c>
      <x:c r="L563" s="51" t="str">
        <x:v>UAE state-linked capital</x:v>
      </x:c>
      <x:c r="M563" s="51" t="str">
        <x:v>US strategic AI infrastructure</x:v>
      </x:c>
      <x:c r="N563" s="51" t="str">
        <x:v>Foreign sovereign-linked capital enters strategic domestic compute infrastructure</x:v>
      </x:c>
      <x:c r="O563" s="51" t="str">
        <x:v>Financial; ownership; relational; material</x:v>
      </x:c>
      <x:c r="P563" s="51" t="str">
        <x:v>E1</x:v>
      </x:c>
      <x:c r="Q563" s="51" t="str">
        <x:v>Very high</x:v>
      </x:c>
      <x:c r="R563" s="51" t="str">
        <x:v>SRC-081</x:v>
      </x:c>
      <x:c r="S563" s="51" t="str">
        <x:v>MGX is an initial Stargate equity funder.</x:v>
      </x:c>
      <x:c r="T563" s="51" t="str">
        <x:v>UAE command over OpenAI or US AI policy.</x:v>
      </x:c>
      <x:c r="U563" s="51" t="str">
        <x:v>Governance, information and national-security safeguards require contract review.</x:v>
      </x:c>
      <x:c r="V563" s="51" t="str">
        <x:v>Development</x:v>
      </x:c>
      <x:c r="W563" s="51" t="str">
        <x:v>57;76</x:v>
      </x:c>
      <x:c r="X563" s="51" t="str">
        <x:v>2026-07-27</x:v>
      </x:c>
    </x:row>
    <x:row r="564">
      <x:c r="A564" s="51" t="str">
        <x:v>OAI-014</x:v>
      </x:c>
      <x:c r="B564" s="51" t="str">
        <x:v>Frontier AI infrastructure</x:v>
      </x:c>
      <x:c r="C564" s="51" t="str">
        <x:v>ACT-G42</x:v>
      </x:c>
      <x:c r="D564" s="51" t="str">
        <x:v>G42</x:v>
      </x:c>
      <x:c r="E564" s="51" t="str">
        <x:v>ACT-STARGATEUAE</x:v>
      </x:c>
      <x:c r="F564" s="51" t="str">
        <x:v>Stargate UAE</x:v>
      </x:c>
      <x:c r="G564" s="51" t="str">
        <x:v>Builder/operator → programme</x:v>
      </x:c>
      <x:c r="H564" s="51" t="str">
        <x:v>2025 onward</x:v>
      </x:c>
      <x:c r="I564" s="51" t="str">
        <x:v>Consortium and construction role</x:v>
      </x:c>
      <x:c r="J564" s="51" t="str">
        <x:v>INS-034</x:v>
      </x:c>
      <x:c r="K564" s="51" t="str">
        <x:v>1 GW cluster in larger campus</x:v>
      </x:c>
      <x:c r="L564" s="51" t="str">
        <x:v>UAE land, energy, capital and technical organisation</x:v>
      </x:c>
      <x:c r="M564" s="51" t="str">
        <x:v>Regional frontier-AI compute infrastructure</x:v>
      </x:c>
      <x:c r="N564" s="51" t="str">
        <x:v>A state-linked technology group converts sovereign resources into AI-hosting capacity</x:v>
      </x:c>
      <x:c r="O564" s="51" t="str">
        <x:v>Material; technological; relational; informational</x:v>
      </x:c>
      <x:c r="P564" s="51" t="str">
        <x:v>E1</x:v>
      </x:c>
      <x:c r="Q564" s="51" t="str">
        <x:v>Very high</x:v>
      </x:c>
      <x:c r="R564" s="51" t="str">
        <x:v>SRC-082; SRC-095</x:v>
      </x:c>
      <x:c r="S564" s="51" t="str">
        <x:v>G42 is a named Stargate UAE partner and builder.</x:v>
      </x:c>
      <x:c r="T564" s="51" t="str">
        <x:v>Control of OpenAI models, US policy, or all tenant data.</x:v>
      </x:c>
      <x:c r="U564" s="51" t="str">
        <x:v>Operational and security controls are distributed across partners and governments.</x:v>
      </x:c>
      <x:c r="V564" s="51" t="str">
        <x:v>Development</x:v>
      </x:c>
      <x:c r="W564" s="51" t="str">
        <x:v>57;76</x:v>
      </x:c>
      <x:c r="X564" s="51" t="str">
        <x:v>2026-07-27</x:v>
      </x:c>
    </x:row>
    <x:row r="565">
      <x:c r="A565" s="51" t="str">
        <x:v>OAI-015</x:v>
      </x:c>
      <x:c r="B565" s="51" t="str">
        <x:v>Frontier AI infrastructure</x:v>
      </x:c>
      <x:c r="C565" s="51" t="str">
        <x:v>ACT-OPENAI</x:v>
      </x:c>
      <x:c r="D565" s="51" t="str">
        <x:v>OpenAI</x:v>
      </x:c>
      <x:c r="E565" s="51" t="str">
        <x:v>ACT-STARGATEUAE</x:v>
      </x:c>
      <x:c r="F565" s="51" t="str">
        <x:v>Stargate UAE</x:v>
      </x:c>
      <x:c r="G565" s="51" t="str">
        <x:v>Partner → programme</x:v>
      </x:c>
      <x:c r="H565" s="51" t="str">
        <x:v>2025 onward</x:v>
      </x:c>
      <x:c r="I565" s="51" t="str">
        <x:v>Consortium technology/operation role</x:v>
      </x:c>
      <x:c r="J565" s="51" t="str">
        <x:v>INS-034</x:v>
      </x:c>
      <x:c r="K565" s="51" t="str">
        <x:v>Role-specific / undisclosed</x:v>
      </x:c>
      <x:c r="L565" s="51" t="str">
        <x:v>Models, chips, networking, cloud or capital</x:v>
      </x:c>
      <x:c r="M565" s="51" t="str">
        <x:v>UAE–US AI-campus capability</x:v>
      </x:c>
      <x:c r="N565" s="51" t="str">
        <x:v>Complementary private and sovereign inputs form a complete compute stack</x:v>
      </x:c>
      <x:c r="O565" s="51" t="str">
        <x:v>Technological; material; financial; relational</x:v>
      </x:c>
      <x:c r="P565" s="51" t="str">
        <x:v>E1</x:v>
      </x:c>
      <x:c r="Q565" s="51" t="str">
        <x:v>Very high</x:v>
      </x:c>
      <x:c r="R565" s="51" t="str">
        <x:v>SRC-082; SRC-095</x:v>
      </x:c>
      <x:c r="S565" s="51" t="str">
        <x:v>OpenAI is a named Stargate UAE partner.</x:v>
      </x:c>
      <x:c r="T565" s="51" t="str">
        <x:v>Identical rights, shared control of all data, or one unified corporate actor.</x:v>
      </x:c>
      <x:c r="U565" s="51" t="str">
        <x:v>Each partner controls a different conversion layer.</x:v>
      </x:c>
      <x:c r="V565" s="51" t="str">
        <x:v>Development</x:v>
      </x:c>
      <x:c r="W565" s="51" t="str">
        <x:v>57;76</x:v>
      </x:c>
      <x:c r="X565" s="51" t="str">
        <x:v>2026-07-27</x:v>
      </x:c>
    </x:row>
    <x:row r="566">
      <x:c r="A566" s="51" t="str">
        <x:v>OAI-016</x:v>
      </x:c>
      <x:c r="B566" s="51" t="str">
        <x:v>Frontier AI infrastructure</x:v>
      </x:c>
      <x:c r="C566" s="51" t="str">
        <x:v>ACT-ORACLE</x:v>
      </x:c>
      <x:c r="D566" s="51" t="str">
        <x:v>Oracle</x:v>
      </x:c>
      <x:c r="E566" s="51" t="str">
        <x:v>ACT-STARGATEUAE</x:v>
      </x:c>
      <x:c r="F566" s="51" t="str">
        <x:v>Stargate UAE</x:v>
      </x:c>
      <x:c r="G566" s="51" t="str">
        <x:v>Partner → programme</x:v>
      </x:c>
      <x:c r="H566" s="51" t="str">
        <x:v>2025 onward</x:v>
      </x:c>
      <x:c r="I566" s="51" t="str">
        <x:v>Consortium technology/operation role</x:v>
      </x:c>
      <x:c r="J566" s="51" t="str">
        <x:v>INS-034</x:v>
      </x:c>
      <x:c r="K566" s="51" t="str">
        <x:v>Role-specific / undisclosed</x:v>
      </x:c>
      <x:c r="L566" s="51" t="str">
        <x:v>Models, chips, networking, cloud or capital</x:v>
      </x:c>
      <x:c r="M566" s="51" t="str">
        <x:v>UAE–US AI-campus capability</x:v>
      </x:c>
      <x:c r="N566" s="51" t="str">
        <x:v>Complementary private and sovereign inputs form a complete compute stack</x:v>
      </x:c>
      <x:c r="O566" s="51" t="str">
        <x:v>Technological; material; financial; relational</x:v>
      </x:c>
      <x:c r="P566" s="51" t="str">
        <x:v>E1</x:v>
      </x:c>
      <x:c r="Q566" s="51" t="str">
        <x:v>Very high</x:v>
      </x:c>
      <x:c r="R566" s="51" t="str">
        <x:v>SRC-082; SRC-095</x:v>
      </x:c>
      <x:c r="S566" s="51" t="str">
        <x:v>Oracle is a named Stargate UAE partner.</x:v>
      </x:c>
      <x:c r="T566" s="51" t="str">
        <x:v>Identical rights, shared control of all data, or one unified corporate actor.</x:v>
      </x:c>
      <x:c r="U566" s="51" t="str">
        <x:v>Each partner controls a different conversion layer.</x:v>
      </x:c>
      <x:c r="V566" s="51" t="str">
        <x:v>Development</x:v>
      </x:c>
      <x:c r="W566" s="51" t="str">
        <x:v>57;76</x:v>
      </x:c>
      <x:c r="X566" s="51" t="str">
        <x:v>2026-07-27</x:v>
      </x:c>
    </x:row>
    <x:row r="567">
      <x:c r="A567" s="51" t="str">
        <x:v>OAI-017</x:v>
      </x:c>
      <x:c r="B567" s="51" t="str">
        <x:v>Frontier AI infrastructure</x:v>
      </x:c>
      <x:c r="C567" s="51" t="str">
        <x:v>ACT-NVIDIA</x:v>
      </x:c>
      <x:c r="D567" s="51" t="str">
        <x:v>NVIDIA</x:v>
      </x:c>
      <x:c r="E567" s="51" t="str">
        <x:v>ACT-STARGATEUAE</x:v>
      </x:c>
      <x:c r="F567" s="51" t="str">
        <x:v>Stargate UAE</x:v>
      </x:c>
      <x:c r="G567" s="51" t="str">
        <x:v>Partner → programme</x:v>
      </x:c>
      <x:c r="H567" s="51" t="str">
        <x:v>2025 onward</x:v>
      </x:c>
      <x:c r="I567" s="51" t="str">
        <x:v>Consortium technology/operation role</x:v>
      </x:c>
      <x:c r="J567" s="51" t="str">
        <x:v>INS-034</x:v>
      </x:c>
      <x:c r="K567" s="51" t="str">
        <x:v>Role-specific / undisclosed</x:v>
      </x:c>
      <x:c r="L567" s="51" t="str">
        <x:v>Models, chips, networking, cloud or capital</x:v>
      </x:c>
      <x:c r="M567" s="51" t="str">
        <x:v>UAE–US AI-campus capability</x:v>
      </x:c>
      <x:c r="N567" s="51" t="str">
        <x:v>Complementary private and sovereign inputs form a complete compute stack</x:v>
      </x:c>
      <x:c r="O567" s="51" t="str">
        <x:v>Technological; material; financial; relational</x:v>
      </x:c>
      <x:c r="P567" s="51" t="str">
        <x:v>E1</x:v>
      </x:c>
      <x:c r="Q567" s="51" t="str">
        <x:v>Very high</x:v>
      </x:c>
      <x:c r="R567" s="51" t="str">
        <x:v>SRC-082; SRC-095</x:v>
      </x:c>
      <x:c r="S567" s="51" t="str">
        <x:v>NVIDIA is a named Stargate UAE partner.</x:v>
      </x:c>
      <x:c r="T567" s="51" t="str">
        <x:v>Identical rights, shared control of all data, or one unified corporate actor.</x:v>
      </x:c>
      <x:c r="U567" s="51" t="str">
        <x:v>Each partner controls a different conversion layer.</x:v>
      </x:c>
      <x:c r="V567" s="51" t="str">
        <x:v>Development</x:v>
      </x:c>
      <x:c r="W567" s="51" t="str">
        <x:v>57;76</x:v>
      </x:c>
      <x:c r="X567" s="51" t="str">
        <x:v>2026-07-27</x:v>
      </x:c>
    </x:row>
    <x:row r="568">
      <x:c r="A568" s="51" t="str">
        <x:v>OAI-018</x:v>
      </x:c>
      <x:c r="B568" s="51" t="str">
        <x:v>Frontier AI infrastructure</x:v>
      </x:c>
      <x:c r="C568" s="51" t="str">
        <x:v>ACT-CISCOSYSTEMS</x:v>
      </x:c>
      <x:c r="D568" s="51" t="str">
        <x:v>Cisco Systems</x:v>
      </x:c>
      <x:c r="E568" s="51" t="str">
        <x:v>ACT-STARGATEUAE</x:v>
      </x:c>
      <x:c r="F568" s="51" t="str">
        <x:v>Stargate UAE</x:v>
      </x:c>
      <x:c r="G568" s="51" t="str">
        <x:v>Partner → programme</x:v>
      </x:c>
      <x:c r="H568" s="51" t="str">
        <x:v>2025 onward</x:v>
      </x:c>
      <x:c r="I568" s="51" t="str">
        <x:v>Consortium technology/operation role</x:v>
      </x:c>
      <x:c r="J568" s="51" t="str">
        <x:v>INS-034</x:v>
      </x:c>
      <x:c r="K568" s="51" t="str">
        <x:v>Role-specific / undisclosed</x:v>
      </x:c>
      <x:c r="L568" s="51" t="str">
        <x:v>Models, chips, networking, cloud or capital</x:v>
      </x:c>
      <x:c r="M568" s="51" t="str">
        <x:v>UAE–US AI-campus capability</x:v>
      </x:c>
      <x:c r="N568" s="51" t="str">
        <x:v>Complementary private and sovereign inputs form a complete compute stack</x:v>
      </x:c>
      <x:c r="O568" s="51" t="str">
        <x:v>Technological; material; financial; relational</x:v>
      </x:c>
      <x:c r="P568" s="51" t="str">
        <x:v>E1</x:v>
      </x:c>
      <x:c r="Q568" s="51" t="str">
        <x:v>Very high</x:v>
      </x:c>
      <x:c r="R568" s="51" t="str">
        <x:v>SRC-082; SRC-095</x:v>
      </x:c>
      <x:c r="S568" s="51" t="str">
        <x:v>Cisco Systems is a named Stargate UAE partner.</x:v>
      </x:c>
      <x:c r="T568" s="51" t="str">
        <x:v>Identical rights, shared control of all data, or one unified corporate actor.</x:v>
      </x:c>
      <x:c r="U568" s="51" t="str">
        <x:v>Each partner controls a different conversion layer.</x:v>
      </x:c>
      <x:c r="V568" s="51" t="str">
        <x:v>Development</x:v>
      </x:c>
      <x:c r="W568" s="51" t="str">
        <x:v>57;76</x:v>
      </x:c>
      <x:c r="X568" s="51" t="str">
        <x:v>2026-07-27</x:v>
      </x:c>
    </x:row>
    <x:row r="569">
      <x:c r="A569" s="51" t="str">
        <x:v>OAI-019</x:v>
      </x:c>
      <x:c r="B569" s="51" t="str">
        <x:v>Frontier AI infrastructure</x:v>
      </x:c>
      <x:c r="C569" s="51" t="str">
        <x:v>ACT-SOFTBANKGROUP</x:v>
      </x:c>
      <x:c r="D569" s="51" t="str">
        <x:v>SoftBank Group</x:v>
      </x:c>
      <x:c r="E569" s="51" t="str">
        <x:v>ACT-STARGATEUAE</x:v>
      </x:c>
      <x:c r="F569" s="51" t="str">
        <x:v>Stargate UAE</x:v>
      </x:c>
      <x:c r="G569" s="51" t="str">
        <x:v>Partner → programme</x:v>
      </x:c>
      <x:c r="H569" s="51" t="str">
        <x:v>2025 onward</x:v>
      </x:c>
      <x:c r="I569" s="51" t="str">
        <x:v>Consortium technology/operation role</x:v>
      </x:c>
      <x:c r="J569" s="51" t="str">
        <x:v>INS-034</x:v>
      </x:c>
      <x:c r="K569" s="51" t="str">
        <x:v>Role-specific / undisclosed</x:v>
      </x:c>
      <x:c r="L569" s="51" t="str">
        <x:v>Models, chips, networking, cloud or capital</x:v>
      </x:c>
      <x:c r="M569" s="51" t="str">
        <x:v>UAE–US AI-campus capability</x:v>
      </x:c>
      <x:c r="N569" s="51" t="str">
        <x:v>Complementary private and sovereign inputs form a complete compute stack</x:v>
      </x:c>
      <x:c r="O569" s="51" t="str">
        <x:v>Technological; material; financial; relational</x:v>
      </x:c>
      <x:c r="P569" s="51" t="str">
        <x:v>E1</x:v>
      </x:c>
      <x:c r="Q569" s="51" t="str">
        <x:v>Very high</x:v>
      </x:c>
      <x:c r="R569" s="51" t="str">
        <x:v>SRC-082; SRC-095</x:v>
      </x:c>
      <x:c r="S569" s="51" t="str">
        <x:v>SoftBank Group is a named Stargate UAE partner.</x:v>
      </x:c>
      <x:c r="T569" s="51" t="str">
        <x:v>Identical rights, shared control of all data, or one unified corporate actor.</x:v>
      </x:c>
      <x:c r="U569" s="51" t="str">
        <x:v>Each partner controls a different conversion layer.</x:v>
      </x:c>
      <x:c r="V569" s="51" t="str">
        <x:v>Development</x:v>
      </x:c>
      <x:c r="W569" s="51" t="str">
        <x:v>57;76</x:v>
      </x:c>
      <x:c r="X569" s="51" t="str">
        <x:v>2026-07-27</x:v>
      </x:c>
    </x:row>
    <x:row r="570">
      <x:c r="A570" s="51" t="str">
        <x:v>OWN-001</x:v>
      </x:c>
      <x:c r="B570" s="51" t="str">
        <x:v>Legal ownership and opacity</x:v>
      </x:c>
      <x:c r="C570" s="51" t="str">
        <x:v>ACT-FINANCIALCRIMESENFORCEME</x:v>
      </x:c>
      <x:c r="D570" s="51" t="str">
        <x:v>Financial Crimes Enforcement Network</x:v>
      </x:c>
      <x:c r="E570" s="51" t="str">
        <x:v>ACT-CORPORATETRANSPARENCYACT</x:v>
      </x:c>
      <x:c r="F570" s="51" t="str">
        <x:v>Corporate Transparency Act regime</x:v>
      </x:c>
      <x:c r="G570" s="51" t="str">
        <x:v>Authority → framework</x:v>
      </x:c>
      <x:c r="H570" s="51" t="str">
        <x:v>2025 onward</x:v>
      </x:c>
      <x:c r="I570" s="51" t="str">
        <x:v>Rule administration</x:v>
      </x:c>
      <x:c r="J570" s="51" t="str">
        <x:v>INS-088</x:v>
      </x:c>
      <x:c r="K570" s="51" t="str">
        <x:v>US legal-entity system</x:v>
      </x:c>
      <x:c r="L570" s="51" t="str">
        <x:v>AML and financial-intelligence authority</x:v>
      </x:c>
      <x:c r="M570" s="51" t="str">
        <x:v>Beneficial-ownership reporting scope and exemptions</x:v>
      </x:c>
      <x:c r="N570" s="51" t="str">
        <x:v>Regulatory definitions determine which ownership relationships become visible to the state</x:v>
      </x:c>
      <x:c r="O570" s="51" t="str">
        <x:v>Institutional; informational; enforcement</x:v>
      </x:c>
      <x:c r="P570" s="51" t="str">
        <x:v>E1</x:v>
      </x:c>
      <x:c r="Q570" s="51" t="str">
        <x:v>Very high</x:v>
      </x:c>
      <x:c r="R570" s="51" t="str">
        <x:v>SRC-175</x:v>
      </x:c>
      <x:c r="S570" s="51" t="str">
        <x:v>FinCEN administers the current BOI regime.</x:v>
      </x:c>
      <x:c r="T570" s="51" t="str">
        <x:v>A complete public registry or coverage of all US entities.</x:v>
      </x:c>
      <x:c r="U570" s="51" t="str">
        <x:v>Access is restricted and the current rule exempts domestic entities and US persons.</x:v>
      </x:c>
      <x:c r="V570" s="51" t="str">
        <x:v>Active</x:v>
      </x:c>
      <x:c r="W570" s="51" t="str">
        <x:v>55;57</x:v>
      </x:c>
      <x:c r="X570" s="51" t="str">
        <x:v>2026-07-27</x:v>
      </x:c>
    </x:row>
    <x:row r="571">
      <x:c r="A571" s="51" t="str">
        <x:v>OWN-002</x:v>
      </x:c>
      <x:c r="B571" s="51" t="str">
        <x:v>Legal ownership and opacity</x:v>
      </x:c>
      <x:c r="C571" s="51" t="str">
        <x:v>ACT-CORPORATETRANSPARENCYACT</x:v>
      </x:c>
      <x:c r="D571" s="51" t="str">
        <x:v>Corporate Transparency Act regime</x:v>
      </x:c>
      <x:c r="E571" s="51" t="str">
        <x:v>ACT-USDOMESTICLEGALENTITIES</x:v>
      </x:c>
      <x:c r="F571" s="51" t="str">
        <x:v>US domestic legal entities</x:v>
      </x:c>
      <x:c r="G571" s="51" t="str">
        <x:v>Framework → entities</x:v>
      </x:c>
      <x:c r="H571" s="51" t="str">
        <x:v>2025 onward</x:v>
      </x:c>
      <x:c r="I571" s="51" t="str">
        <x:v>Current reporting exemption</x:v>
      </x:c>
      <x:c r="J571" s="51" t="str">
        <x:v>INS-088</x:v>
      </x:c>
      <x:c r="K571" s="51" t="str">
        <x:v>All domestically created entities under current interim rule</x:v>
      </x:c>
      <x:c r="L571" s="51" t="str">
        <x:v>Domestic incorporation</x:v>
      </x:c>
      <x:c r="M571" s="51" t="str">
        <x:v>No federal BOI filing under the current rule</x:v>
      </x:c>
      <x:c r="N571" s="51" t="str">
        <x:v>An exemption preserves a gap between legal formation records and centrally reported beneficial ownership</x:v>
      </x:c>
      <x:c r="O571" s="51" t="str">
        <x:v>Informational; institutional</x:v>
      </x:c>
      <x:c r="P571" s="51" t="str">
        <x:v>E1</x:v>
      </x:c>
      <x:c r="Q571" s="51" t="str">
        <x:v>Very high</x:v>
      </x:c>
      <x:c r="R571" s="51" t="str">
        <x:v>SRC-175</x:v>
      </x:c>
      <x:c r="S571" s="51" t="str">
        <x:v>FinCEN states US-created entities and US persons are exempt from current BOI reporting.</x:v>
      </x:c>
      <x:c r="T571" s="51" t="str">
        <x:v>Total anonymity from banks, tax authorities, courts or state records.</x:v>
      </x:c>
      <x:c r="U571" s="51" t="str">
        <x:v>CDD, subpoenas and other reporting duties still apply.</x:v>
      </x:c>
      <x:c r="V571" s="51" t="str">
        <x:v>Active exemption</x:v>
      </x:c>
      <x:c r="W571" s="51" t="str">
        <x:v>55;57</x:v>
      </x:c>
      <x:c r="X571" s="51" t="str">
        <x:v>2026-07-27</x:v>
      </x:c>
    </x:row>
    <x:row r="572">
      <x:c r="A572" s="51" t="str">
        <x:v>OWN-003</x:v>
      </x:c>
      <x:c r="B572" s="51" t="str">
        <x:v>Legal ownership and opacity</x:v>
      </x:c>
      <x:c r="C572" s="51" t="str">
        <x:v>ACT-CORPORATETRANSPARENCYACT</x:v>
      </x:c>
      <x:c r="D572" s="51" t="str">
        <x:v>Corporate Transparency Act regime</x:v>
      </x:c>
      <x:c r="E572" s="51" t="str">
        <x:v>ACT-FOREIGNCOMPANIESREGISTER</x:v>
      </x:c>
      <x:c r="F572" s="51" t="str">
        <x:v>Foreign companies registered in the United States</x:v>
      </x:c>
      <x:c r="G572" s="51" t="str">
        <x:v>Framework → entities</x:v>
      </x:c>
      <x:c r="H572" s="51" t="str">
        <x:v>2025 onward</x:v>
      </x:c>
      <x:c r="I572" s="51" t="str">
        <x:v>Beneficial-ownership reporting obligation</x:v>
      </x:c>
      <x:c r="J572" s="51" t="str">
        <x:v>INS-088</x:v>
      </x:c>
      <x:c r="K572" s="51" t="str">
        <x:v>Defined foreign reporting companies</x:v>
      </x:c>
      <x:c r="L572" s="51" t="str">
        <x:v>Foreign incorporation plus US registration</x:v>
      </x:c>
      <x:c r="M572" s="51" t="str">
        <x:v>BOI disclosure to FinCEN</x:v>
      </x:c>
      <x:c r="N572" s="51" t="str">
        <x:v>The rule creates asymmetric transparency between foreign-formed and domestic legal entities</x:v>
      </x:c>
      <x:c r="O572" s="51" t="str">
        <x:v>Informational; institutional; enforcement</x:v>
      </x:c>
      <x:c r="P572" s="51" t="str">
        <x:v>E1</x:v>
      </x:c>
      <x:c r="Q572" s="51" t="str">
        <x:v>Very high</x:v>
      </x:c>
      <x:c r="R572" s="51" t="str">
        <x:v>SRC-175</x:v>
      </x:c>
      <x:c r="S572" s="51" t="str">
        <x:v>Defined foreign entities must report under the current rule.</x:v>
      </x:c>
      <x:c r="T572" s="51" t="str">
        <x:v>Public access, reporting of US-person beneficial owners or universal coverage of foreign investment.</x:v>
      </x:c>
      <x:c r="U572" s="51" t="str">
        <x:v>Exemptions and definitions narrow the scope.</x:v>
      </x:c>
      <x:c r="V572" s="51" t="str">
        <x:v>Active</x:v>
      </x:c>
      <x:c r="W572" s="51" t="str">
        <x:v>55;57</x:v>
      </x:c>
      <x:c r="X572" s="51" t="str">
        <x:v>2026-07-27</x:v>
      </x:c>
    </x:row>
    <x:row r="573">
      <x:c r="A573" s="51" t="str">
        <x:v>OWN-004</x:v>
      </x:c>
      <x:c r="B573" s="51" t="str">
        <x:v>Legal ownership and opacity</x:v>
      </x:c>
      <x:c r="C573" s="51" t="str">
        <x:v>ACT-FATF</x:v>
      </x:c>
      <x:c r="D573" s="51" t="str">
        <x:v>FATF</x:v>
      </x:c>
      <x:c r="E573" s="51" t="str">
        <x:v>ACT-GOVERNINGINSTITUTIONALNE</x:v>
      </x:c>
      <x:c r="F573" s="51" t="str">
        <x:v>Governing institutional networks</x:v>
      </x:c>
      <x:c r="G573" s="51" t="str">
        <x:v>Standard setter → jurisdictions</x:v>
      </x:c>
      <x:c r="H573" s="51" t="str">
        <x:v>Ongoing</x:v>
      </x:c>
      <x:c r="I573" s="51" t="str">
        <x:v>Beneficial-ownership standards</x:v>
      </x:c>
      <x:c r="J573" s="51" t="str">
        <x:v>INS-089</x:v>
      </x:c>
      <x:c r="K573" s="51" t="str">
        <x:v>Global</x:v>
      </x:c>
      <x:c r="L573" s="51" t="str">
        <x:v>AML/CFT standards and peer pressure</x:v>
      </x:c>
      <x:c r="M573" s="51" t="str">
        <x:v>Registries or equivalent mechanisms</x:v>
      </x:c>
      <x:c r="N573" s="51" t="str">
        <x:v>International standards convert reputational and financial-system access into pressure for ownership transparency</x:v>
      </x:c>
      <x:c r="O573" s="51" t="str">
        <x:v>Institutional; informational; financial</x:v>
      </x:c>
      <x:c r="P573" s="51" t="str">
        <x:v>E1</x:v>
      </x:c>
      <x:c r="Q573" s="51" t="str">
        <x:v>High</x:v>
      </x:c>
      <x:c r="R573" s="51" t="str">
        <x:v>SRC-176; SRC-177</x:v>
      </x:c>
      <x:c r="S573" s="51" t="str">
        <x:v>FATF requires mechanisms for adequate and timely ownership information.</x:v>
      </x:c>
      <x:c r="T573" s="51" t="str">
        <x:v>Direct legislative authority or uniform implementation.</x:v>
      </x:c>
      <x:c r="U573" s="51" t="str">
        <x:v>Countries choose different registries and enforcement models.</x:v>
      </x:c>
      <x:c r="V573" s="51" t="str">
        <x:v>Active</x:v>
      </x:c>
      <x:c r="W573" s="51" t="str">
        <x:v>55;57</x:v>
      </x:c>
      <x:c r="X573" s="51" t="str">
        <x:v>2026-07-27</x:v>
      </x:c>
    </x:row>
    <x:row r="574">
      <x:c r="A574" s="51" t="str">
        <x:v>OWN-005</x:v>
      </x:c>
      <x:c r="B574" s="51" t="str">
        <x:v>Legal ownership and opacity</x:v>
      </x:c>
      <x:c r="C574" s="51" t="str">
        <x:v>ACT-TRUSTSANDSIMILARLEGALARR</x:v>
      </x:c>
      <x:c r="D574" s="51" t="str">
        <x:v>Trusts and similar legal arrangements</x:v>
      </x:c>
      <x:c r="E574" s="51" t="str">
        <x:v>ACT-GOVERNINGINSTITUTIONALNE</x:v>
      </x:c>
      <x:c r="F574" s="51" t="str">
        <x:v>Governing institutional networks</x:v>
      </x:c>
      <x:c r="G574" s="51" t="str">
        <x:v>Structure → institutions</x:v>
      </x:c>
      <x:c r="H574" s="51" t="str">
        <x:v>Ongoing</x:v>
      </x:c>
      <x:c r="I574" s="51" t="str">
        <x:v>Separation of legal title, control and benefit</x:v>
      </x:c>
      <x:c r="J574" s="51" t="str"/>
      <x:c r="K574" s="51" t="str">
        <x:v>Global private wealth</x:v>
      </x:c>
      <x:c r="L574" s="51" t="str">
        <x:v>Settlor, trustee, protector and beneficiary rights</x:v>
      </x:c>
      <x:c r="M574" s="51" t="str">
        <x:v>Layered control and asset holding</x:v>
      </x:c>
      <x:c r="N574" s="51" t="str">
        <x:v>Legal arrangements can separate visible ownership from practical control and economic benefit</x:v>
      </x:c>
      <x:c r="O574" s="51" t="str">
        <x:v>Ownership; informational; financial</x:v>
      </x:c>
      <x:c r="P574" s="51" t="str">
        <x:v>S1</x:v>
      </x:c>
      <x:c r="Q574" s="51" t="str">
        <x:v>High</x:v>
      </x:c>
      <x:c r="R574" s="51" t="str">
        <x:v>SRC-177</x:v>
      </x:c>
      <x:c r="S574" s="51" t="str">
        <x:v>FATF treats trusts and similar arrangements as ownership-transparency risks requiring specific rules.</x:v>
      </x:c>
      <x:c r="T574" s="51" t="str">
        <x:v>Illegality or abusive purpose of every trust.</x:v>
      </x:c>
      <x:c r="U574" s="51" t="str">
        <x:v>Trusts also serve legitimate estate, charitable and fiduciary functions.</x:v>
      </x:c>
      <x:c r="V574" s="51" t="str">
        <x:v>Active</x:v>
      </x:c>
      <x:c r="W574" s="51" t="str">
        <x:v>55;57</x:v>
      </x:c>
      <x:c r="X574" s="51" t="str">
        <x:v>2026-07-27</x:v>
      </x:c>
    </x:row>
    <x:row r="575">
      <x:c r="A575" s="51" t="str">
        <x:v>OWN-006</x:v>
      </x:c>
      <x:c r="B575" s="51" t="str">
        <x:v>Legal ownership and opacity</x:v>
      </x:c>
      <x:c r="C575" s="51" t="str">
        <x:v>ACT-OECDGLOBALFORUMONTAXTRAN</x:v>
      </x:c>
      <x:c r="D575" s="51" t="str">
        <x:v>OECD Global Forum on Tax Transparency</x:v>
      </x:c>
      <x:c r="E575" s="51" t="str">
        <x:v>ACT-GOVERNINGINSTITUTIONALNE</x:v>
      </x:c>
      <x:c r="F575" s="51" t="str">
        <x:v>Governing institutional networks</x:v>
      </x:c>
      <x:c r="G575" s="51" t="str">
        <x:v>Monitor → jurisdictions</x:v>
      </x:c>
      <x:c r="H575" s="51" t="str">
        <x:v>2025–2026</x:v>
      </x:c>
      <x:c r="I575" s="51" t="str">
        <x:v>Peer review and implementation monitoring</x:v>
      </x:c>
      <x:c r="J575" s="51" t="str">
        <x:v>INS-089</x:v>
      </x:c>
      <x:c r="K575" s="51" t="str">
        <x:v>Global</x:v>
      </x:c>
      <x:c r="L575" s="51" t="str">
        <x:v>Tax-transparency standards and technical assistance</x:v>
      </x:c>
      <x:c r="M575" s="51" t="str">
        <x:v>Central registers and verified ownership information</x:v>
      </x:c>
      <x:c r="N575" s="51" t="str">
        <x:v>Peer review converts international reputation and tax cooperation into pressure for more accurate registries</x:v>
      </x:c>
      <x:c r="O575" s="51" t="str">
        <x:v>Institutional; informational; financial</x:v>
      </x:c>
      <x:c r="P575" s="51" t="str">
        <x:v>E1</x:v>
      </x:c>
      <x:c r="Q575" s="51" t="str">
        <x:v>High</x:v>
      </x:c>
      <x:c r="R575" s="51" t="str">
        <x:v>SRC-178</x:v>
      </x:c>
      <x:c r="S575" s="51" t="str">
        <x:v>The Global Forum reports expanding central registers and continued accuracy gaps.</x:v>
      </x:c>
      <x:c r="T575" s="51" t="str">
        <x:v>Complete global transparency or authority to prosecute domestic offences.</x:v>
      </x:c>
      <x:c r="U575" s="51" t="str">
        <x:v>Implementation quality varies and registries can contain stale data.</x:v>
      </x:c>
      <x:c r="V575" s="51" t="str">
        <x:v>Active</x:v>
      </x:c>
      <x:c r="W575" s="51" t="str">
        <x:v>55;57</x:v>
      </x:c>
      <x:c r="X575" s="51" t="str">
        <x:v>2026-07-27</x:v>
      </x:c>
    </x:row>
    <x:row r="576">
      <x:c r="A576" s="51" t="str">
        <x:v>OWNR-001</x:v>
      </x:c>
      <x:c r="B576" s="51" t="str">
        <x:v>Intermediated securities ownership</x:v>
      </x:c>
      <x:c r="C576" s="51" t="str">
        <x:v>ACT-DEPOSITORYTRUSTCLEARINGC</x:v>
      </x:c>
      <x:c r="D576" s="51" t="str">
        <x:v>Depository Trust &amp; Clearing Corporation</x:v>
      </x:c>
      <x:c r="E576" s="51" t="str">
        <x:v>ACT-THEDEPOSITORYTRUSTCOMPAN</x:v>
      </x:c>
      <x:c r="F576" s="51" t="str">
        <x:v>The Depository Trust Company</x:v>
      </x:c>
      <x:c r="G576" s="51" t="str">
        <x:v>Parent → subsidiary infrastructure</x:v>
      </x:c>
      <x:c r="H576" s="51" t="str">
        <x:v>Ongoing</x:v>
      </x:c>
      <x:c r="I576" s="51" t="str">
        <x:v>Ownership and governance</x:v>
      </x:c>
      <x:c r="J576" s="51" t="str">
        <x:v>INS-118</x:v>
      </x:c>
      <x:c r="K576" s="51" t="str">
        <x:v>US market infrastructure</x:v>
      </x:c>
      <x:c r="L576" s="51" t="str">
        <x:v>Capital and group governance</x:v>
      </x:c>
      <x:c r="M576" s="51" t="str">
        <x:v>Central securities depository operations</x:v>
      </x:c>
      <x:c r="N576" s="51" t="str">
        <x:v>A market-infrastructure holding company organises clearing and custody through specialised subsidiaries</x:v>
      </x:c>
      <x:c r="O576" s="51" t="str">
        <x:v>Ownership; institutional; financial</x:v>
      </x:c>
      <x:c r="P576" s="51" t="str">
        <x:v>E1</x:v>
      </x:c>
      <x:c r="Q576" s="51" t="str">
        <x:v>Very high</x:v>
      </x:c>
      <x:c r="R576" s="51" t="str">
        <x:v>SRC-228</x:v>
      </x:c>
      <x:c r="S576" s="51" t="str">
        <x:v>DTC is a DTCC subsidiary.</x:v>
      </x:c>
      <x:c r="T576" s="51" t="str">
        <x:v>DTCC beneficial ownership of participant securities.</x:v>
      </x:c>
      <x:c r="U576" s="51" t="str">
        <x:v>Participant assets are accounted for separately from corporate assets.</x:v>
      </x:c>
      <x:c r="V576" s="51" t="str">
        <x:v>Active</x:v>
      </x:c>
      <x:c r="W576" s="51" t="str">
        <x:v>39;57</x:v>
      </x:c>
      <x:c r="X576" s="51" t="str">
        <x:v>2026-07-27</x:v>
      </x:c>
    </x:row>
    <x:row r="577">
      <x:c r="A577" s="51" t="str">
        <x:v>OWNR-002</x:v>
      </x:c>
      <x:c r="B577" s="51" t="str">
        <x:v>Intermediated securities ownership</x:v>
      </x:c>
      <x:c r="C577" s="51" t="str">
        <x:v>ACT-THEDEPOSITORYTRUSTCOMPAN</x:v>
      </x:c>
      <x:c r="D577" s="51" t="str">
        <x:v>The Depository Trust Company</x:v>
      </x:c>
      <x:c r="E577" s="51" t="str">
        <x:v>ACT-CEDECO</x:v>
      </x:c>
      <x:c r="F577" s="51" t="str">
        <x:v>Cede &amp; Co.</x:v>
      </x:c>
      <x:c r="G577" s="51" t="str">
        <x:v>Depository → nominee</x:v>
      </x:c>
      <x:c r="H577" s="51" t="str">
        <x:v>Ongoing</x:v>
      </x:c>
      <x:c r="I577" s="51" t="str">
        <x:v>Nominee record ownership</x:v>
      </x:c>
      <x:c r="J577" s="51" t="str">
        <x:v>INS-118</x:v>
      </x:c>
      <x:c r="K577" s="51" t="str">
        <x:v>Fungible bulk securities</x:v>
      </x:c>
      <x:c r="L577" s="51" t="str">
        <x:v>Securities deposited by participants</x:v>
      </x:c>
      <x:c r="M577" s="51" t="str">
        <x:v>Single registered holder name</x:v>
      </x:c>
      <x:c r="N577" s="51" t="str">
        <x:v>A nominee structure replaces millions of registered names with one record owner to enable book-entry settlement</x:v>
      </x:c>
      <x:c r="O577" s="51" t="str">
        <x:v>Ownership; informational; institutional</x:v>
      </x:c>
      <x:c r="P577" s="51" t="str">
        <x:v>E1</x:v>
      </x:c>
      <x:c r="Q577" s="51" t="str">
        <x:v>Very high</x:v>
      </x:c>
      <x:c r="R577" s="51" t="str">
        <x:v>SRC-228; SRC-229</x:v>
      </x:c>
      <x:c r="S577" s="51" t="str">
        <x:v>DTC documents Cede &amp; Co. as record owner for deposited securities.</x:v>
      </x:c>
      <x:c r="T577" s="51" t="str">
        <x:v>Cede's economic ownership or freedom to vote contrary to participant instructions.</x:v>
      </x:c>
      <x:c r="U577" s="51" t="str">
        <x:v>Voting and distributions flow through participant chains.</x:v>
      </x:c>
      <x:c r="V577" s="51" t="str">
        <x:v>Active</x:v>
      </x:c>
      <x:c r="W577" s="51" t="str">
        <x:v>39;55;57</x:v>
      </x:c>
      <x:c r="X577" s="51" t="str">
        <x:v>2026-07-27</x:v>
      </x:c>
    </x:row>
    <x:row r="578">
      <x:c r="A578" s="51" t="str">
        <x:v>OWNR-003</x:v>
      </x:c>
      <x:c r="B578" s="51" t="str">
        <x:v>Intermediated securities ownership</x:v>
      </x:c>
      <x:c r="C578" s="51" t="str">
        <x:v>ACT-CEDECO</x:v>
      </x:c>
      <x:c r="D578" s="51" t="str">
        <x:v>Cede &amp; Co.</x:v>
      </x:c>
      <x:c r="E578" s="51" t="str">
        <x:v>ACT-BROKERDEALERSANDCUSTODIA</x:v>
      </x:c>
      <x:c r="F578" s="51" t="str">
        <x:v>Broker-dealers and custodial banks</x:v>
      </x:c>
      <x:c r="G578" s="51" t="str">
        <x:v>Nominee → participants</x:v>
      </x:c>
      <x:c r="H578" s="51" t="str">
        <x:v>Ongoing</x:v>
      </x:c>
      <x:c r="I578" s="51" t="str">
        <x:v>Book-entry account relationship</x:v>
      </x:c>
      <x:c r="J578" s="51" t="str">
        <x:v>INS-118</x:v>
      </x:c>
      <x:c r="K578" s="51" t="str">
        <x:v>Market-wide</x:v>
      </x:c>
      <x:c r="L578" s="51" t="str">
        <x:v>Registered title and corporate-action entitlements</x:v>
      </x:c>
      <x:c r="M578" s="51" t="str">
        <x:v>Participant positions and allocations</x:v>
      </x:c>
      <x:c r="N578" s="51" t="str">
        <x:v>Centralised record ownership is decomposed into participant-level entitlements</x:v>
      </x:c>
      <x:c r="O578" s="51" t="str">
        <x:v>Ownership; informational; financial</x:v>
      </x:c>
      <x:c r="P578" s="51" t="str">
        <x:v>E1</x:v>
      </x:c>
      <x:c r="Q578" s="51" t="str">
        <x:v>High</x:v>
      </x:c>
      <x:c r="R578" s="51" t="str">
        <x:v>SRC-228; SRC-229</x:v>
      </x:c>
      <x:c r="S578" s="51" t="str">
        <x:v>DTC distributes payments and rights to participants based on book-entry positions.</x:v>
      </x:c>
      <x:c r="T578" s="51" t="str">
        <x:v>Direct knowledge of every ultimate beneficial owner.</x:v>
      </x:c>
      <x:c r="U578" s="51" t="str">
        <x:v>Further customer-level layers exist below participants.</x:v>
      </x:c>
      <x:c r="V578" s="51" t="str">
        <x:v>Active</x:v>
      </x:c>
      <x:c r="W578" s="51" t="str">
        <x:v>39;55;57</x:v>
      </x:c>
      <x:c r="X578" s="51" t="str">
        <x:v>2026-07-27</x:v>
      </x:c>
    </x:row>
    <x:row r="579">
      <x:c r="A579" s="51" t="str">
        <x:v>OWNR-004</x:v>
      </x:c>
      <x:c r="B579" s="51" t="str">
        <x:v>Intermediated securities ownership</x:v>
      </x:c>
      <x:c r="C579" s="51" t="str">
        <x:v>ACT-BROKERDEALERSANDCUSTODIA</x:v>
      </x:c>
      <x:c r="D579" s="51" t="str">
        <x:v>Broker-dealers and custodial banks</x:v>
      </x:c>
      <x:c r="E579" s="51" t="str">
        <x:v>ACT-BENEFICIALSECURITIESOWNE</x:v>
      </x:c>
      <x:c r="F579" s="51" t="str">
        <x:v>Beneficial securities owners</x:v>
      </x:c>
      <x:c r="G579" s="51" t="str">
        <x:v>Intermediary → customers</x:v>
      </x:c>
      <x:c r="H579" s="51" t="str">
        <x:v>Ongoing</x:v>
      </x:c>
      <x:c r="I579" s="51" t="str">
        <x:v>Custody and account relationship</x:v>
      </x:c>
      <x:c r="J579" s="51" t="str">
        <x:v>INS-118</x:v>
      </x:c>
      <x:c r="K579" s="51" t="str">
        <x:v>Retail and institutional holdings</x:v>
      </x:c>
      <x:c r="L579" s="51" t="str">
        <x:v>Participant-level positions</x:v>
      </x:c>
      <x:c r="M579" s="51" t="str">
        <x:v>Customer economic rights and voting instructions</x:v>
      </x:c>
      <x:c r="N579" s="51" t="str">
        <x:v>The final investor's rights are exercised through a chain of private ledgers and deadlines</x:v>
      </x:c>
      <x:c r="O579" s="51" t="str">
        <x:v>Ownership; informational; relational</x:v>
      </x:c>
      <x:c r="P579" s="51" t="str">
        <x:v>S1</x:v>
      </x:c>
      <x:c r="Q579" s="51" t="str">
        <x:v>High</x:v>
      </x:c>
      <x:c r="R579" s="51" t="str">
        <x:v>SRC-228; SRC-229</x:v>
      </x:c>
      <x:c r="S579" s="51" t="str">
        <x:v>Intermediated ownership requires brokers or custodians to maintain customer entitlements.</x:v>
      </x:c>
      <x:c r="T579" s="51" t="str">
        <x:v>Uniform voting pass-through, immediate settlement or absence of reconciliation risk.</x:v>
      </x:c>
      <x:c r="U579" s="51" t="str">
        <x:v>Jurisdiction, account type and lending arrangements affect rights.</x:v>
      </x:c>
      <x:c r="V579" s="51" t="str">
        <x:v>Active</x:v>
      </x:c>
      <x:c r="W579" s="51" t="str">
        <x:v>39;55;57</x:v>
      </x:c>
      <x:c r="X579" s="51" t="str">
        <x:v>2026-07-27</x:v>
      </x:c>
    </x:row>
    <x:row r="580">
      <x:c r="A580" s="51" t="str">
        <x:v>PAL-001</x:v>
      </x:c>
      <x:c r="B580" s="51" t="str">
        <x:v>Defence technology</x:v>
      </x:c>
      <x:c r="C580" s="51" t="str">
        <x:v>ACT-PALANTIRTECHNOLOGIES</x:v>
      </x:c>
      <x:c r="D580" s="51" t="str">
        <x:v>Palantir Technologies</x:v>
      </x:c>
      <x:c r="E580" s="51" t="str">
        <x:v>ACT-ISRAELIMINISTRYOFDEFENSE</x:v>
      </x:c>
      <x:c r="F580" s="51" t="str">
        <x:v>Israeli Ministry of Defense</x:v>
      </x:c>
      <x:c r="G580" s="51" t="str">
        <x:v>Company → state institution</x:v>
      </x:c>
      <x:c r="H580" s="51" t="str">
        <x:v>2024–present</x:v>
      </x:c>
      <x:c r="I580" s="51" t="str">
        <x:v>Strategic technology partnership</x:v>
      </x:c>
      <x:c r="J580" s="51" t="str">
        <x:v>INS-007</x:v>
      </x:c>
      <x:c r="K580" s="51" t="str">
        <x:v>Undisclosed</x:v>
      </x:c>
      <x:c r="L580" s="51" t="str">
        <x:v>Military/institutional data</x:v>
      </x:c>
      <x:c r="M580" s="51" t="str">
        <x:v>Operational software and decision support</x:v>
      </x:c>
      <x:c r="N580" s="51" t="str">
        <x:v>Private integration technology is embedded in sovereign military missions</x:v>
      </x:c>
      <x:c r="O580" s="51" t="str">
        <x:v>Informational; technological; enforcement</x:v>
      </x:c>
      <x:c r="P580" s="51" t="str">
        <x:v>E1</x:v>
      </x:c>
      <x:c r="Q580" s="51" t="str">
        <x:v>Very high</x:v>
      </x:c>
      <x:c r="R580" s="51" t="str">
        <x:v>SRC-030</x:v>
      </x:c>
      <x:c r="S580" s="51" t="str">
        <x:v>Palantir's filing confirms the partnership and purpose.</x:v>
      </x:c>
      <x:c r="T580" s="51" t="str">
        <x:v>Its exact role in every mission, targeting chain or alleged violation.</x:v>
      </x:c>
      <x:c r="U580" s="51" t="str">
        <x:v>Public scope remains limited.</x:v>
      </x:c>
      <x:c r="V580" s="51" t="str">
        <x:v>Active</x:v>
      </x:c>
      <x:c r="W580" s="51" t="str">
        <x:v>57</x:v>
      </x:c>
      <x:c r="X580" s="51" t="str">
        <x:v>2026-07-27</x:v>
      </x:c>
    </x:row>
    <x:row r="581">
      <x:c r="A581" s="51" t="str">
        <x:v>PAL-002</x:v>
      </x:c>
      <x:c r="B581" s="51" t="str">
        <x:v>Defence technology</x:v>
      </x:c>
      <x:c r="C581" s="51" t="str">
        <x:v>ACT-PETERTHIEL</x:v>
      </x:c>
      <x:c r="D581" s="51" t="str">
        <x:v>Peter Thiel</x:v>
      </x:c>
      <x:c r="E581" s="51" t="str">
        <x:v>ACT-ISRAELIMINISTRYOFDEFENSE</x:v>
      </x:c>
      <x:c r="F581" s="51" t="str">
        <x:v>Israeli Ministry of Defense</x:v>
      </x:c>
      <x:c r="G581" s="51" t="str">
        <x:v>Person → institution</x:v>
      </x:c>
      <x:c r="H581" s="51" t="str">
        <x:v>2024-01</x:v>
      </x:c>
      <x:c r="I581" s="51" t="str">
        <x:v>Executive meeting / access</x:v>
      </x:c>
      <x:c r="J581" s="51" t="str"/>
      <x:c r="K581" s="51" t="str">
        <x:v>Undisclosed</x:v>
      </x:c>
      <x:c r="L581" s="51" t="str">
        <x:v>Founder status and network</x:v>
      </x:c>
      <x:c r="M581" s="51" t="str">
        <x:v>Institutional engagement</x:v>
      </x:c>
      <x:c r="N581" s="51" t="str">
        <x:v>Elite access connects corporate leadership to procurement environments</x:v>
      </x:c>
      <x:c r="O581" s="51" t="str">
        <x:v>Relational; institutional</x:v>
      </x:c>
      <x:c r="P581" s="51" t="str">
        <x:v>E2</x:v>
      </x:c>
      <x:c r="Q581" s="51" t="str">
        <x:v>High</x:v>
      </x:c>
      <x:c r="R581" s="51" t="str">
        <x:v>SRC-030</x:v>
      </x:c>
      <x:c r="S581" s="51" t="str">
        <x:v>Thiel participated in the Tel Aviv engagement around the partnership.</x:v>
      </x:c>
      <x:c r="T581" s="51" t="str">
        <x:v>Israeli command over Thiel or a covert intelligence role.</x:v>
      </x:c>
      <x:c r="U581" s="51" t="str">
        <x:v>Founder participation can be ordinary business development.</x:v>
      </x:c>
      <x:c r="V581" s="51" t="str">
        <x:v>Documented</x:v>
      </x:c>
      <x:c r="W581" s="51" t="str">
        <x:v>57</x:v>
      </x:c>
      <x:c r="X581" s="51" t="str">
        <x:v>2026-07-27</x:v>
      </x:c>
    </x:row>
    <x:row r="582">
      <x:c r="A582" s="51" t="str">
        <x:v>PAL-003</x:v>
      </x:c>
      <x:c r="B582" s="51" t="str">
        <x:v>Defence technology</x:v>
      </x:c>
      <x:c r="C582" s="51" t="str">
        <x:v>ACT-ALEXKARP</x:v>
      </x:c>
      <x:c r="D582" s="51" t="str">
        <x:v>Alex Karp</x:v>
      </x:c>
      <x:c r="E582" s="51" t="str">
        <x:v>ACT-ISRAELIMINISTRYOFDEFENSE</x:v>
      </x:c>
      <x:c r="F582" s="51" t="str">
        <x:v>Israeli Ministry of Defense</x:v>
      </x:c>
      <x:c r="G582" s="51" t="str">
        <x:v>Person → institution</x:v>
      </x:c>
      <x:c r="H582" s="51" t="str">
        <x:v>2024-01</x:v>
      </x:c>
      <x:c r="I582" s="51" t="str">
        <x:v>Executive meeting / access</x:v>
      </x:c>
      <x:c r="J582" s="51" t="str"/>
      <x:c r="K582" s="51" t="str">
        <x:v>Undisclosed</x:v>
      </x:c>
      <x:c r="L582" s="51" t="str">
        <x:v>CEO authority</x:v>
      </x:c>
      <x:c r="M582" s="51" t="str">
        <x:v>Institutional engagement</x:v>
      </x:c>
      <x:c r="N582" s="51" t="str">
        <x:v>Executive relationships facilitate state–corporate contracting</x:v>
      </x:c>
      <x:c r="O582" s="51" t="str">
        <x:v>Relational; institutional</x:v>
      </x:c>
      <x:c r="P582" s="51" t="str">
        <x:v>E2</x:v>
      </x:c>
      <x:c r="Q582" s="51" t="str">
        <x:v>High</x:v>
      </x:c>
      <x:c r="R582" s="51" t="str">
        <x:v>SRC-030</x:v>
      </x:c>
      <x:c r="S582" s="51" t="str">
        <x:v>Karp participated and represented Palantir.</x:v>
      </x:c>
      <x:c r="T582" s="51" t="str">
        <x:v>Personal operational control over military decisions.</x:v>
      </x:c>
      <x:c r="U582" s="51" t="str">
        <x:v>Contracts are executed by larger teams and state chains of command.</x:v>
      </x:c>
      <x:c r="V582" s="51" t="str">
        <x:v>Documented</x:v>
      </x:c>
      <x:c r="W582" s="51" t="str">
        <x:v>57</x:v>
      </x:c>
      <x:c r="X582" s="51" t="str">
        <x:v>2026-07-27</x:v>
      </x:c>
    </x:row>
    <x:row r="583">
      <x:c r="A583" s="51" t="str">
        <x:v>PAL-004</x:v>
      </x:c>
      <x:c r="B583" s="51" t="str">
        <x:v>Defence technology</x:v>
      </x:c>
      <x:c r="C583" s="51" t="str">
        <x:v>ACT-PALANTIRTECHNOLOGIES</x:v>
      </x:c>
      <x:c r="D583" s="51" t="str">
        <x:v>Palantir Technologies</x:v>
      </x:c>
      <x:c r="E583" s="51" t="str">
        <x:v>ACT-PROJECTMAVENMAVENSMARTSY</x:v>
      </x:c>
      <x:c r="F583" s="51" t="str">
        <x:v>Project Maven / Maven Smart System</x:v>
      </x:c>
      <x:c r="G583" s="51" t="str">
        <x:v>Company → programme</x:v>
      </x:c>
      <x:c r="H583" s="51" t="str">
        <x:v>2024–2029</x:v>
      </x:c>
      <x:c r="I583" s="51" t="str">
        <x:v>Defence software contract</x:v>
      </x:c>
      <x:c r="J583" s="51" t="str">
        <x:v>INS-008; INS-009</x:v>
      </x:c>
      <x:c r="K583" s="51" t="str">
        <x:v>Ceiling $480m → $1.3bn</x:v>
      </x:c>
      <x:c r="L583" s="51" t="str">
        <x:v>Integration software</x:v>
      </x:c>
      <x:c r="M583" s="51" t="str">
        <x:v>Military AI workflow</x:v>
      </x:c>
      <x:c r="N583" s="51" t="str">
        <x:v>Software converts heterogeneous sensors/reports into operational representations</x:v>
      </x:c>
      <x:c r="O583" s="51" t="str">
        <x:v>Informational; technological; enforcement</x:v>
      </x:c>
      <x:c r="P583" s="51" t="str">
        <x:v>E1</x:v>
      </x:c>
      <x:c r="Q583" s="51" t="str">
        <x:v>Very high</x:v>
      </x:c>
      <x:c r="R583" s="51" t="str">
        <x:v>SRC-031</x:v>
      </x:c>
      <x:c r="S583" s="51" t="str">
        <x:v>Palantir holds major Maven-related contracts and the ceiling increased.</x:v>
      </x:c>
      <x:c r="T583" s="51" t="str">
        <x:v>Sovereign command authority or autonomous lethal decisions.</x:v>
      </x:c>
      <x:c r="U583" s="51" t="str">
        <x:v>Human chains of command and other suppliers remain involved.</x:v>
      </x:c>
      <x:c r="V583" s="51" t="str">
        <x:v>Active</x:v>
      </x:c>
      <x:c r="W583" s="51" t="str">
        <x:v>57;71</x:v>
      </x:c>
      <x:c r="X583" s="51" t="str">
        <x:v>2026-07-27</x:v>
      </x:c>
    </x:row>
    <x:row r="584">
      <x:c r="A584" s="51" t="str">
        <x:v>PAL-005</x:v>
      </x:c>
      <x:c r="B584" s="51" t="str">
        <x:v>Defence technology</x:v>
      </x:c>
      <x:c r="C584" s="51" t="str">
        <x:v>ACT-USDEPARTMENTOFDEFENSE</x:v>
      </x:c>
      <x:c r="D584" s="51" t="str">
        <x:v>US Department of Defense</x:v>
      </x:c>
      <x:c r="E584" s="51" t="str">
        <x:v>ACT-PROJECTMAVENMAVENSMARTSY</x:v>
      </x:c>
      <x:c r="F584" s="51" t="str">
        <x:v>Project Maven / Maven Smart System</x:v>
      </x:c>
      <x:c r="G584" s="51" t="str">
        <x:v>Institution → programme</x:v>
      </x:c>
      <x:c r="H584" s="51" t="str">
        <x:v>2026</x:v>
      </x:c>
      <x:c r="I584" s="51" t="str">
        <x:v>Program-of-record designation</x:v>
      </x:c>
      <x:c r="J584" s="51" t="str">
        <x:v>INS-010</x:v>
      </x:c>
      <x:c r="K584" s="51" t="str">
        <x:v>Core programme</x:v>
      </x:c>
      <x:c r="L584" s="51" t="str">
        <x:v>Procurement authority and budget</x:v>
      </x:c>
      <x:c r="M584" s="51" t="str">
        <x:v>Long-term institutionalisation</x:v>
      </x:c>
      <x:c r="N584" s="51" t="str">
        <x:v>Formal programme status converts experimentation into durable infrastructure</x:v>
      </x:c>
      <x:c r="O584" s="51" t="str">
        <x:v>Institutional; enforcement; adaptive</x:v>
      </x:c>
      <x:c r="P584" s="51" t="str">
        <x:v>E1</x:v>
      </x:c>
      <x:c r="Q584" s="51" t="str">
        <x:v>High</x:v>
      </x:c>
      <x:c r="R584" s="51" t="str">
        <x:v>SRC-031</x:v>
      </x:c>
      <x:c r="S584" s="51" t="str">
        <x:v>A Pentagon memo reportedly directed Maven toward program-of-record status.</x:v>
      </x:c>
      <x:c r="T584" s="51" t="str">
        <x:v>Completed implementation across every service.</x:v>
      </x:c>
      <x:c r="U584" s="51" t="str">
        <x:v>Appropriations and implementation can change scope.</x:v>
      </x:c>
      <x:c r="V584" s="51" t="str">
        <x:v>Implementation</x:v>
      </x:c>
      <x:c r="W584" s="51" t="str">
        <x:v>57;71</x:v>
      </x:c>
      <x:c r="X584" s="51" t="str">
        <x:v>2026-07-27</x:v>
      </x:c>
    </x:row>
    <x:row r="585">
      <x:c r="A585" s="51" t="str">
        <x:v>PAL-006</x:v>
      </x:c>
      <x:c r="B585" s="51" t="str">
        <x:v>Defence technology</x:v>
      </x:c>
      <x:c r="C585" s="51" t="str">
        <x:v>ACT-NATIONALGEOSPATIALINTELL</x:v>
      </x:c>
      <x:c r="D585" s="51" t="str">
        <x:v>National Geospatial-Intelligence Agency</x:v>
      </x:c>
      <x:c r="E585" s="51" t="str">
        <x:v>ACT-CHIEFDIGITALANDARTIFICIA</x:v>
      </x:c>
      <x:c r="F585" s="51" t="str">
        <x:v>Chief Digital and Artificial Intelligence Office</x:v>
      </x:c>
      <x:c r="G585" s="51" t="str">
        <x:v>A → B</x:v>
      </x:c>
      <x:c r="H585" s="51" t="str">
        <x:v>2026 planned</x:v>
      </x:c>
      <x:c r="I585" s="51" t="str">
        <x:v>Programme-management transfer</x:v>
      </x:c>
      <x:c r="J585" s="51" t="str">
        <x:v>INS-010</x:v>
      </x:c>
      <x:c r="K585" s="51" t="str">
        <x:v>Programme-wide</x:v>
      </x:c>
      <x:c r="L585" s="51" t="str">
        <x:v>Existing programme authority</x:v>
      </x:c>
      <x:c r="M585" s="51" t="str">
        <x:v>Central DoD AI oversight</x:v>
      </x:c>
      <x:c r="N585" s="51" t="str">
        <x:v>Institutional transfer changes authority and integration pathways</x:v>
      </x:c>
      <x:c r="O585" s="51" t="str">
        <x:v>Institutional; relational</x:v>
      </x:c>
      <x:c r="P585" s="51" t="str">
        <x:v>E1</x:v>
      </x:c>
      <x:c r="Q585" s="51" t="str">
        <x:v>High</x:v>
      </x:c>
      <x:c r="R585" s="51" t="str">
        <x:v>SRC-031</x:v>
      </x:c>
      <x:c r="S585" s="51" t="str">
        <x:v>Reuters reported the planned transfer.</x:v>
      </x:c>
      <x:c r="T585" s="51" t="str">
        <x:v>Immediate operational change or exclusive CDAO control.</x:v>
      </x:c>
      <x:c r="U585" s="51" t="str">
        <x:v>Transition details can evolve.</x:v>
      </x:c>
      <x:c r="V585" s="51" t="str">
        <x:v>Planned</x:v>
      </x:c>
      <x:c r="W585" s="51" t="str">
        <x:v>71</x:v>
      </x:c>
      <x:c r="X585" s="51" t="str">
        <x:v>2026-07-27</x:v>
      </x:c>
    </x:row>
    <x:row r="586">
      <x:c r="A586" s="51" t="str">
        <x:v>PAL-007</x:v>
      </x:c>
      <x:c r="B586" s="51" t="str">
        <x:v>Defence technology</x:v>
      </x:c>
      <x:c r="C586" s="51" t="str">
        <x:v>ACT-UNITEDSTATESARMY</x:v>
      </x:c>
      <x:c r="D586" s="51" t="str">
        <x:v>United States Army</x:v>
      </x:c>
      <x:c r="E586" s="51" t="str">
        <x:v>ACT-PALANTIRTECHNOLOGIES</x:v>
      </x:c>
      <x:c r="F586" s="51" t="str">
        <x:v>Palantir Technologies</x:v>
      </x:c>
      <x:c r="G586" s="51" t="str">
        <x:v>Institution → company</x:v>
      </x:c>
      <x:c r="H586" s="51" t="str">
        <x:v>2026 planned</x:v>
      </x:c>
      <x:c r="I586" s="51" t="str">
        <x:v>Future contracting authority</x:v>
      </x:c>
      <x:c r="J586" s="51" t="str">
        <x:v>INS-010</x:v>
      </x:c>
      <x:c r="K586" s="51" t="str">
        <x:v>Programme contracting</x:v>
      </x:c>
      <x:c r="L586" s="51" t="str">
        <x:v>Army acquisition authority</x:v>
      </x:c>
      <x:c r="M586" s="51" t="str">
        <x:v>Long-term contract channel</x:v>
      </x:c>
      <x:c r="N586" s="51" t="str">
        <x:v>Procurement assignment embeds private capability in military institutions</x:v>
      </x:c>
      <x:c r="O586" s="51" t="str">
        <x:v>Institutional; financial; enforcement</x:v>
      </x:c>
      <x:c r="P586" s="51" t="str">
        <x:v>E1</x:v>
      </x:c>
      <x:c r="Q586" s="51" t="str">
        <x:v>High</x:v>
      </x:c>
      <x:c r="R586" s="51" t="str">
        <x:v>SRC-031</x:v>
      </x:c>
      <x:c r="S586" s="51" t="str">
        <x:v>Reuters reported future contracting would be handled by the Army.</x:v>
      </x:c>
      <x:c r="T586" s="51" t="str">
        <x:v>An unlimited or exclusive contract.</x:v>
      </x:c>
      <x:c r="U586" s="51" t="str">
        <x:v>Competition and task orders may constrain implementation.</x:v>
      </x:c>
      <x:c r="V586" s="51" t="str">
        <x:v>Planned</x:v>
      </x:c>
      <x:c r="W586" s="51" t="str">
        <x:v>71</x:v>
      </x:c>
      <x:c r="X586" s="51" t="str">
        <x:v>2026-07-27</x:v>
      </x:c>
    </x:row>
    <x:row r="587">
      <x:c r="A587" s="51" t="str">
        <x:v>PAL-008</x:v>
      </x:c>
      <x:c r="B587" s="51" t="str">
        <x:v>Defence technology</x:v>
      </x:c>
      <x:c r="C587" s="51" t="str">
        <x:v>ACT-PROJECTMAVENMAVENSMARTSY</x:v>
      </x:c>
      <x:c r="D587" s="51" t="str">
        <x:v>Project Maven / Maven Smart System</x:v>
      </x:c>
      <x:c r="E587" s="51" t="str">
        <x:v>ACT-USDEPARTMENTOFDEFENSE</x:v>
      </x:c>
      <x:c r="F587" s="51" t="str">
        <x:v>US Department of Defense</x:v>
      </x:c>
      <x:c r="G587" s="51" t="str">
        <x:v>Programme → institution</x:v>
      </x:c>
      <x:c r="H587" s="51" t="str">
        <x:v>Ongoing</x:v>
      </x:c>
      <x:c r="I587" s="51" t="str">
        <x:v>Operational decision support</x:v>
      </x:c>
      <x:c r="J587" s="51" t="str"/>
      <x:c r="K587" s="51" t="str">
        <x:v>Programme-wide</x:v>
      </x:c>
      <x:c r="L587" s="51" t="str">
        <x:v>Imagery, sensors and reports</x:v>
      </x:c>
      <x:c r="M587" s="51" t="str">
        <x:v>Priorities and common operating picture</x:v>
      </x:c>
      <x:c r="N587" s="51" t="str">
        <x:v>The programme structures what analysts and commanders see</x:v>
      </x:c>
      <x:c r="O587" s="51" t="str">
        <x:v>Informational; enforcement; adaptive</x:v>
      </x:c>
      <x:c r="P587" s="51" t="str">
        <x:v>S1</x:v>
      </x:c>
      <x:c r="Q587" s="51" t="str">
        <x:v>High</x:v>
      </x:c>
      <x:c r="R587" s="51" t="str">
        <x:v>SRC-031</x:v>
      </x:c>
      <x:c r="S587" s="51" t="str">
        <x:v>Maven is a military AI/data-integration programme.</x:v>
      </x:c>
      <x:c r="T587" s="51" t="str">
        <x:v>Machine-only targeting or removal of human authority.</x:v>
      </x:c>
      <x:c r="U587" s="51" t="str">
        <x:v>Uses range from logistics to targeting and vary by mission.</x:v>
      </x:c>
      <x:c r="V587" s="51" t="str">
        <x:v>Active</x:v>
      </x:c>
      <x:c r="W587" s="51" t="str">
        <x:v>57;71</x:v>
      </x:c>
      <x:c r="X587" s="51" t="str">
        <x:v>2026-07-27</x:v>
      </x:c>
    </x:row>
    <x:row r="588">
      <x:c r="A588" s="51" t="str">
        <x:v>PAL-009</x:v>
      </x:c>
      <x:c r="B588" s="51" t="str">
        <x:v>Defence technology</x:v>
      </x:c>
      <x:c r="C588" s="51" t="str">
        <x:v>ACT-ANTHROPIC</x:v>
      </x:c>
      <x:c r="D588" s="51" t="str">
        <x:v>Anthropic</x:v>
      </x:c>
      <x:c r="E588" s="51" t="str">
        <x:v>ACT-PALANTIRTECHNOLOGIES</x:v>
      </x:c>
      <x:c r="F588" s="51" t="str">
        <x:v>Palantir Technologies</x:v>
      </x:c>
      <x:c r="G588" s="51" t="str">
        <x:v>Company ↔ company</x:v>
      </x:c>
      <x:c r="H588" s="51" t="str">
        <x:v>By 2026</x:v>
      </x:c>
      <x:c r="I588" s="51" t="str">
        <x:v>AI deployment partnership / access channel</x:v>
      </x:c>
      <x:c r="J588" s="51" t="str">
        <x:v>INS-011</x:v>
      </x:c>
      <x:c r="K588" s="51" t="str">
        <x:v>Undisclosed</x:v>
      </x:c>
      <x:c r="L588" s="51" t="str">
        <x:v>Claude models and government infrastructure</x:v>
      </x:c>
      <x:c r="M588" s="51" t="str">
        <x:v>Model access in classified workflows</x:v>
      </x:c>
      <x:c r="N588" s="51" t="str">
        <x:v>A platform integrator connects frontier models to sovereign data</x:v>
      </x:c>
      <x:c r="O588" s="51" t="str">
        <x:v>Technological; informational; relational</x:v>
      </x:c>
      <x:c r="P588" s="51" t="str">
        <x:v>E2</x:v>
      </x:c>
      <x:c r="Q588" s="51" t="str">
        <x:v>High</x:v>
      </x:c>
      <x:c r="R588" s="51" t="str">
        <x:v>SRC-032</x:v>
      </x:c>
      <x:c r="S588" s="51" t="str">
        <x:v>Reuters reported Claude access through a Palantir partnership.</x:v>
      </x:c>
      <x:c r="T588" s="51" t="str">
        <x:v>Palantir ownership of Anthropic or unrestricted military use.</x:v>
      </x:c>
      <x:c r="U588" s="51" t="str">
        <x:v>Usage policies and government requirements may conflict.</x:v>
      </x:c>
      <x:c r="V588" s="51" t="str">
        <x:v>Active / contested</x:v>
      </x:c>
      <x:c r="W588" s="51" t="str">
        <x:v>57;71</x:v>
      </x:c>
      <x:c r="X588" s="51" t="str">
        <x:v>2026-07-27</x:v>
      </x:c>
    </x:row>
    <x:row r="589">
      <x:c r="A589" s="51" t="str">
        <x:v>PAL-010</x:v>
      </x:c>
      <x:c r="B589" s="51" t="str">
        <x:v>Defence technology</x:v>
      </x:c>
      <x:c r="C589" s="51" t="str">
        <x:v>ACT-CLAUDE</x:v>
      </x:c>
      <x:c r="D589" s="51" t="str">
        <x:v>Claude</x:v>
      </x:c>
      <x:c r="E589" s="51" t="str">
        <x:v>ACT-VENEZUELA</x:v>
      </x:c>
      <x:c r="F589" s="51" t="str">
        <x:v>Venezuela</x:v>
      </x:c>
      <x:c r="G589" s="51" t="str">
        <x:v>Model → operation theatre</x:v>
      </x:c>
      <x:c r="H589" s="51" t="str">
        <x:v>Reported 2026-01</x:v>
      </x:c>
      <x:c r="I589" s="51" t="str">
        <x:v>Reported operational use</x:v>
      </x:c>
      <x:c r="J589" s="51" t="str">
        <x:v>INS-011</x:v>
      </x:c>
      <x:c r="K589" s="51" t="str">
        <x:v>Undisclosed</x:v>
      </x:c>
      <x:c r="L589" s="51" t="str">
        <x:v>Operational information</x:v>
      </x:c>
      <x:c r="M589" s="51" t="str">
        <x:v>AI-assisted analysis</x:v>
      </x:c>
      <x:c r="N589" s="51" t="str">
        <x:v>Frontier models may enter military workflows through private integration layers</x:v>
      </x:c>
      <x:c r="O589" s="51" t="str">
        <x:v>Informational; enforcement; adaptive</x:v>
      </x:c>
      <x:c r="P589" s="51" t="str">
        <x:v>A1</x:v>
      </x:c>
      <x:c r="Q589" s="51" t="str">
        <x:v>Moderate</x:v>
      </x:c>
      <x:c r="R589" s="51" t="str">
        <x:v>SRC-032</x:v>
      </x:c>
      <x:c r="S589" s="51" t="str">
        <x:v>Major outlets reported Claude use.</x:v>
      </x:c>
      <x:c r="T589" s="51" t="str">
        <x:v>Exact task, causal effect, autonomous selection or independent Reuters verification.</x:v>
      </x:c>
      <x:c r="U589" s="51" t="str">
        <x:v>The model may have performed limited analysis.</x:v>
      </x:c>
      <x:c r="V589" s="51" t="str">
        <x:v>Reported / unresolved</x:v>
      </x:c>
      <x:c r="W589" s="51" t="str">
        <x:v>57;71</x:v>
      </x:c>
      <x:c r="X589" s="51" t="str">
        <x:v>2026-07-27</x:v>
      </x:c>
    </x:row>
    <x:row r="590">
      <x:c r="A590" s="51" t="str">
        <x:v>PAL-011</x:v>
      </x:c>
      <x:c r="B590" s="51" t="str">
        <x:v>Defence technology</x:v>
      </x:c>
      <x:c r="C590" s="51" t="str">
        <x:v>ACT-USDEPARTMENTOFDEFENSE</x:v>
      </x:c>
      <x:c r="D590" s="51" t="str">
        <x:v>US Department of Defense</x:v>
      </x:c>
      <x:c r="E590" s="51" t="str">
        <x:v>ACT-NICOLSMADURO</x:v>
      </x:c>
      <x:c r="F590" s="51" t="str">
        <x:v>Nicolás Maduro</x:v>
      </x:c>
      <x:c r="G590" s="51" t="str">
        <x:v>State → person</x:v>
      </x:c>
      <x:c r="H590" s="51" t="str">
        <x:v>2026-01</x:v>
      </x:c>
      <x:c r="I590" s="51" t="str">
        <x:v>Military/law-enforcement operation</x:v>
      </x:c>
      <x:c r="J590" s="51" t="str">
        <x:v>INS-011</x:v>
      </x:c>
      <x:c r="K590" s="51" t="str">
        <x:v>Undisclosed</x:v>
      </x:c>
      <x:c r="L590" s="51" t="str">
        <x:v>Sovereign intelligence and force</x:v>
      </x:c>
      <x:c r="M590" s="51" t="str">
        <x:v>Capture/removal of target</x:v>
      </x:c>
      <x:c r="N590" s="51" t="str">
        <x:v>State authority converts intelligence/planning into coercion</x:v>
      </x:c>
      <x:c r="O590" s="51" t="str">
        <x:v>Enforcement; military</x:v>
      </x:c>
      <x:c r="P590" s="51" t="str">
        <x:v>E2</x:v>
      </x:c>
      <x:c r="Q590" s="51" t="str">
        <x:v>High</x:v>
      </x:c>
      <x:c r="R590" s="51" t="str">
        <x:v>SRC-032</x:v>
      </x:c>
      <x:c r="S590" s="51" t="str">
        <x:v>A US operation involving Maduro was reported as context.</x:v>
      </x:c>
      <x:c r="T590" s="51" t="str">
        <x:v>Legal merits, exact chain or AI's causal role.</x:v>
      </x:c>
      <x:c r="U590" s="51" t="str">
        <x:v>Classified details remain unavailable.</x:v>
      </x:c>
      <x:c r="V590" s="51" t="str">
        <x:v>Reported</x:v>
      </x:c>
      <x:c r="W590" s="51" t="str">
        <x:v>57;71</x:v>
      </x:c>
      <x:c r="X590" s="51" t="str">
        <x:v>2026-07-27</x:v>
      </x:c>
    </x:row>
    <x:row r="591">
      <x:c r="A591" s="51" t="str">
        <x:v>PAL-012</x:v>
      </x:c>
      <x:c r="B591" s="51" t="str">
        <x:v>Defence technology</x:v>
      </x:c>
      <x:c r="C591" s="51" t="str">
        <x:v>ACT-PALANTIRTECHNOLOGIES</x:v>
      </x:c>
      <x:c r="D591" s="51" t="str">
        <x:v>Palantir Technologies</x:v>
      </x:c>
      <x:c r="E591" s="51" t="str">
        <x:v>ACT-GOVERNINGINSTITUTIONALNE</x:v>
      </x:c>
      <x:c r="F591" s="51" t="str">
        <x:v>Governing institutional networks</x:v>
      </x:c>
      <x:c r="G591" s="51" t="str">
        <x:v>Company → networks</x:v>
      </x:c>
      <x:c r="H591" s="51" t="str">
        <x:v>Ongoing</x:v>
      </x:c>
      <x:c r="I591" s="51" t="str">
        <x:v>Ontology / operational-platform dependence</x:v>
      </x:c>
      <x:c r="J591" s="51" t="str"/>
      <x:c r="K591" s="51" t="str">
        <x:v>Multiple contracts</x:v>
      </x:c>
      <x:c r="L591" s="51" t="str">
        <x:v>Fragmented government data</x:v>
      </x:c>
      <x:c r="M591" s="51" t="str">
        <x:v>Structured entities and actions</x:v>
      </x:c>
      <x:c r="N591" s="51" t="str">
        <x:v>Private software can become the interface through which sovereign institutions perceive reality</x:v>
      </x:c>
      <x:c r="O591" s="51" t="str">
        <x:v>Informational; relational; institutional</x:v>
      </x:c>
      <x:c r="P591" s="51" t="str">
        <x:v>S1</x:v>
      </x:c>
      <x:c r="Q591" s="51" t="str">
        <x:v>High</x:v>
      </x:c>
      <x:c r="R591" s="51" t="str">
        <x:v>SRC-030; SRC-031</x:v>
      </x:c>
      <x:c r="S591" s="51" t="str">
        <x:v>Palantir is embedded in government/military workflows.</x:v>
      </x:c>
      <x:c r="T591" s="51" t="str">
        <x:v>Formal transfer of sovereignty or infallible representation.</x:v>
      </x:c>
      <x:c r="U591" s="51" t="str">
        <x:v>Government users define policy and final action, but dependency can deepen.</x:v>
      </x:c>
      <x:c r="V591" s="51" t="str">
        <x:v>Active</x:v>
      </x:c>
      <x:c r="W591" s="51" t="str">
        <x:v>57;71;84</x:v>
      </x:c>
      <x:c r="X591" s="51" t="str">
        <x:v>2026-07-27</x:v>
      </x:c>
    </x:row>
    <x:row r="592">
      <x:c r="A592" s="51" t="str">
        <x:v>PAL-013</x:v>
      </x:c>
      <x:c r="B592" s="51" t="str">
        <x:v>Defence technology</x:v>
      </x:c>
      <x:c r="C592" s="51" t="str">
        <x:v>ACT-STATEOFISRAEL</x:v>
      </x:c>
      <x:c r="D592" s="51" t="str">
        <x:v>State of Israel</x:v>
      </x:c>
      <x:c r="E592" s="51" t="str">
        <x:v>ACT-PALANTIRTECHNOLOGIES</x:v>
      </x:c>
      <x:c r="F592" s="51" t="str">
        <x:v>Palantir Technologies</x:v>
      </x:c>
      <x:c r="G592" s="51" t="str">
        <x:v>State environment → company</x:v>
      </x:c>
      <x:c r="H592" s="51" t="str">
        <x:v>2024–present</x:v>
      </x:c>
      <x:c r="I592" s="51" t="str">
        <x:v>Operational demand and feedback</x:v>
      </x:c>
      <x:c r="J592" s="51" t="str">
        <x:v>INS-007</x:v>
      </x:c>
      <x:c r="K592" s="51" t="str">
        <x:v>Undisclosed</x:v>
      </x:c>
      <x:c r="L592" s="51" t="str">
        <x:v>Security demand and operational data</x:v>
      </x:c>
      <x:c r="M592" s="51" t="str">
        <x:v>Product learning and dependence</x:v>
      </x:c>
      <x:c r="N592" s="51" t="str">
        <x:v>Deployment environments can generate feedback improving workflows</x:v>
      </x:c>
      <x:c r="O592" s="51" t="str">
        <x:v>Technological; adaptive; relational</x:v>
      </x:c>
      <x:c r="P592" s="51" t="str">
        <x:v>S1</x:v>
      </x:c>
      <x:c r="Q592" s="51" t="str">
        <x:v>Moderate</x:v>
      </x:c>
      <x:c r="R592" s="51" t="str">
        <x:v>SRC-030; SRC-050</x:v>
      </x:c>
      <x:c r="S592" s="51" t="str">
        <x:v>Palantir provides technology in an active-war environment.</x:v>
      </x:c>
      <x:c r="T592" s="51" t="str">
        <x:v>Deliberate experimentation on civilians or automatic transfer into every product.</x:v>
      </x:c>
      <x:c r="U592" s="51" t="str">
        <x:v>Feedback pathways are not publicly detailed.</x:v>
      </x:c>
      <x:c r="V592" s="51" t="str">
        <x:v>Active</x:v>
      </x:c>
      <x:c r="W592" s="51" t="str">
        <x:v>57;71</x:v>
      </x:c>
      <x:c r="X592" s="51" t="str">
        <x:v>2026-07-27</x:v>
      </x:c>
    </x:row>
    <x:row r="593">
      <x:c r="A593" s="51" t="str">
        <x:v>PAL-014</x:v>
      </x:c>
      <x:c r="B593" s="51" t="str">
        <x:v>Defence technology</x:v>
      </x:c>
      <x:c r="C593" s="51" t="str">
        <x:v>ACT-GOVERNINGINSTITUTIONALNE</x:v>
      </x:c>
      <x:c r="D593" s="51" t="str">
        <x:v>Governing institutional networks</x:v>
      </x:c>
      <x:c r="E593" s="51" t="str">
        <x:v>ACT-PALANTIRTECHNOLOGIES</x:v>
      </x:c>
      <x:c r="F593" s="51" t="str">
        <x:v>Palantir Technologies</x:v>
      </x:c>
      <x:c r="G593" s="51" t="str">
        <x:v>Investor → company</x:v>
      </x:c>
      <x:c r="H593" s="51" t="str">
        <x:v>2024</x:v>
      </x:c>
      <x:c r="I593" s="51" t="str">
        <x:v>Divestment / investor concern</x:v>
      </x:c>
      <x:c r="J593" s="51" t="str"/>
      <x:c r="K593" s="51" t="str">
        <x:v>Undisclosed</x:v>
      </x:c>
      <x:c r="L593" s="51" t="str">
        <x:v>Human-rights and legal-risk concerns</x:v>
      </x:c>
      <x:c r="M593" s="51" t="str">
        <x:v>Capital/reputational consequence</x:v>
      </x:c>
      <x:c r="N593" s="51" t="str">
        <x:v>Investor governance can impose consequences on defence-tech firms</x:v>
      </x:c>
      <x:c r="O593" s="51" t="str">
        <x:v>Financial; relational; narrative</x:v>
      </x:c>
      <x:c r="P593" s="51" t="str">
        <x:v>E2</x:v>
      </x:c>
      <x:c r="Q593" s="51" t="str">
        <x:v>High</x:v>
      </x:c>
      <x:c r="R593" s="51" t="str">
        <x:v>SRC-050</x:v>
      </x:c>
      <x:c r="S593" s="51" t="str">
        <x:v>A Norwegian asset manager divested over concerns about Israel work.</x:v>
      </x:c>
      <x:c r="T593" s="51" t="str">
        <x:v>Proof Palantir committed violations or universal investor consensus.</x:v>
      </x:c>
      <x:c r="U593" s="51" t="str">
        <x:v>Divestment reflects the investor's assessment.</x:v>
      </x:c>
      <x:c r="V593" s="51" t="str">
        <x:v>Historical</x:v>
      </x:c>
      <x:c r="W593" s="51" t="str">
        <x:v>57</x:v>
      </x:c>
      <x:c r="X593" s="51" t="str">
        <x:v>2026-07-27</x:v>
      </x:c>
    </x:row>
    <x:row r="594">
      <x:c r="A594" s="51" t="str">
        <x:v>PAL-015</x:v>
      </x:c>
      <x:c r="B594" s="51" t="str">
        <x:v>Evidence boundary</x:v>
      </x:c>
      <x:c r="C594" s="51" t="str">
        <x:v>ACT-PALANTIRTECHNOLOGIES</x:v>
      </x:c>
      <x:c r="D594" s="51" t="str">
        <x:v>Palantir Technologies</x:v>
      </x:c>
      <x:c r="E594" s="51" t="str">
        <x:v>ACT-USDEPARTMENTOFDEFENSE</x:v>
      </x:c>
      <x:c r="F594" s="51" t="str">
        <x:v>US Department of Defense</x:v>
      </x:c>
      <x:c r="G594" s="51" t="str">
        <x:v>Claim boundary</x:v>
      </x:c>
      <x:c r="H594" s="51" t="str">
        <x:v>Current review</x:v>
      </x:c>
      <x:c r="I594" s="51" t="str">
        <x:v>Unsupported sovereign-command claim</x:v>
      </x:c>
      <x:c r="J594" s="51" t="str"/>
      <x:c r="K594" s="51" t="str">
        <x:v>N/A</x:v>
      </x:c>
      <x:c r="L594" s="51" t="str">
        <x:v>Software capability</x:v>
      </x:c>
      <x:c r="M594" s="51" t="str">
        <x:v>Claimed autonomous command/target selection</x:v>
      </x:c>
      <x:c r="N594" s="51" t="str">
        <x:v>Supplier capability is misread as sovereign authority</x:v>
      </x:c>
      <x:c r="O594" s="51" t="str">
        <x:v>Informational; epistemic</x:v>
      </x:c>
      <x:c r="P594" s="51" t="str">
        <x:v>U1</x:v>
      </x:c>
      <x:c r="Q594" s="51" t="str">
        <x:v>Very low</x:v>
      </x:c>
      <x:c r="R594" s="51" t="str">
        <x:v>SRC-030; SRC-031</x:v>
      </x:c>
      <x:c r="S594" s="51" t="str">
        <x:v>Palantir supplies major operational software.</x:v>
      </x:c>
      <x:c r="T594" s="51" t="str">
        <x:v>Palantir independently commands US/Israeli force or selects all targets.</x:v>
      </x:c>
      <x:c r="U594" s="51" t="str">
        <x:v>Final authority remains institutionally distributed, though dependency needs scrutiny.</x:v>
      </x:c>
      <x:c r="V594" s="51" t="str">
        <x:v>Unsupported</x:v>
      </x:c>
      <x:c r="W594" s="51" t="str">
        <x:v>57;71</x:v>
      </x:c>
      <x:c r="X594" s="51" t="str">
        <x:v>2026-07-27</x:v>
      </x:c>
    </x:row>
    <x:row r="595">
      <x:c r="A595" s="51" t="str">
        <x:v>PAY-001</x:v>
      </x:c>
      <x:c r="B595" s="51" t="str">
        <x:v>Payment and settlement infrastructure</x:v>
      </x:c>
      <x:c r="C595" s="51" t="str">
        <x:v>ACT-THECLEARINGHOUSE</x:v>
      </x:c>
      <x:c r="D595" s="51" t="str">
        <x:v>The Clearing House</x:v>
      </x:c>
      <x:c r="E595" s="51" t="str">
        <x:v>ACT-CHIPS</x:v>
      </x:c>
      <x:c r="F595" s="51" t="str">
        <x:v>CHIPS</x:v>
      </x:c>
      <x:c r="G595" s="51" t="str">
        <x:v>Operator → system</x:v>
      </x:c>
      <x:c r="H595" s="51" t="str">
        <x:v>Ongoing</x:v>
      </x:c>
      <x:c r="I595" s="51" t="str">
        <x:v>Ownership and operation</x:v>
      </x:c>
      <x:c r="J595" s="51" t="str">
        <x:v>INS-047</x:v>
      </x:c>
      <x:c r="K595" s="51" t="str">
        <x:v>43 direct participants; $2.014tn average daily value in 2025</x:v>
      </x:c>
      <x:c r="L595" s="51" t="str">
        <x:v>Bank payment instructions and prefunding</x:v>
      </x:c>
      <x:c r="M595" s="51" t="str">
        <x:v>Final large-value dollar settlement</x:v>
      </x:c>
      <x:c r="N595" s="51" t="str">
        <x:v>Private-sector multilateral netting compresses liquidity while preserving final settlement</x:v>
      </x:c>
      <x:c r="O595" s="51" t="str">
        <x:v>Financial; institutional; informational</x:v>
      </x:c>
      <x:c r="P595" s="51" t="str">
        <x:v>E1</x:v>
      </x:c>
      <x:c r="Q595" s="51" t="str">
        <x:v>Very high</x:v>
      </x:c>
      <x:c r="R595" s="51" t="str">
        <x:v>SRC-101</x:v>
      </x:c>
      <x:c r="S595" s="51" t="str">
        <x:v>The Clearing House operates CHIPS and published its 2025 scale and liquidity results.</x:v>
      </x:c>
      <x:c r="T595" s="51" t="str">
        <x:v>Central-bank guarantee of every participant or access for every institution.</x:v>
      </x:c>
      <x:c r="U595" s="51" t="str">
        <x:v>CHIPS remains dependent on participants, legal rules and central-bank settlement links.</x:v>
      </x:c>
      <x:c r="V595" s="51" t="str">
        <x:v>Active</x:v>
      </x:c>
      <x:c r="W595" s="51" t="str">
        <x:v>39;57</x:v>
      </x:c>
      <x:c r="X595" s="51" t="str">
        <x:v>2026-07-27</x:v>
      </x:c>
    </x:row>
    <x:row r="596">
      <x:c r="A596" s="51" t="str">
        <x:v>PAY-002</x:v>
      </x:c>
      <x:c r="B596" s="51" t="str">
        <x:v>Payment and settlement infrastructure</x:v>
      </x:c>
      <x:c r="C596" s="51" t="str">
        <x:v>ACT-CHIPS</x:v>
      </x:c>
      <x:c r="D596" s="51" t="str">
        <x:v>CHIPS</x:v>
      </x:c>
      <x:c r="E596" s="51" t="str">
        <x:v>ACT-FEDWIREFUNDSSERVICE</x:v>
      </x:c>
      <x:c r="F596" s="51" t="str">
        <x:v>Fedwire Funds Service</x:v>
      </x:c>
      <x:c r="G596" s="51" t="str">
        <x:v>Parallel / complementary</x:v>
      </x:c>
      <x:c r="H596" s="51" t="str">
        <x:v>Ongoing</x:v>
      </x:c>
      <x:c r="I596" s="51" t="str">
        <x:v>Private net settlement and central-bank RTGS relationship</x:v>
      </x:c>
      <x:c r="J596" s="51" t="str">
        <x:v>INS-047; INS-048</x:v>
      </x:c>
      <x:c r="K596" s="51" t="str">
        <x:v>Multi-trillion-dollar daily systems</x:v>
      </x:c>
      <x:c r="L596" s="51" t="str">
        <x:v>Large-value dollar payments</x:v>
      </x:c>
      <x:c r="M596" s="51" t="str">
        <x:v>Final settlement and liquidity management</x:v>
      </x:c>
      <x:c r="N596" s="51" t="str">
        <x:v>The dollar system combines central-bank gross settlement with private liquidity-saving clearing</x:v>
      </x:c>
      <x:c r="O596" s="51" t="str">
        <x:v>Financial; institutional</x:v>
      </x:c>
      <x:c r="P596" s="51" t="str">
        <x:v>S1</x:v>
      </x:c>
      <x:c r="Q596" s="51" t="str">
        <x:v>High</x:v>
      </x:c>
      <x:c r="R596" s="51" t="str">
        <x:v>SRC-101; SRC-102; SRC-103</x:v>
      </x:c>
      <x:c r="S596" s="51" t="str">
        <x:v>CHIPS is the private-sector counterpart to Fedwire and both process large-value dollars.</x:v>
      </x:c>
      <x:c r="T596" s="51" t="str">
        <x:v>That the systems are interchangeable, owned by one actor or equally accessible.</x:v>
      </x:c>
      <x:c r="U596" s="51" t="str">
        <x:v>Different legal, liquidity and participant structures create distinct risk profiles.</x:v>
      </x:c>
      <x:c r="V596" s="51" t="str">
        <x:v>Active</x:v>
      </x:c>
      <x:c r="W596" s="51" t="str">
        <x:v>39;57</x:v>
      </x:c>
      <x:c r="X596" s="51" t="str">
        <x:v>2026-07-27</x:v>
      </x:c>
    </x:row>
    <x:row r="597">
      <x:c r="A597" s="51" t="str">
        <x:v>PAY-003</x:v>
      </x:c>
      <x:c r="B597" s="51" t="str">
        <x:v>Payment and settlement infrastructure</x:v>
      </x:c>
      <x:c r="C597" s="51" t="str">
        <x:v>ACT-FEDERALRESERVEFINANCIALS</x:v>
      </x:c>
      <x:c r="D597" s="51" t="str">
        <x:v>Federal Reserve Financial Services</x:v>
      </x:c>
      <x:c r="E597" s="51" t="str">
        <x:v>ACT-FEDWIREFUNDSSERVICE</x:v>
      </x:c>
      <x:c r="F597" s="51" t="str">
        <x:v>Fedwire Funds Service</x:v>
      </x:c>
      <x:c r="G597" s="51" t="str">
        <x:v>Operator → system</x:v>
      </x:c>
      <x:c r="H597" s="51" t="str">
        <x:v>Ongoing</x:v>
      </x:c>
      <x:c r="I597" s="51" t="str">
        <x:v>Central-bank service operation</x:v>
      </x:c>
      <x:c r="J597" s="51" t="str">
        <x:v>INS-048</x:v>
      </x:c>
      <x:c r="K597" s="51" t="str">
        <x:v>$1.148 quadrillion annual value in 2025</x:v>
      </x:c>
      <x:c r="L597" s="51" t="str">
        <x:v>Master-account balances and payment messages</x:v>
      </x:c>
      <x:c r="M597" s="51" t="str">
        <x:v>Real-time final dollar settlement</x:v>
      </x:c>
      <x:c r="N597" s="51" t="str">
        <x:v>Central-bank ledger access converts bank instructions into legally final payment</x:v>
      </x:c>
      <x:c r="O597" s="51" t="str">
        <x:v>Financial; institutional; enforcement</x:v>
      </x:c>
      <x:c r="P597" s="51" t="str">
        <x:v>E1</x:v>
      </x:c>
      <x:c r="Q597" s="51" t="str">
        <x:v>Very high</x:v>
      </x:c>
      <x:c r="R597" s="51" t="str">
        <x:v>SRC-102; SRC-103</x:v>
      </x:c>
      <x:c r="S597" s="51" t="str">
        <x:v>Federal Reserve Banks operate Fedwire and publish volume/value statistics.</x:v>
      </x:c>
      <x:c r="T597" s="51" t="str">
        <x:v>Retail access for the public or a guarantee of every underlying commercial transaction.</x:v>
      </x:c>
      <x:c r="U597" s="51" t="str">
        <x:v>Fedwire settles only the portion routed through participating institutions.</x:v>
      </x:c>
      <x:c r="V597" s="51" t="str">
        <x:v>Active</x:v>
      </x:c>
      <x:c r="W597" s="51" t="str">
        <x:v>39;57</x:v>
      </x:c>
      <x:c r="X597" s="51" t="str">
        <x:v>2026-07-27</x:v>
      </x:c>
    </x:row>
    <x:row r="598">
      <x:c r="A598" s="51" t="str">
        <x:v>PAY-004</x:v>
      </x:c>
      <x:c r="B598" s="51" t="str">
        <x:v>Payment and settlement infrastructure</x:v>
      </x:c>
      <x:c r="C598" s="51" t="str">
        <x:v>ACT-CLSGROUP</x:v>
      </x:c>
      <x:c r="D598" s="51" t="str">
        <x:v>CLS Group</x:v>
      </x:c>
      <x:c r="E598" s="51" t="str">
        <x:v>ACT-CLSSETTLEMENT</x:v>
      </x:c>
      <x:c r="F598" s="51" t="str">
        <x:v>CLSSettlement</x:v>
      </x:c>
      <x:c r="G598" s="51" t="str">
        <x:v>Operator → system</x:v>
      </x:c>
      <x:c r="H598" s="51" t="str">
        <x:v>Ongoing</x:v>
      </x:c>
      <x:c r="I598" s="51" t="str">
        <x:v>Ownership and operation</x:v>
      </x:c>
      <x:c r="J598" s="51" t="str">
        <x:v>INS-049</x:v>
      </x:c>
      <x:c r="K598" s="51" t="str">
        <x:v>Over $8tn daily current-system scale</x:v>
      </x:c>
      <x:c r="L598" s="51" t="str">
        <x:v>Matched FX payment obligations</x:v>
      </x:c>
      <x:c r="M598" s="51" t="str">
        <x:v>Payment-versus-payment finality</x:v>
      </x:c>
      <x:c r="N598" s="51" t="str">
        <x:v>Simultaneous settlement reduces principal risk and funding needs across currencies</x:v>
      </x:c>
      <x:c r="O598" s="51" t="str">
        <x:v>Financial; institutional; informational</x:v>
      </x:c>
      <x:c r="P598" s="51" t="str">
        <x:v>E1</x:v>
      </x:c>
      <x:c r="Q598" s="51" t="str">
        <x:v>Very high</x:v>
      </x:c>
      <x:c r="R598" s="51" t="str">
        <x:v>SRC-104; SRC-105</x:v>
      </x:c>
      <x:c r="S598" s="51" t="str">
        <x:v>CLS operates a global FX settlement system for major currencies.</x:v>
      </x:c>
      <x:c r="T598" s="51" t="str">
        <x:v>Coverage of every currency, trade or counterparty.</x:v>
      </x:c>
      <x:c r="U598" s="51" t="str">
        <x:v>Emerging-market and non-eligible currencies remain outside full PvP coverage.</x:v>
      </x:c>
      <x:c r="V598" s="51" t="str">
        <x:v>Active</x:v>
      </x:c>
      <x:c r="W598" s="51" t="str">
        <x:v>39;57</x:v>
      </x:c>
      <x:c r="X598" s="51" t="str">
        <x:v>2026-07-27</x:v>
      </x:c>
    </x:row>
    <x:row r="599">
      <x:c r="A599" s="51" t="str">
        <x:v>PAY-005</x:v>
      </x:c>
      <x:c r="B599" s="51" t="str">
        <x:v>Payment and settlement infrastructure</x:v>
      </x:c>
      <x:c r="C599" s="51" t="str">
        <x:v>ACT-VISA</x:v>
      </x:c>
      <x:c r="D599" s="51" t="str">
        <x:v>Visa</x:v>
      </x:c>
      <x:c r="E599" s="51" t="str">
        <x:v>ACT-CITIZENSANDLABOUR</x:v>
      </x:c>
      <x:c r="F599" s="51" t="str">
        <x:v>Citizens and labour</x:v>
      </x:c>
      <x:c r="G599" s="51" t="str">
        <x:v>Network → users</x:v>
      </x:c>
      <x:c r="H599" s="51" t="str">
        <x:v>Ongoing</x:v>
      </x:c>
      <x:c r="I599" s="51" t="str">
        <x:v>Card and digital-payment network</x:v>
      </x:c>
      <x:c r="J599" s="51" t="str">
        <x:v>INS-052</x:v>
      </x:c>
      <x:c r="K599" s="51" t="str">
        <x:v>$14.2tn payments volume; 257.5bn transactions in FY2025</x:v>
      </x:c>
      <x:c r="L599" s="51" t="str">
        <x:v>Credentials, merchant acceptance and bank authorisations</x:v>
      </x:c>
      <x:c r="M599" s="51" t="str">
        <x:v>Routed and processed payments</x:v>
      </x:c>
      <x:c r="N599" s="51" t="str">
        <x:v>Network scale converts common standards and acceptance into low-friction global payment access</x:v>
      </x:c>
      <x:c r="O599" s="51" t="str">
        <x:v>Financial; informational; relational</x:v>
      </x:c>
      <x:c r="P599" s="51" t="str">
        <x:v>E1</x:v>
      </x:c>
      <x:c r="Q599" s="51" t="str">
        <x:v>Very high</x:v>
      </x:c>
      <x:c r="R599" s="51" t="str">
        <x:v>SRC-111</x:v>
      </x:c>
      <x:c r="S599" s="51" t="str">
        <x:v>Visa operates a very large global payment network.</x:v>
      </x:c>
      <x:c r="T599" s="51" t="str">
        <x:v>Ownership of customer deposits, universal merchant access or sovereign monetary authority.</x:v>
      </x:c>
      <x:c r="U599" s="51" t="str">
        <x:v>Issuers, acquirers, merchants and regulators retain separate roles.</x:v>
      </x:c>
      <x:c r="V599" s="51" t="str">
        <x:v>Active</x:v>
      </x:c>
      <x:c r="W599" s="51" t="str">
        <x:v>36;57</x:v>
      </x:c>
      <x:c r="X599" s="51" t="str">
        <x:v>2026-07-27</x:v>
      </x:c>
    </x:row>
    <x:row r="600">
      <x:c r="A600" s="51" t="str">
        <x:v>PAY-006</x:v>
      </x:c>
      <x:c r="B600" s="51" t="str">
        <x:v>Payment and settlement infrastructure</x:v>
      </x:c>
      <x:c r="C600" s="51" t="str">
        <x:v>ACT-MASTERCARD</x:v>
      </x:c>
      <x:c r="D600" s="51" t="str">
        <x:v>Mastercard</x:v>
      </x:c>
      <x:c r="E600" s="51" t="str">
        <x:v>ACT-CITIZENSANDLABOUR</x:v>
      </x:c>
      <x:c r="F600" s="51" t="str">
        <x:v>Citizens and labour</x:v>
      </x:c>
      <x:c r="G600" s="51" t="str">
        <x:v>Network → users</x:v>
      </x:c>
      <x:c r="H600" s="51" t="str">
        <x:v>Ongoing</x:v>
      </x:c>
      <x:c r="I600" s="51" t="str">
        <x:v>Card and digital-payment network</x:v>
      </x:c>
      <x:c r="J600" s="51" t="str">
        <x:v>INS-053</x:v>
      </x:c>
      <x:c r="K600" s="51" t="str">
        <x:v>9% GDV growth and 15% cross-border growth in 2025</x:v>
      </x:c>
      <x:c r="L600" s="51" t="str">
        <x:v>Credentials, acceptance and bank authorisations</x:v>
      </x:c>
      <x:c r="M600" s="51" t="str">
        <x:v>Processed domestic and cross-border payments</x:v>
      </x:c>
      <x:c r="N600" s="51" t="str">
        <x:v>A platform acceptance network creates dependence through convenience and interoperability</x:v>
      </x:c>
      <x:c r="O600" s="51" t="str">
        <x:v>Financial; informational; relational</x:v>
      </x:c>
      <x:c r="P600" s="51" t="str">
        <x:v>E1</x:v>
      </x:c>
      <x:c r="Q600" s="51" t="str">
        <x:v>High</x:v>
      </x:c>
      <x:c r="R600" s="51" t="str">
        <x:v>SRC-112</x:v>
      </x:c>
      <x:c r="S600" s="51" t="str">
        <x:v>Mastercard reported strong network growth in 2025.</x:v>
      </x:c>
      <x:c r="T600" s="51" t="str">
        <x:v>Custody of all user funds or control over all issuing banks.</x:v>
      </x:c>
      <x:c r="U600" s="51" t="str">
        <x:v>Payment networks intermediate messages and rules but usually do not hold deposits.</x:v>
      </x:c>
      <x:c r="V600" s="51" t="str">
        <x:v>Active</x:v>
      </x:c>
      <x:c r="W600" s="51" t="str">
        <x:v>36;57</x:v>
      </x:c>
      <x:c r="X600" s="51" t="str">
        <x:v>2026-07-27</x:v>
      </x:c>
    </x:row>
    <x:row r="601">
      <x:c r="A601" s="51" t="str">
        <x:v>POLAI-001</x:v>
      </x:c>
      <x:c r="B601" s="51" t="str">
        <x:v>Export controls, sovereign AI and public policy</x:v>
      </x:c>
      <x:c r="C601" s="51" t="str">
        <x:v>ACT-DONALDTRUMP</x:v>
      </x:c>
      <x:c r="D601" s="51" t="str">
        <x:v>Donald Trump</x:v>
      </x:c>
      <x:c r="E601" s="51" t="str">
        <x:v>ACT-USAIACTIONPLANANDDATACEN</x:v>
      </x:c>
      <x:c r="F601" s="51" t="str">
        <x:v>US AI Action Plan and data-center permitting initiative</x:v>
      </x:c>
      <x:c r="G601" s="51" t="str">
        <x:v>President → policy framework</x:v>
      </x:c>
      <x:c r="H601" s="51" t="str">
        <x:v>2025 onward</x:v>
      </x:c>
      <x:c r="I601" s="51" t="str">
        <x:v>Executive policy direction</x:v>
      </x:c>
      <x:c r="J601" s="51" t="str">
        <x:v>INS-233</x:v>
      </x:c>
      <x:c r="K601" s="51" t="str">
        <x:v>National</x:v>
      </x:c>
      <x:c r="L601" s="51" t="str">
        <x:v>Presidential authority and industrial strategy</x:v>
      </x:c>
      <x:c r="M601" s="51" t="str">
        <x:v>Agency actions on AI infrastructure, energy and exports</x:v>
      </x:c>
      <x:c r="N601" s="51" t="str">
        <x:v>Executive leadership converts political objectives into permitting, energy and export policy priorities</x:v>
      </x:c>
      <x:c r="O601" s="51" t="str">
        <x:v>Political; institutional; geopolitical</x:v>
      </x:c>
      <x:c r="P601" s="51" t="str">
        <x:v>E1</x:v>
      </x:c>
      <x:c r="Q601" s="51" t="str">
        <x:v>Very high</x:v>
      </x:c>
      <x:c r="R601" s="51" t="str">
        <x:v>SRC-421; SRC-422; SRC-423</x:v>
      </x:c>
      <x:c r="S601" s="51" t="str">
        <x:v>The current president's administration issued the AI Action Plan and permitting action.</x:v>
      </x:c>
      <x:c r="T601" s="51" t="str">
        <x:v>Personal control over private companies or guaranteed implementation outcomes.</x:v>
      </x:c>
      <x:c r="U601" s="51" t="str">
        <x:v>Agencies, Congress, courts and private investment remain separate.</x:v>
      </x:c>
      <x:c r="V601" s="51" t="str">
        <x:v>Active</x:v>
      </x:c>
      <x:c r="W601" s="51" t="str">
        <x:v>46;57</x:v>
      </x:c>
      <x:c r="X601" s="51" t="str">
        <x:v>2026-07-27</x:v>
      </x:c>
    </x:row>
    <x:row r="602">
      <x:c r="A602" s="51" t="str">
        <x:v>POLAI-002</x:v>
      </x:c>
      <x:c r="B602" s="51" t="str">
        <x:v>Export controls, sovereign AI and public policy</x:v>
      </x:c>
      <x:c r="C602" s="51" t="str">
        <x:v>ACT-EXPORTCONTROLLICENSINGAU</x:v>
      </x:c>
      <x:c r="D602" s="51" t="str">
        <x:v>Export-control licensing authorities</x:v>
      </x:c>
      <x:c r="E602" s="51" t="str">
        <x:v>ACT-NVIDIA</x:v>
      </x:c>
      <x:c r="F602" s="51" t="str">
        <x:v>NVIDIA</x:v>
      </x:c>
      <x:c r="G602" s="51" t="str">
        <x:v>Regulator → chip supplier</x:v>
      </x:c>
      <x:c r="H602" s="51" t="str">
        <x:v>2025–2026</x:v>
      </x:c>
      <x:c r="I602" s="51" t="str">
        <x:v>Advanced-computing licence requirements and review policy</x:v>
      </x:c>
      <x:c r="J602" s="51" t="str">
        <x:v>INS-234</x:v>
      </x:c>
      <x:c r="K602" s="51" t="str">
        <x:v>Item- and customer-specific</x:v>
      </x:c>
      <x:c r="L602" s="51" t="str">
        <x:v>Chip performance, destination and ultimate-parent information</x:v>
      </x:c>
      <x:c r="M602" s="51" t="str">
        <x:v>Licence, denial or compliance obligation</x:v>
      </x:c>
      <x:c r="N602" s="51" t="str">
        <x:v>Export law converts chip architecture and customer identity into geopolitical permission</x:v>
      </x:c>
      <x:c r="O602" s="51" t="str">
        <x:v>Geopolitical; enforcement; technological</x:v>
      </x:c>
      <x:c r="P602" s="51" t="str">
        <x:v>E1</x:v>
      </x:c>
      <x:c r="Q602" s="51" t="str">
        <x:v>Very high</x:v>
      </x:c>
      <x:c r="R602" s="51" t="str">
        <x:v>SRC-424; SRC-425</x:v>
      </x:c>
      <x:c r="S602" s="51" t="str">
        <x:v>BIS requires licences for defined advanced computing items and revised review for H200-class exports to China.</x:v>
      </x:c>
      <x:c r="T602" s="51" t="str">
        <x:v>Permanent prohibition of all NVIDIA exports or identical treatment for every customer.</x:v>
      </x:c>
      <x:c r="U602" s="51" t="str">
        <x:v>Policies and licence conditions change.</x:v>
      </x:c>
      <x:c r="V602" s="51" t="str">
        <x:v>Active</x:v>
      </x:c>
      <x:c r="W602" s="51" t="str">
        <x:v>46;57</x:v>
      </x:c>
      <x:c r="X602" s="51" t="str">
        <x:v>2026-07-27</x:v>
      </x:c>
    </x:row>
    <x:row r="603">
      <x:c r="A603" s="51" t="str">
        <x:v>POLAI-003</x:v>
      </x:c>
      <x:c r="B603" s="51" t="str">
        <x:v>Export controls, sovereign AI and public policy</x:v>
      </x:c>
      <x:c r="C603" s="51" t="str">
        <x:v>ACT-AICOMPUTEEXPORTLICENCES</x:v>
      </x:c>
      <x:c r="D603" s="51" t="str">
        <x:v>AI compute export licences</x:v>
      </x:c>
      <x:c r="E603" s="51" t="str">
        <x:v>ACT-DATACENTERCUSTOMERSANDTE</x:v>
      </x:c>
      <x:c r="F603" s="51" t="str">
        <x:v>Data center customers and tenants</x:v>
      </x:c>
      <x:c r="G603" s="51" t="str">
        <x:v>Regulatory permission → customer</x:v>
      </x:c>
      <x:c r="H603" s="51" t="str">
        <x:v>Transaction-specific</x:v>
      </x:c>
      <x:c r="I603" s="51" t="str">
        <x:v>Licence-conditioned access to chips and servers</x:v>
      </x:c>
      <x:c r="J603" s="51" t="str">
        <x:v>INS-234</x:v>
      </x:c>
      <x:c r="K603" s="51" t="str">
        <x:v>Customer- and destination-specific</x:v>
      </x:c>
      <x:c r="L603" s="51" t="str">
        <x:v>Advanced-computing hardware and compliance commitments</x:v>
      </x:c>
      <x:c r="M603" s="51" t="str">
        <x:v>Lawful access to compute capacity</x:v>
      </x:c>
      <x:c r="N603" s="51" t="str">
        <x:v>Sovereign permission becomes an upstream input to private AI capability</x:v>
      </x:c>
      <x:c r="O603" s="51" t="str">
        <x:v>Geopolitical; technological; enforcement</x:v>
      </x:c>
      <x:c r="P603" s="51" t="str">
        <x:v>E1</x:v>
      </x:c>
      <x:c r="Q603" s="51" t="str">
        <x:v>High</x:v>
      </x:c>
      <x:c r="R603" s="51" t="str">
        <x:v>SRC-424; SRC-425; SRC-426</x:v>
      </x:c>
      <x:c r="S603" s="51" t="str">
        <x:v>Cross-border access to advanced compute depends on export-control status.</x:v>
      </x:c>
      <x:c r="T603" s="51" t="str">
        <x:v>Successful deployment, beneficial use or security compliance after shipment.</x:v>
      </x:c>
      <x:c r="U603" s="51" t="str">
        <x:v>Monitoring and end-use enforcement remain necessary.</x:v>
      </x:c>
      <x:c r="V603" s="51" t="str">
        <x:v>Active</x:v>
      </x:c>
      <x:c r="W603" s="51" t="str">
        <x:v>46;57</x:v>
      </x:c>
      <x:c r="X603" s="51" t="str">
        <x:v>2026-07-27</x:v>
      </x:c>
    </x:row>
    <x:row r="604">
      <x:c r="A604" s="51" t="str">
        <x:v>POLAI-004</x:v>
      </x:c>
      <x:c r="B604" s="51" t="str">
        <x:v>Export controls, sovereign AI and public policy</x:v>
      </x:c>
      <x:c r="C604" s="51" t="str">
        <x:v>ACT-EXPORTCONTROLLICENSINGAU</x:v>
      </x:c>
      <x:c r="D604" s="51" t="str">
        <x:v>Export-control licensing authorities</x:v>
      </x:c>
      <x:c r="E604" s="51" t="str">
        <x:v>ACT-MGX</x:v>
      </x:c>
      <x:c r="F604" s="51" t="str">
        <x:v>MGX</x:v>
      </x:c>
      <x:c r="G604" s="51" t="str">
        <x:v>US regulator → sovereign-linked AI investor</x:v>
      </x:c>
      <x:c r="H604" s="51" t="str">
        <x:v>2026 onward</x:v>
      </x:c>
      <x:c r="I604" s="51" t="str">
        <x:v>UAE advanced-computing access framework</x:v>
      </x:c>
      <x:c r="J604" s="51" t="str">
        <x:v>INS-234</x:v>
      </x:c>
      <x:c r="K604" s="51" t="str">
        <x:v>Defined UAE government and company eligibility</x:v>
      </x:c>
      <x:c r="L604" s="51" t="str">
        <x:v>Security commitments and investment framework</x:v>
      </x:c>
      <x:c r="M604" s="51" t="str">
        <x:v>Licence-free or eased access for approved advanced computing items</x:v>
      </x:c>
      <x:c r="N604" s="51" t="str">
        <x:v>Export controls can trade market access for security assurances and reciprocal infrastructure investment</x:v>
      </x:c>
      <x:c r="O604" s="51" t="str">
        <x:v>Geopolitical; financial; enforcement</x:v>
      </x:c>
      <x:c r="P604" s="51" t="str">
        <x:v>E1</x:v>
      </x:c>
      <x:c r="Q604" s="51" t="str">
        <x:v>High</x:v>
      </x:c>
      <x:c r="R604" s="51" t="str">
        <x:v>SRC-426</x:v>
      </x:c>
      <x:c r="S604" s="51" t="str">
        <x:v>Commerce announced eased controls for the UAE government and certain companies under the cooperation framework.</x:v>
      </x:c>
      <x:c r="T604" s="51" t="str">
        <x:v>Unrestricted access by all UAE entities or transfer of US policy control to MGX.</x:v>
      </x:c>
      <x:c r="U604" s="51" t="str">
        <x:v>Approvals apply to defined actors and conditions.</x:v>
      </x:c>
      <x:c r="V604" s="51" t="str">
        <x:v>Active policy</x:v>
      </x:c>
      <x:c r="W604" s="51" t="str">
        <x:v>46;57</x:v>
      </x:c>
      <x:c r="X604" s="51" t="str">
        <x:v>2026-07-27</x:v>
      </x:c>
    </x:row>
    <x:row r="605">
      <x:c r="A605" s="51" t="str">
        <x:v>POLAI-005</x:v>
      </x:c>
      <x:c r="B605" s="51" t="str">
        <x:v>Export controls, sovereign AI and public policy</x:v>
      </x:c>
      <x:c r="C605" s="51" t="str">
        <x:v>ACT-OPENAISTARGATE</x:v>
      </x:c>
      <x:c r="D605" s="51" t="str">
        <x:v>OpenAI Stargate</x:v>
      </x:c>
      <x:c r="E605" s="51" t="str">
        <x:v>ACT-SOVEREIGNAIINFRASTRUCTUR</x:v>
      </x:c>
      <x:c r="F605" s="51" t="str">
        <x:v>Sovereign AI infrastructure programmes</x:v>
      </x:c>
      <x:c r="G605" s="51" t="str">
        <x:v>Infrastructure platform → national programmes</x:v>
      </x:c>
      <x:c r="H605" s="51" t="str">
        <x:v>2025–2026</x:v>
      </x:c>
      <x:c r="I605" s="51" t="str">
        <x:v>Jurisdiction-specific Stargate partnerships</x:v>
      </x:c>
      <x:c r="J605" s="51" t="str">
        <x:v>INS-220</x:v>
      </x:c>
      <x:c r="K605" s="51" t="str">
        <x:v>UK and other country-specific programmes</x:v>
      </x:c>
      <x:c r="L605" s="51" t="str">
        <x:v>Models, local compute and policy agreements</x:v>
      </x:c>
      <x:c r="M605" s="51" t="str">
        <x:v>Sovereign or locally hosted AI capacity</x:v>
      </x:c>
      <x:c r="N605" s="51" t="str">
        <x:v>Model companies package compute and software as national infrastructure rather than only cloud APIs</x:v>
      </x:c>
      <x:c r="O605" s="51" t="str">
        <x:v>Geopolitical; technological; relational</x:v>
      </x:c>
      <x:c r="P605" s="51" t="str">
        <x:v>E1</x:v>
      </x:c>
      <x:c r="Q605" s="51" t="str">
        <x:v>High</x:v>
      </x:c>
      <x:c r="R605" s="51" t="str">
        <x:v>SRC-395; SRC-398</x:v>
      </x:c>
      <x:c r="S605" s="51" t="str">
        <x:v>OpenAI announced country-specific Stargate and sovereign-compute initiatives.</x:v>
      </x:c>
      <x:c r="T605" s="51" t="str">
        <x:v>National ownership of OpenAI or technological autonomy from foreign supply chains.</x:v>
      </x:c>
      <x:c r="U605" s="51" t="str">
        <x:v>Local hosting still depends on imported chips and software.</x:v>
      </x:c>
      <x:c r="V605" s="51" t="str">
        <x:v>Expanding</x:v>
      </x:c>
      <x:c r="W605" s="51" t="str">
        <x:v>46;57</x:v>
      </x:c>
      <x:c r="X605" s="51" t="str">
        <x:v>2026-07-27</x:v>
      </x:c>
    </x:row>
    <x:row r="606">
      <x:c r="A606" s="51" t="str">
        <x:v>POWERAI-001</x:v>
      </x:c>
      <x:c r="B606" s="51" t="str">
        <x:v>Data-center land, power and grid conversion</x:v>
      </x:c>
      <x:c r="C606" s="51" t="str">
        <x:v>ACT-OPENAISTARGATE</x:v>
      </x:c>
      <x:c r="D606" s="51" t="str">
        <x:v>OpenAI Stargate</x:v>
      </x:c>
      <x:c r="E606" s="51" t="str">
        <x:v>ACT-DATACENTERPOWERSUPPLIERS</x:v>
      </x:c>
      <x:c r="F606" s="51" t="str">
        <x:v>Data center power suppliers</x:v>
      </x:c>
      <x:c r="G606" s="51" t="str">
        <x:v>Compute platform → energy providers</x:v>
      </x:c>
      <x:c r="H606" s="51" t="str">
        <x:v>2025–2029</x:v>
      </x:c>
      <x:c r="I606" s="51" t="str">
        <x:v>Power procurement and generation development</x:v>
      </x:c>
      <x:c r="J606" s="51" t="str">
        <x:v>INS-220; INS-238</x:v>
      </x:c>
      <x:c r="K606" s="51" t="str">
        <x:v>More than 10GW planned/secured US infrastructure referenced in 2026 update</x:v>
      </x:c>
      <x:c r="L606" s="51" t="str">
        <x:v>AI capacity demand</x:v>
      </x:c>
      <x:c r="M606" s="51" t="str">
        <x:v>Generation, transmission and interconnection capacity</x:v>
      </x:c>
      <x:c r="N606" s="51" t="str">
        <x:v>Model demand is converted into long-term electricity and grid infrastructure commitments</x:v>
      </x:c>
      <x:c r="O606" s="51" t="str">
        <x:v>Material; financial; geopolitical</x:v>
      </x:c>
      <x:c r="P606" s="51" t="str">
        <x:v>E1</x:v>
      </x:c>
      <x:c r="Q606" s="51" t="str">
        <x:v>High</x:v>
      </x:c>
      <x:c r="R606" s="51" t="str">
        <x:v>SRC-395; SRC-397; SRC-421; SRC-422</x:v>
      </x:c>
      <x:c r="S606" s="51" t="str">
        <x:v>Stargate expansion requires large-scale power and data-center buildout.</x:v>
      </x:c>
      <x:c r="T606" s="51" t="str">
        <x:v>All generation already operational or one uniform power source.</x:v>
      </x:c>
      <x:c r="U606" s="51" t="str">
        <x:v>Site power arrangements differ and remain partly undisclosed.</x:v>
      </x:c>
      <x:c r="V606" s="51" t="str">
        <x:v>Active and expanding</x:v>
      </x:c>
      <x:c r="W606" s="51" t="str">
        <x:v>46;57</x:v>
      </x:c>
      <x:c r="X606" s="51" t="str">
        <x:v>2026-07-27</x:v>
      </x:c>
    </x:row>
    <x:row r="607">
      <x:c r="A607" s="51" t="str">
        <x:v>POWERAI-002</x:v>
      </x:c>
      <x:c r="B607" s="51" t="str">
        <x:v>Data-center land, power and grid conversion</x:v>
      </x:c>
      <x:c r="C607" s="51" t="str">
        <x:v>ACT-ABILENESTARGATECAMPUS</x:v>
      </x:c>
      <x:c r="D607" s="51" t="str">
        <x:v>Abilene Stargate campus</x:v>
      </x:c>
      <x:c r="E607" s="51" t="str">
        <x:v>ACT-OPENAI</x:v>
      </x:c>
      <x:c r="F607" s="51" t="str">
        <x:v>OpenAI</x:v>
      </x:c>
      <x:c r="G607" s="51" t="str">
        <x:v>Campus → model company</x:v>
      </x:c>
      <x:c r="H607" s="51" t="str">
        <x:v>2025 onward</x:v>
      </x:c>
      <x:c r="I607" s="51" t="str">
        <x:v>Training and inference capacity</x:v>
      </x:c>
      <x:c r="J607" s="51" t="str">
        <x:v>INS-220</x:v>
      </x:c>
      <x:c r="K607" s="51" t="str">
        <x:v>Initial flagship site</x:v>
      </x:c>
      <x:c r="L607" s="51" t="str">
        <x:v>Powered data halls, chips and networking</x:v>
      </x:c>
      <x:c r="M607" s="51" t="str">
        <x:v>Frontier-model compute service</x:v>
      </x:c>
      <x:c r="N607" s="51" t="str">
        <x:v>A regional land-and-power project becomes a core input to a globally deployed model company</x:v>
      </x:c>
      <x:c r="O607" s="51" t="str">
        <x:v>Technological; material; informational</x:v>
      </x:c>
      <x:c r="P607" s="51" t="str">
        <x:v>E1</x:v>
      </x:c>
      <x:c r="Q607" s="51" t="str">
        <x:v>High</x:v>
      </x:c>
      <x:c r="R607" s="51" t="str">
        <x:v>SRC-398; SRC-407</x:v>
      </x:c>
      <x:c r="S607" s="51" t="str">
        <x:v>The Abilene site is operating and serving OpenAI workloads.</x:v>
      </x:c>
      <x:c r="T607" s="51" t="str">
        <x:v>OpenAI ownership of all land, generation and facilities.</x:v>
      </x:c>
      <x:c r="U607" s="51" t="str">
        <x:v>The campus includes separate developers and infrastructure providers.</x:v>
      </x:c>
      <x:c r="V607" s="51" t="str">
        <x:v>Operational / expanding</x:v>
      </x:c>
      <x:c r="W607" s="51" t="str">
        <x:v>46;57</x:v>
      </x:c>
      <x:c r="X607" s="51" t="str">
        <x:v>2026-07-27</x:v>
      </x:c>
    </x:row>
    <x:row r="608">
      <x:c r="A608" s="51" t="str">
        <x:v>POWERAI-003</x:v>
      </x:c>
      <x:c r="B608" s="51" t="str">
        <x:v>Data-center land, power and grid conversion</x:v>
      </x:c>
      <x:c r="C608" s="51" t="str">
        <x:v>ACT-METAPLATFORMS</x:v>
      </x:c>
      <x:c r="D608" s="51" t="str">
        <x:v>Meta Platforms</x:v>
      </x:c>
      <x:c r="E608" s="51" t="str">
        <x:v>ACT-CONSTELLATIONENERGY</x:v>
      </x:c>
      <x:c r="F608" s="51" t="str">
        <x:v>Constellation Energy</x:v>
      </x:c>
      <x:c r="G608" s="51" t="str">
        <x:v>Data-center customer → power producer</x:v>
      </x:c>
      <x:c r="H608" s="51" t="str">
        <x:v>2025–2047</x:v>
      </x:c>
      <x:c r="I608" s="51" t="str">
        <x:v>Twenty-year nuclear energy agreement</x:v>
      </x:c>
      <x:c r="J608" s="51" t="str">
        <x:v>INS-231</x:v>
      </x:c>
      <x:c r="K608" s="51" t="str">
        <x:v>1,121MW plant; 30MW incremental capacity</x:v>
      </x:c>
      <x:c r="L608" s="51" t="str">
        <x:v>Long-term electricity demand</x:v>
      </x:c>
      <x:c r="M608" s="51" t="str">
        <x:v>Plant revenue certainty and power supply</x:v>
      </x:c>
      <x:c r="N608" s="51" t="str">
        <x:v>A hyperscaler converts predictable AI load into financial support for existing nuclear generation</x:v>
      </x:c>
      <x:c r="O608" s="51" t="str">
        <x:v>Material; financial; environmental</x:v>
      </x:c>
      <x:c r="P608" s="51" t="str">
        <x:v>E1</x:v>
      </x:c>
      <x:c r="Q608" s="51" t="str">
        <x:v>Very high</x:v>
      </x:c>
      <x:c r="R608" s="51" t="str">
        <x:v>SRC-417</x:v>
      </x:c>
      <x:c r="S608" s="51" t="str">
        <x:v>Meta and Constellation signed a twenty-year agreement supporting the Clinton plant.</x:v>
      </x:c>
      <x:c r="T608" s="51" t="str">
        <x:v>Physical delivery of every electron directly to Meta or ownership of the plant.</x:v>
      </x:c>
      <x:c r="U608" s="51" t="str">
        <x:v>Grid accounting and contract structure govern attribution.</x:v>
      </x:c>
      <x:c r="V608" s="51" t="str">
        <x:v>Signed; starts 2027</x:v>
      </x:c>
      <x:c r="W608" s="51" t="str">
        <x:v>46;57</x:v>
      </x:c>
      <x:c r="X608" s="51" t="str">
        <x:v>2026-07-27</x:v>
      </x:c>
    </x:row>
    <x:row r="609">
      <x:c r="A609" s="51" t="str">
        <x:v>POWERAI-004</x:v>
      </x:c>
      <x:c r="B609" s="51" t="str">
        <x:v>Data-center land, power and grid conversion</x:v>
      </x:c>
      <x:c r="C609" s="51" t="str">
        <x:v>ACT-METAPLATFORMS</x:v>
      </x:c>
      <x:c r="D609" s="51" t="str">
        <x:v>Meta Platforms</x:v>
      </x:c>
      <x:c r="E609" s="51" t="str">
        <x:v>ACT-LOCALDATACENTERHOSTCOMMU</x:v>
      </x:c>
      <x:c r="F609" s="51" t="str">
        <x:v>Local data-center host communities</x:v>
      </x:c>
      <x:c r="G609" s="51" t="str">
        <x:v>Company → communities</x:v>
      </x:c>
      <x:c r="H609" s="51" t="str">
        <x:v>2025–2028</x:v>
      </x:c>
      <x:c r="I609" s="51" t="str">
        <x:v>Data-center construction, infrastructure and grants</x:v>
      </x:c>
      <x:c r="J609" s="51" t="str">
        <x:v>INS-230</x:v>
      </x:c>
      <x:c r="K609" s="51" t="str">
        <x:v>More than $600 billion US commitment includes infrastructure and jobs</x:v>
      </x:c>
      <x:c r="L609" s="51" t="str">
        <x:v>Land, workforce, utilities and permits</x:v>
      </x:c>
      <x:c r="M609" s="51" t="str">
        <x:v>Data-center campuses and local investment</x:v>
      </x:c>
      <x:c r="N609" s="51" t="str">
        <x:v>AI infrastructure converts local land, grid and labour into global platform capacity</x:v>
      </x:c>
      <x:c r="O609" s="51" t="str">
        <x:v>Material; financial; relational</x:v>
      </x:c>
      <x:c r="P609" s="51" t="str">
        <x:v>E1</x:v>
      </x:c>
      <x:c r="Q609" s="51" t="str">
        <x:v>High</x:v>
      </x:c>
      <x:c r="R609" s="51" t="str">
        <x:v>SRC-416</x:v>
      </x:c>
      <x:c r="S609" s="51" t="str">
        <x:v>Meta announced large US infrastructure investment and community spending.</x:v>
      </x:c>
      <x:c r="T609" s="51" t="str">
        <x:v>Equal local benefits or absence of water, rate and land-use costs.</x:v>
      </x:c>
      <x:c r="U609" s="51" t="str">
        <x:v>Project impacts vary by location and contract.</x:v>
      </x:c>
      <x:c r="V609" s="51" t="str">
        <x:v>Active</x:v>
      </x:c>
      <x:c r="W609" s="51" t="str">
        <x:v>46;57</x:v>
      </x:c>
      <x:c r="X609" s="51" t="str">
        <x:v>2026-07-27</x:v>
      </x:c>
    </x:row>
    <x:row r="610">
      <x:c r="A610" s="51" t="str">
        <x:v>POWERAI-005</x:v>
      </x:c>
      <x:c r="B610" s="51" t="str">
        <x:v>Data-center land, power and grid conversion</x:v>
      </x:c>
      <x:c r="C610" s="51" t="str">
        <x:v>ACT-GPUCLOUDPROVIDERS</x:v>
      </x:c>
      <x:c r="D610" s="51" t="str">
        <x:v>GPU cloud providers</x:v>
      </x:c>
      <x:c r="E610" s="51" t="str">
        <x:v>ACT-ELECTRICUTILITIESANDGRID</x:v>
      </x:c>
      <x:c r="F610" s="51" t="str">
        <x:v>Electric utilities and grid operators</x:v>
      </x:c>
      <x:c r="G610" s="51" t="str">
        <x:v>Large load → grid</x:v>
      </x:c>
      <x:c r="H610" s="51" t="str">
        <x:v>Ongoing</x:v>
      </x:c>
      <x:c r="I610" s="51" t="str">
        <x:v>Interconnection and electricity service</x:v>
      </x:c>
      <x:c r="J610" s="51" t="str">
        <x:v>INS-226; INS-238</x:v>
      </x:c>
      <x:c r="K610" s="51" t="str">
        <x:v>Sites can request gigawatt-scale capacity</x:v>
      </x:c>
      <x:c r="L610" s="51" t="str">
        <x:v>Contracted power and interconnection queue position</x:v>
      </x:c>
      <x:c r="M610" s="51" t="str">
        <x:v>Energised AI data-center capacity</x:v>
      </x:c>
      <x:c r="N610" s="51" t="str">
        <x:v>Grid access can become a harder bottleneck than acquiring chips or capital</x:v>
      </x:c>
      <x:c r="O610" s="51" t="str">
        <x:v>Material; institutional; financial</x:v>
      </x:c>
      <x:c r="P610" s="51" t="str">
        <x:v>E1</x:v>
      </x:c>
      <x:c r="Q610" s="51" t="str">
        <x:v>High</x:v>
      </x:c>
      <x:c r="R610" s="51" t="str">
        <x:v>SRC-410; SRC-427; SRC-428</x:v>
      </x:c>
      <x:c r="S610" s="51" t="str">
        <x:v>CoreWeave and other AI clouds report large active and contracted power while DOE identifies grid constraints.</x:v>
      </x:c>
      <x:c r="T610" s="51" t="str">
        <x:v>Uniform grid treatment or guaranteed energisation dates.</x:v>
      </x:c>
      <x:c r="U610" s="51" t="str">
        <x:v>Queue, transmission and generation conditions differ.</x:v>
      </x:c>
      <x:c r="V610" s="51" t="str">
        <x:v>Active constraint</x:v>
      </x:c>
      <x:c r="W610" s="51" t="str">
        <x:v>46;57</x:v>
      </x:c>
      <x:c r="X610" s="51" t="str">
        <x:v>2026-07-27</x:v>
      </x:c>
    </x:row>
    <x:row r="611">
      <x:c r="A611" s="51" t="str">
        <x:v>POWERAI-006</x:v>
      </x:c>
      <x:c r="B611" s="51" t="str">
        <x:v>Data-center land, power and grid conversion</x:v>
      </x:c>
      <x:c r="C611" s="51" t="str">
        <x:v>ACT-AIDATACENTERINTERCONNECT</x:v>
      </x:c>
      <x:c r="D611" s="51" t="str">
        <x:v>AI data-center interconnection queues</x:v>
      </x:c>
      <x:c r="E611" s="51" t="str">
        <x:v>ACT-DATACENTERDEVELOPERSANDO</x:v>
      </x:c>
      <x:c r="F611" s="51" t="str">
        <x:v>Data center developers and operators</x:v>
      </x:c>
      <x:c r="G611" s="51" t="str">
        <x:v>Grid process → developers</x:v>
      </x:c>
      <x:c r="H611" s="51" t="str">
        <x:v>Project-specific</x:v>
      </x:c>
      <x:c r="I611" s="51" t="str">
        <x:v>Studies, upgrades and connection agreements</x:v>
      </x:c>
      <x:c r="J611" s="51" t="str">
        <x:v>INS-238</x:v>
      </x:c>
      <x:c r="K611" s="51" t="str">
        <x:v>Multi-year, site-specific</x:v>
      </x:c>
      <x:c r="L611" s="51" t="str">
        <x:v>Load request and network studies</x:v>
      </x:c>
      <x:c r="M611" s="51" t="str">
        <x:v>Permission and cost allocation for grid connection</x:v>
      </x:c>
      <x:c r="N611" s="51" t="str">
        <x:v>Interconnection procedures convert an abstract power request into a scheduled, financed physical connection</x:v>
      </x:c>
      <x:c r="O611" s="51" t="str">
        <x:v>Institutional; material; financial</x:v>
      </x:c>
      <x:c r="P611" s="51" t="str">
        <x:v>S1</x:v>
      </x:c>
      <x:c r="Q611" s="51" t="str">
        <x:v>High</x:v>
      </x:c>
      <x:c r="R611" s="51" t="str">
        <x:v>SRC-428; SRC-429</x:v>
      </x:c>
      <x:c r="S611" s="51" t="str">
        <x:v>DOE identifies grid capacity and interconnection as barriers to data-center deployment.</x:v>
      </x:c>
      <x:c r="T611" s="51" t="str">
        <x:v>A single national queue or identical cost allocation.</x:v>
      </x:c>
      <x:c r="U611" s="51" t="str">
        <x:v>Utilities and regional operators use different rules.</x:v>
      </x:c>
      <x:c r="V611" s="51" t="str">
        <x:v>Active bottleneck</x:v>
      </x:c>
      <x:c r="W611" s="51" t="str">
        <x:v>46;57</x:v>
      </x:c>
      <x:c r="X611" s="51" t="str">
        <x:v>2026-07-27</x:v>
      </x:c>
    </x:row>
    <x:row r="612">
      <x:c r="A612" s="51" t="str">
        <x:v>POWERAI-007</x:v>
      </x:c>
      <x:c r="B612" s="51" t="str">
        <x:v>Data-center land, power and grid conversion</x:v>
      </x:c>
      <x:c r="C612" s="51" t="str">
        <x:v>ACT-AITRAININGCLUSTERS</x:v>
      </x:c>
      <x:c r="D612" s="51" t="str">
        <x:v>AI training clusters</x:v>
      </x:c>
      <x:c r="E612" s="51" t="str">
        <x:v>ACT-ELECTRICUTILITIESANDGRID</x:v>
      </x:c>
      <x:c r="F612" s="51" t="str">
        <x:v>Electric utilities and grid operators</x:v>
      </x:c>
      <x:c r="G612" s="51" t="str">
        <x:v>Compute load → grid</x:v>
      </x:c>
      <x:c r="H612" s="51" t="str">
        <x:v>Ongoing</x:v>
      </x:c>
      <x:c r="I612" s="51" t="str">
        <x:v>Dynamic electrical demand</x:v>
      </x:c>
      <x:c r="J612" s="51" t="str">
        <x:v>INS-238</x:v>
      </x:c>
      <x:c r="K612" s="51" t="str">
        <x:v>Thousands of synchronised accelerators per cluster</x:v>
      </x:c>
      <x:c r="L612" s="51" t="str">
        <x:v>Training schedules and accelerator utilisation</x:v>
      </x:c>
      <x:c r="M612" s="51" t="str">
        <x:v>Oscillating large electric load</x:v>
      </x:c>
      <x:c r="N612" s="51" t="str">
        <x:v>AI workloads create grid-quality and stability challenges beyond annual energy consumption</x:v>
      </x:c>
      <x:c r="O612" s="51" t="str">
        <x:v>Material; technological; institutional</x:v>
      </x:c>
      <x:c r="P612" s="51" t="str">
        <x:v>E1</x:v>
      </x:c>
      <x:c r="Q612" s="51" t="str">
        <x:v>High</x:v>
      </x:c>
      <x:c r="R612" s="51" t="str">
        <x:v>SRC-427</x:v>
      </x:c>
      <x:c r="S612" s="51" t="str">
        <x:v>DOE reports synchronised AI workloads can produce repetitive load oscillations.</x:v>
      </x:c>
      <x:c r="T612" s="51" t="str">
        <x:v>Instability at every site or unavoidable service interruption.</x:v>
      </x:c>
      <x:c r="U612" s="51" t="str">
        <x:v>Controls, storage and power electronics can mitigate effects.</x:v>
      </x:c>
      <x:c r="V612" s="51" t="str">
        <x:v>Active engineering issue</x:v>
      </x:c>
      <x:c r="W612" s="51" t="str">
        <x:v>46;57</x:v>
      </x:c>
      <x:c r="X612" s="51" t="str">
        <x:v>2026-07-27</x:v>
      </x:c>
    </x:row>
    <x:row r="613">
      <x:c r="A613" s="51" t="str">
        <x:v>PROC-001</x:v>
      </x:c>
      <x:c r="B613" s="51" t="str">
        <x:v>Public procurement and contract architecture</x:v>
      </x:c>
      <x:c r="C613" s="51" t="str">
        <x:v>ACT-FEDERALACQUISITIONREGULA</x:v>
      </x:c>
      <x:c r="D613" s="51" t="str">
        <x:v>Federal Acquisition Regulation</x:v>
      </x:c>
      <x:c r="E613" s="51" t="str">
        <x:v>ACT-FEDERALCONTRACTINGOFFICE</x:v>
      </x:c>
      <x:c r="F613" s="51" t="str">
        <x:v>Federal contracting officers</x:v>
      </x:c>
      <x:c r="G613" s="51" t="str">
        <x:v>Legal framework → officials</x:v>
      </x:c>
      <x:c r="H613" s="51" t="str">
        <x:v>Ongoing</x:v>
      </x:c>
      <x:c r="I613" s="51" t="str">
        <x:v>Procurement authority and constraints</x:v>
      </x:c>
      <x:c r="J613" s="51" t="str">
        <x:v>INS-137</x:v>
      </x:c>
      <x:c r="K613" s="51" t="str">
        <x:v>Governmentwide</x:v>
      </x:c>
      <x:c r="L613" s="51" t="str">
        <x:v>Appropriated funds and agency requirements</x:v>
      </x:c>
      <x:c r="M613" s="51" t="str">
        <x:v>Solicitations, negotiated terms, awards and oversight</x:v>
      </x:c>
      <x:c r="N613" s="51" t="str">
        <x:v>Procurement law converts legislative spending authority into executable purchasing decisions</x:v>
      </x:c>
      <x:c r="O613" s="51" t="str">
        <x:v>Institutional; financial; enforcement</x:v>
      </x:c>
      <x:c r="P613" s="51" t="str">
        <x:v>E1</x:v>
      </x:c>
      <x:c r="Q613" s="51" t="str">
        <x:v>Very high</x:v>
      </x:c>
      <x:c r="R613" s="51" t="str">
        <x:v>SRC-260; SRC-261</x:v>
      </x:c>
      <x:c r="S613" s="51" t="str">
        <x:v>The FAR is the primary acquisition regulation for executive agencies using appropriated funds.</x:v>
      </x:c>
      <x:c r="T613" s="51" t="str">
        <x:v>A single contract type or elimination of official discretion.</x:v>
      </x:c>
      <x:c r="U613" s="51" t="str">
        <x:v>Agency supplements and statutes add requirements.</x:v>
      </x:c>
      <x:c r="V613" s="51" t="str">
        <x:v>Active</x:v>
      </x:c>
      <x:c r="W613" s="51" t="str">
        <x:v>11;57</x:v>
      </x:c>
      <x:c r="X613" s="51" t="str">
        <x:v>2026-07-27</x:v>
      </x:c>
    </x:row>
    <x:row r="614">
      <x:c r="A614" s="51" t="str">
        <x:v>PROC-002</x:v>
      </x:c>
      <x:c r="B614" s="51" t="str">
        <x:v>Public procurement and contract architecture</x:v>
      </x:c>
      <x:c r="C614" s="51" t="str">
        <x:v>ACT-FEDERALCONTRACTINGOFFICE</x:v>
      </x:c>
      <x:c r="D614" s="51" t="str">
        <x:v>Federal contracting officers</x:v>
      </x:c>
      <x:c r="E614" s="51" t="str">
        <x:v>ACT-FEDERALCONTRACTORS</x:v>
      </x:c>
      <x:c r="F614" s="51" t="str">
        <x:v>Federal contractors</x:v>
      </x:c>
      <x:c r="G614" s="51" t="str">
        <x:v>Official → supplier</x:v>
      </x:c>
      <x:c r="H614" s="51" t="str">
        <x:v>Award-specific</x:v>
      </x:c>
      <x:c r="I614" s="51" t="str">
        <x:v>Contract award and administration</x:v>
      </x:c>
      <x:c r="J614" s="51" t="str">
        <x:v>INS-137</x:v>
      </x:c>
      <x:c r="K614" s="51" t="str">
        <x:v>Award-specific</x:v>
      </x:c>
      <x:c r="L614" s="51" t="str">
        <x:v>Agency requirement, competition and price analysis</x:v>
      </x:c>
      <x:c r="M614" s="51" t="str">
        <x:v>Legally binding obligation and performance duties</x:v>
      </x:c>
      <x:c r="N614" s="51" t="str">
        <x:v>A contracting officer converts public budget authority into a private revenue stream and delivery obligation</x:v>
      </x:c>
      <x:c r="O614" s="51" t="str">
        <x:v>Financial; institutional; relational</x:v>
      </x:c>
      <x:c r="P614" s="51" t="str">
        <x:v>E1</x:v>
      </x:c>
      <x:c r="Q614" s="51" t="str">
        <x:v>High</x:v>
      </x:c>
      <x:c r="R614" s="51" t="str">
        <x:v>SRC-260; SRC-261</x:v>
      </x:c>
      <x:c r="S614" s="51" t="str">
        <x:v>Federal contracting officers award and administer contracts under procurement rules.</x:v>
      </x:c>
      <x:c r="T614" s="51" t="str">
        <x:v>Guaranteed profit, successful performance or political favouritism.</x:v>
      </x:c>
      <x:c r="U614" s="51" t="str">
        <x:v>Competition, audit, protest and termination rules constrain the relationship.</x:v>
      </x:c>
      <x:c r="V614" s="51" t="str">
        <x:v>Active</x:v>
      </x:c>
      <x:c r="W614" s="51" t="str">
        <x:v>11;57</x:v>
      </x:c>
      <x:c r="X614" s="51" t="str">
        <x:v>2026-07-27</x:v>
      </x:c>
    </x:row>
    <x:row r="615">
      <x:c r="A615" s="51" t="str">
        <x:v>PROC-003</x:v>
      </x:c>
      <x:c r="B615" s="51" t="str">
        <x:v>Public procurement and contract architecture</x:v>
      </x:c>
      <x:c r="C615" s="51" t="str">
        <x:v>ACT-INDEFINITEDELIVERYINDEFI</x:v>
      </x:c>
      <x:c r="D615" s="51" t="str">
        <x:v>Indefinite-delivery indefinite-quantity contracts</x:v>
      </x:c>
      <x:c r="E615" s="51" t="str">
        <x:v>ACT-FEDERALCONTRACTORS</x:v>
      </x:c>
      <x:c r="F615" s="51" t="str">
        <x:v>Federal contractors</x:v>
      </x:c>
      <x:c r="G615" s="51" t="str">
        <x:v>Vehicle → contract holders</x:v>
      </x:c>
      <x:c r="H615" s="51" t="str">
        <x:v>Contract period</x:v>
      </x:c>
      <x:c r="I615" s="51" t="str">
        <x:v>Prequalified ordering relationship</x:v>
      </x:c>
      <x:c r="J615" s="51" t="str">
        <x:v>INS-138</x:v>
      </x:c>
      <x:c r="K615" s="51" t="str">
        <x:v>Minimum and maximum stated in contract</x:v>
      </x:c>
      <x:c r="L615" s="51" t="str">
        <x:v>Eligibility and negotiated contract terms</x:v>
      </x:c>
      <x:c r="M615" s="51" t="str">
        <x:v>Opportunity to compete for or receive future orders</x:v>
      </x:c>
      <x:c r="N615" s="51" t="str">
        <x:v>An IDIQ separates entry into the supplier pool from the later decision to obligate money</x:v>
      </x:c>
      <x:c r="O615" s="51" t="str">
        <x:v>Financial; relational; institutional</x:v>
      </x:c>
      <x:c r="P615" s="51" t="str">
        <x:v>E1</x:v>
      </x:c>
      <x:c r="Q615" s="51" t="str">
        <x:v>Very high</x:v>
      </x:c>
      <x:c r="R615" s="51" t="str">
        <x:v>SRC-262</x:v>
      </x:c>
      <x:c r="S615" s="51" t="str">
        <x:v>IDIQ contracts provide for orders within stated limits during a fixed period.</x:v>
      </x:c>
      <x:c r="T615" s="51" t="str">
        <x:v>That the maximum ceiling is committed spending or guaranteed revenue.</x:v>
      </x:c>
      <x:c r="U615" s="51" t="str">
        <x:v>Only the contractual minimum and issued orders establish obligations.</x:v>
      </x:c>
      <x:c r="V615" s="51" t="str">
        <x:v>Active</x:v>
      </x:c>
      <x:c r="W615" s="51" t="str">
        <x:v>11;57</x:v>
      </x:c>
      <x:c r="X615" s="51" t="str">
        <x:v>2026-07-27</x:v>
      </x:c>
    </x:row>
    <x:row r="616">
      <x:c r="A616" s="51" t="str">
        <x:v>PROC-004</x:v>
      </x:c>
      <x:c r="B616" s="51" t="str">
        <x:v>Public procurement and contract architecture</x:v>
      </x:c>
      <x:c r="C616" s="51" t="str">
        <x:v>ACT-FEDERALCONTRACTINGOFFICE</x:v>
      </x:c>
      <x:c r="D616" s="51" t="str">
        <x:v>Federal contracting officers</x:v>
      </x:c>
      <x:c r="E616" s="51" t="str">
        <x:v>ACT-INDEFINITEDELIVERYINDEFI</x:v>
      </x:c>
      <x:c r="F616" s="51" t="str">
        <x:v>Indefinite-delivery indefinite-quantity contracts</x:v>
      </x:c>
      <x:c r="G616" s="51" t="str">
        <x:v>Official → vehicle</x:v>
      </x:c>
      <x:c r="H616" s="51" t="str">
        <x:v>Ongoing</x:v>
      </x:c>
      <x:c r="I616" s="51" t="str">
        <x:v>Task and delivery order issuance</x:v>
      </x:c>
      <x:c r="J616" s="51" t="str">
        <x:v>INS-138</x:v>
      </x:c>
      <x:c r="K616" s="51" t="str">
        <x:v>Order-specific</x:v>
      </x:c>
      <x:c r="L616" s="51" t="str">
        <x:v>Defined requirement and available funds</x:v>
      </x:c>
      <x:c r="M616" s="51" t="str">
        <x:v>Actual obligation under the umbrella vehicle</x:v>
      </x:c>
      <x:c r="N616" s="51" t="str">
        <x:v>Orders, not headline ceilings, convert a contract vehicle into realised public spending</x:v>
      </x:c>
      <x:c r="O616" s="51" t="str">
        <x:v>Financial; institutional</x:v>
      </x:c>
      <x:c r="P616" s="51" t="str">
        <x:v>E1</x:v>
      </x:c>
      <x:c r="Q616" s="51" t="str">
        <x:v>Very high</x:v>
      </x:c>
      <x:c r="R616" s="51" t="str">
        <x:v>SRC-262</x:v>
      </x:c>
      <x:c r="S616" s="51" t="str">
        <x:v>The government places orders for individual requirements under IDIQ contracts.</x:v>
      </x:c>
      <x:c r="T616" s="51" t="str">
        <x:v>That every order is competitively awarded or fully spent.</x:v>
      </x:c>
      <x:c r="U616" s="51" t="str">
        <x:v>Ordering rules and competition vary by vehicle.</x:v>
      </x:c>
      <x:c r="V616" s="51" t="str">
        <x:v>Active</x:v>
      </x:c>
      <x:c r="W616" s="51" t="str">
        <x:v>11;57</x:v>
      </x:c>
      <x:c r="X616" s="51" t="str">
        <x:v>2026-07-27</x:v>
      </x:c>
    </x:row>
    <x:row r="617">
      <x:c r="A617" s="51" t="str">
        <x:v>PROC-005</x:v>
      </x:c>
      <x:c r="B617" s="51" t="str">
        <x:v>Public procurement and contract architecture</x:v>
      </x:c>
      <x:c r="C617" s="51" t="str">
        <x:v>ACT-USDEPARTMENTOFDEFENSE</x:v>
      </x:c>
      <x:c r="D617" s="51" t="str">
        <x:v>US Department of Defense</x:v>
      </x:c>
      <x:c r="E617" s="51" t="str">
        <x:v>ACT-OTHERTRANSACTIONAGREEMEN</x:v>
      </x:c>
      <x:c r="F617" s="51" t="str">
        <x:v>Other Transaction Agreements</x:v>
      </x:c>
      <x:c r="G617" s="51" t="str">
        <x:v>Agency → agreement form</x:v>
      </x:c>
      <x:c r="H617" s="51" t="str">
        <x:v>Ongoing</x:v>
      </x:c>
      <x:c r="I617" s="51" t="str">
        <x:v>Statutory use of flexible agreements</x:v>
      </x:c>
      <x:c r="J617" s="51" t="str">
        <x:v>INS-139; INS-140</x:v>
      </x:c>
      <x:c r="K617" s="51" t="str">
        <x:v>$18.2 billion FY2025 governmentwide OTA spending reported by GAO</x:v>
      </x:c>
      <x:c r="L617" s="51" t="str">
        <x:v>Prototype and emerging-technology requirements</x:v>
      </x:c>
      <x:c r="M617" s="51" t="str">
        <x:v>Customised agreement terms outside standard FAR clauses</x:v>
      </x:c>
      <x:c r="N617" s="51" t="str">
        <x:v>OTA authority lowers entry barriers for nontraditional suppliers but shifts more responsibility to negotiated terms</x:v>
      </x:c>
      <x:c r="O617" s="51" t="str">
        <x:v>Institutional; financial; technological</x:v>
      </x:c>
      <x:c r="P617" s="51" t="str">
        <x:v>E1</x:v>
      </x:c>
      <x:c r="Q617" s="51" t="str">
        <x:v>Very high</x:v>
      </x:c>
      <x:c r="R617" s="51" t="str">
        <x:v>SRC-263; SRC-264; SRC-265</x:v>
      </x:c>
      <x:c r="S617" s="51" t="str">
        <x:v>DOD uses OTAs for prototypes and AI acquisition with flexible terms.</x:v>
      </x:c>
      <x:c r="T617" s="51" t="str">
        <x:v>Absence of law, audit or accountability.</x:v>
      </x:c>
      <x:c r="U617" s="51" t="str">
        <x:v>GAO identified reporting and oversight weaknesses, not a complete regulatory vacuum.</x:v>
      </x:c>
      <x:c r="V617" s="51" t="str">
        <x:v>Active</x:v>
      </x:c>
      <x:c r="W617" s="51" t="str">
        <x:v>11;57</x:v>
      </x:c>
      <x:c r="X617" s="51" t="str">
        <x:v>2026-07-27</x:v>
      </x:c>
    </x:row>
    <x:row r="618">
      <x:c r="A618" s="51" t="str">
        <x:v>PROC-006</x:v>
      </x:c>
      <x:c r="B618" s="51" t="str">
        <x:v>Public procurement and contract architecture</x:v>
      </x:c>
      <x:c r="C618" s="51" t="str">
        <x:v>ACT-OTHERTRANSACTIONAGREEMEN</x:v>
      </x:c>
      <x:c r="D618" s="51" t="str">
        <x:v>Other Transaction Agreements</x:v>
      </x:c>
      <x:c r="E618" s="51" t="str">
        <x:v>ACT-FEDERALCONTRACTORS</x:v>
      </x:c>
      <x:c r="F618" s="51" t="str">
        <x:v>Federal contractors</x:v>
      </x:c>
      <x:c r="G618" s="51" t="str">
        <x:v>Agreement form → counterparties</x:v>
      </x:c>
      <x:c r="H618" s="51" t="str">
        <x:v>Ongoing</x:v>
      </x:c>
      <x:c r="I618" s="51" t="str">
        <x:v>Customised prototype and research terms</x:v>
      </x:c>
      <x:c r="J618" s="51" t="str">
        <x:v>INS-139</x:v>
      </x:c>
      <x:c r="K618" s="51" t="str">
        <x:v>Award-specific</x:v>
      </x:c>
      <x:c r="L618" s="51" t="str">
        <x:v>Technology proposal and negotiated rights</x:v>
      </x:c>
      <x:c r="M618" s="51" t="str">
        <x:v>Funding, milestones, data rights and follow-on options</x:v>
      </x:c>
      <x:c r="N618" s="51" t="str">
        <x:v>Flexible agreements can attract firms unwilling to adopt government-unique accounting and IP terms</x:v>
      </x:c>
      <x:c r="O618" s="51" t="str">
        <x:v>Financial; relational; technological</x:v>
      </x:c>
      <x:c r="P618" s="51" t="str">
        <x:v>E1</x:v>
      </x:c>
      <x:c r="Q618" s="51" t="str">
        <x:v>High</x:v>
      </x:c>
      <x:c r="R618" s="51" t="str">
        <x:v>SRC-264; SRC-265</x:v>
      </x:c>
      <x:c r="S618" s="51" t="str">
        <x:v>GAO found flexibility can attract nontraditional contractors.</x:v>
      </x:c>
      <x:c r="T618" s="51" t="str">
        <x:v>Superior outcomes or lower cost than FAR contracts.</x:v>
      </x:c>
      <x:c r="U618" s="51" t="str">
        <x:v>Reduced standardisation can increase oversight and data risk.</x:v>
      </x:c>
      <x:c r="V618" s="51" t="str">
        <x:v>Active</x:v>
      </x:c>
      <x:c r="W618" s="51" t="str">
        <x:v>11;57</x:v>
      </x:c>
      <x:c r="X618" s="51" t="str">
        <x:v>2026-07-27</x:v>
      </x:c>
    </x:row>
    <x:row r="619">
      <x:c r="A619" s="51" t="str">
        <x:v>PROC-007</x:v>
      </x:c>
      <x:c r="B619" s="51" t="str">
        <x:v>Public procurement and contract architecture</x:v>
      </x:c>
      <x:c r="C619" s="51" t="str">
        <x:v>ACT-GENERALSERVICESADMINISTR</x:v>
      </x:c>
      <x:c r="D619" s="51" t="str">
        <x:v>General Services Administration</x:v>
      </x:c>
      <x:c r="E619" s="51" t="str">
        <x:v>ACT-ONEGOVSTRATEGY</x:v>
      </x:c>
      <x:c r="F619" s="51" t="str">
        <x:v>OneGov Strategy</x:v>
      </x:c>
      <x:c r="G619" s="51" t="str">
        <x:v>Agency → procurement strategy</x:v>
      </x:c>
      <x:c r="H619" s="51" t="str">
        <x:v>2025–present</x:v>
      </x:c>
      <x:c r="I619" s="51" t="str">
        <x:v>Governmentwide procurement consolidation</x:v>
      </x:c>
      <x:c r="J619" s="51" t="str"/>
      <x:c r="K619" s="51" t="str">
        <x:v>Federal technology purchases</x:v>
      </x:c>
      <x:c r="L619" s="51" t="str">
        <x:v>Central purchasing expertise and negotiated access</x:v>
      </x:c>
      <x:c r="M619" s="51" t="str">
        <x:v>Reusable terms and governmentwide buying channels</x:v>
      </x:c>
      <x:c r="N619" s="51" t="str">
        <x:v>Centralised procurement can aggregate demand and standardise prices, security and data terms</x:v>
      </x:c>
      <x:c r="O619" s="51" t="str">
        <x:v>Institutional; financial; informational</x:v>
      </x:c>
      <x:c r="P619" s="51" t="str">
        <x:v>E1</x:v>
      </x:c>
      <x:c r="Q619" s="51" t="str">
        <x:v>High</x:v>
      </x:c>
      <x:c r="R619" s="51" t="str">
        <x:v>SRC-265</x:v>
      </x:c>
      <x:c r="S619" s="51" t="str">
        <x:v>GAO reported GSA's OneGov strategy and 2025 agreements with leading AI vendors.</x:v>
      </x:c>
      <x:c r="T619" s="51" t="str">
        <x:v>Exclusive federal use of GSA or permanent vendor selection.</x:v>
      </x:c>
      <x:c r="U619" s="51" t="str">
        <x:v>Agencies retain mission-specific acquisition needs.</x:v>
      </x:c>
      <x:c r="V619" s="51" t="str">
        <x:v>Active</x:v>
      </x:c>
      <x:c r="W619" s="51" t="str">
        <x:v>11;57</x:v>
      </x:c>
      <x:c r="X619" s="51" t="str">
        <x:v>2026-07-27</x:v>
      </x:c>
    </x:row>
    <x:row r="620">
      <x:c r="A620" s="51" t="str">
        <x:v>PROC-008</x:v>
      </x:c>
      <x:c r="B620" s="51" t="str">
        <x:v>Public procurement and contract architecture</x:v>
      </x:c>
      <x:c r="C620" s="51" t="str">
        <x:v>ACT-ONEGOVSTRATEGY</x:v>
      </x:c>
      <x:c r="D620" s="51" t="str">
        <x:v>OneGov Strategy</x:v>
      </x:c>
      <x:c r="E620" s="51" t="str">
        <x:v>ACT-OPENAI</x:v>
      </x:c>
      <x:c r="F620" s="51" t="str">
        <x:v>OpenAI</x:v>
      </x:c>
      <x:c r="G620" s="51" t="str">
        <x:v>Strategy → vendor</x:v>
      </x:c>
      <x:c r="H620" s="51" t="str">
        <x:v>2025</x:v>
      </x:c>
      <x:c r="I620" s="51" t="str">
        <x:v>Governmentwide AI access agreement</x:v>
      </x:c>
      <x:c r="J620" s="51" t="str"/>
      <x:c r="K620" s="51" t="str">
        <x:v>Agreement-specific</x:v>
      </x:c>
      <x:c r="L620" s="51" t="str">
        <x:v>Commercial AI service and negotiated terms</x:v>
      </x:c>
      <x:c r="M620" s="51" t="str">
        <x:v>Federal agency access channel</x:v>
      </x:c>
      <x:c r="N620" s="51" t="str">
        <x:v>A central procurement strategy converts one vendor agreement into potential access across many agencies</x:v>
      </x:c>
      <x:c r="O620" s="51" t="str">
        <x:v>Financial; informational; institutional</x:v>
      </x:c>
      <x:c r="P620" s="51" t="str">
        <x:v>E1</x:v>
      </x:c>
      <x:c r="Q620" s="51" t="str">
        <x:v>High</x:v>
      </x:c>
      <x:c r="R620" s="51" t="str">
        <x:v>SRC-265</x:v>
      </x:c>
      <x:c r="S620" s="51" t="str">
        <x:v>GAO reported a GSA agreement with OpenAI for governmentwide use.</x:v>
      </x:c>
      <x:c r="T620" s="51" t="str">
        <x:v>A guaranteed volume, exclusive supplier status or classified deployment.</x:v>
      </x:c>
      <x:c r="U620" s="51" t="str">
        <x:v>Usage and task orders determine realised spending and scope.</x:v>
      </x:c>
      <x:c r="V620" s="51" t="str">
        <x:v>Active</x:v>
      </x:c>
      <x:c r="W620" s="51" t="str">
        <x:v>11;57</x:v>
      </x:c>
      <x:c r="X620" s="51" t="str">
        <x:v>2026-07-27</x:v>
      </x:c>
    </x:row>
    <x:row r="621">
      <x:c r="A621" s="51" t="str">
        <x:v>PROC-009</x:v>
      </x:c>
      <x:c r="B621" s="51" t="str">
        <x:v>Public procurement and contract architecture</x:v>
      </x:c>
      <x:c r="C621" s="51" t="str">
        <x:v>ACT-ONEGOVSTRATEGY</x:v>
      </x:c>
      <x:c r="D621" s="51" t="str">
        <x:v>OneGov Strategy</x:v>
      </x:c>
      <x:c r="E621" s="51" t="str">
        <x:v>ACT-ANTHROPIC</x:v>
      </x:c>
      <x:c r="F621" s="51" t="str">
        <x:v>Anthropic</x:v>
      </x:c>
      <x:c r="G621" s="51" t="str">
        <x:v>Strategy → vendor</x:v>
      </x:c>
      <x:c r="H621" s="51" t="str">
        <x:v>2025</x:v>
      </x:c>
      <x:c r="I621" s="51" t="str">
        <x:v>Governmentwide AI access agreement</x:v>
      </x:c>
      <x:c r="J621" s="51" t="str"/>
      <x:c r="K621" s="51" t="str">
        <x:v>Agreement-specific</x:v>
      </x:c>
      <x:c r="L621" s="51" t="str">
        <x:v>Commercial AI service and negotiated terms</x:v>
      </x:c>
      <x:c r="M621" s="51" t="str">
        <x:v>Federal agency access channel</x:v>
      </x:c>
      <x:c r="N621" s="51" t="str">
        <x:v>Framework agreements reduce repeated transaction costs for agencies adopting AI services</x:v>
      </x:c>
      <x:c r="O621" s="51" t="str">
        <x:v>Financial; informational; institutional</x:v>
      </x:c>
      <x:c r="P621" s="51" t="str">
        <x:v>E1</x:v>
      </x:c>
      <x:c r="Q621" s="51" t="str">
        <x:v>High</x:v>
      </x:c>
      <x:c r="R621" s="51" t="str">
        <x:v>SRC-265</x:v>
      </x:c>
      <x:c r="S621" s="51" t="str">
        <x:v>GAO reported a GSA agreement with Anthropic for governmentwide use.</x:v>
      </x:c>
      <x:c r="T621" s="51" t="str">
        <x:v>Guaranteed agency adoption or transfer of government decision authority.</x:v>
      </x:c>
      <x:c r="U621" s="51" t="str">
        <x:v>Agency-specific controls and evaluations remain necessary.</x:v>
      </x:c>
      <x:c r="V621" s="51" t="str">
        <x:v>Active</x:v>
      </x:c>
      <x:c r="W621" s="51" t="str">
        <x:v>11;57</x:v>
      </x:c>
      <x:c r="X621" s="51" t="str">
        <x:v>2026-07-27</x:v>
      </x:c>
    </x:row>
    <x:row r="622">
      <x:c r="A622" s="51" t="str">
        <x:v>PROC-010</x:v>
      </x:c>
      <x:c r="B622" s="51" t="str">
        <x:v>Public procurement and contract architecture</x:v>
      </x:c>
      <x:c r="C622" s="51" t="str">
        <x:v>ACT-ONEGOVSTRATEGY</x:v>
      </x:c>
      <x:c r="D622" s="51" t="str">
        <x:v>OneGov Strategy</x:v>
      </x:c>
      <x:c r="E622" s="51" t="str">
        <x:v>ACT-GOOGLEGOOGLECLOUD</x:v>
      </x:c>
      <x:c r="F622" s="51" t="str">
        <x:v>Google / Google Cloud</x:v>
      </x:c>
      <x:c r="G622" s="51" t="str">
        <x:v>Strategy → vendor</x:v>
      </x:c>
      <x:c r="H622" s="51" t="str">
        <x:v>2025</x:v>
      </x:c>
      <x:c r="I622" s="51" t="str">
        <x:v>Governmentwide AI access agreement</x:v>
      </x:c>
      <x:c r="J622" s="51" t="str"/>
      <x:c r="K622" s="51" t="str">
        <x:v>Agreement-specific</x:v>
      </x:c>
      <x:c r="L622" s="51" t="str">
        <x:v>Commercial AI and cloud service</x:v>
      </x:c>
      <x:c r="M622" s="51" t="str">
        <x:v>Federal agency access channel</x:v>
      </x:c>
      <x:c r="N622" s="51" t="str">
        <x:v>Bundled model and cloud access can accelerate adoption while increasing platform dependence</x:v>
      </x:c>
      <x:c r="O622" s="51" t="str">
        <x:v>Financial; informational; technological</x:v>
      </x:c>
      <x:c r="P622" s="51" t="str">
        <x:v>E1</x:v>
      </x:c>
      <x:c r="Q622" s="51" t="str">
        <x:v>High</x:v>
      </x:c>
      <x:c r="R622" s="51" t="str">
        <x:v>SRC-265</x:v>
      </x:c>
      <x:c r="S622" s="51" t="str">
        <x:v>GAO reported a GSA agreement with Google for governmentwide use.</x:v>
      </x:c>
      <x:c r="T622" s="51" t="str">
        <x:v>Exclusive cloud dependency or fixed future pricing.</x:v>
      </x:c>
      <x:c r="U622" s="51" t="str">
        <x:v>Workload placement and actual ordering require separate contract data.</x:v>
      </x:c>
      <x:c r="V622" s="51" t="str">
        <x:v>Active</x:v>
      </x:c>
      <x:c r="W622" s="51" t="str">
        <x:v>11;57</x:v>
      </x:c>
      <x:c r="X622" s="51" t="str">
        <x:v>2026-07-27</x:v>
      </x:c>
    </x:row>
    <x:row r="623">
      <x:c r="A623" s="51" t="str">
        <x:v>PROC-011</x:v>
      </x:c>
      <x:c r="B623" s="51" t="str">
        <x:v>Public procurement and contract architecture</x:v>
      </x:c>
      <x:c r="C623" s="51" t="str">
        <x:v>ACT-FEDERALAIPROCUREMENTPROG</x:v>
      </x:c>
      <x:c r="D623" s="51" t="str">
        <x:v>Federal AI procurement programmes</x:v>
      </x:c>
      <x:c r="E623" s="51" t="str">
        <x:v>ACT-PUBLICTAXPAYERSANDBUDGET</x:v>
      </x:c>
      <x:c r="F623" s="51" t="str">
        <x:v>Public taxpayers and budget</x:v>
      </x:c>
      <x:c r="G623" s="51" t="str">
        <x:v>Programme → public balance sheet</x:v>
      </x:c>
      <x:c r="H623" s="51" t="str">
        <x:v>Ongoing</x:v>
      </x:c>
      <x:c r="I623" s="51" t="str">
        <x:v>Appropriation and acquisition spending</x:v>
      </x:c>
      <x:c r="J623" s="51" t="str">
        <x:v>INS-140</x:v>
      </x:c>
      <x:c r="K623" s="51" t="str">
        <x:v>Congressional appropriations and agency obligations</x:v>
      </x:c>
      <x:c r="L623" s="51" t="str">
        <x:v>Public funds</x:v>
      </x:c>
      <x:c r="M623" s="51" t="str">
        <x:v>AI services, licences, prototypes and infrastructure</x:v>
      </x:c>
      <x:c r="N623" s="51" t="str">
        <x:v>Public procurement socialises acquisition cost while agencies and vendors divide operational benefits, data rights and lock-in risk</x:v>
      </x:c>
      <x:c r="O623" s="51" t="str">
        <x:v>Financial; informational; distributional</x:v>
      </x:c>
      <x:c r="P623" s="51" t="str">
        <x:v>S1</x:v>
      </x:c>
      <x:c r="Q623" s="51" t="str">
        <x:v>High</x:v>
      </x:c>
      <x:c r="R623" s="51" t="str">
        <x:v>SRC-265</x:v>
      </x:c>
      <x:c r="S623" s="51" t="str">
        <x:v>Federal agencies are increasing AI procurement through multiple acquisition approaches.</x:v>
      </x:c>
      <x:c r="T623" s="51" t="str">
        <x:v>That procurement is wasteful or captured by vendors.</x:v>
      </x:c>
      <x:c r="U623" s="51" t="str">
        <x:v>Benefits and risks are programme-specific and require outcome evaluation.</x:v>
      </x:c>
      <x:c r="V623" s="51" t="str">
        <x:v>Active</x:v>
      </x:c>
      <x:c r="W623" s="51" t="str">
        <x:v>11;57</x:v>
      </x:c>
      <x:c r="X623" s="51" t="str">
        <x:v>2026-07-27</x:v>
      </x:c>
    </x:row>
    <x:row r="624">
      <x:c r="A624" s="51" t="str">
        <x:v>RAT-001</x:v>
      </x:c>
      <x:c r="B624" s="51" t="str">
        <x:v>Credit-rating infrastructure</x:v>
      </x:c>
      <x:c r="C624" s="51" t="str">
        <x:v>ACT-SPGLOBALRATINGS</x:v>
      </x:c>
      <x:c r="D624" s="51" t="str">
        <x:v>S&amp;P Global Ratings</x:v>
      </x:c>
      <x:c r="E624" s="51" t="str">
        <x:v>ACT-LOWANDMIDDLEINCOMECOUNTR</x:v>
      </x:c>
      <x:c r="F624" s="51" t="str">
        <x:v>Low- and middle-income countries</x:v>
      </x:c>
      <x:c r="G624" s="51" t="str">
        <x:v>Agency → sovereign issuers</x:v>
      </x:c>
      <x:c r="H624" s="51" t="str">
        <x:v>Ongoing</x:v>
      </x:c>
      <x:c r="I624" s="51" t="str">
        <x:v>Sovereign credit rating</x:v>
      </x:c>
      <x:c r="J624" s="51" t="str"/>
      <x:c r="K624" s="51" t="str">
        <x:v>Ratings and outlooks</x:v>
      </x:c>
      <x:c r="L624" s="51" t="str">
        <x:v>Fiscal, external, institutional and debt information</x:v>
      </x:c>
      <x:c r="M624" s="51" t="str">
        <x:v>Standardised credit-risk opinion</x:v>
      </x:c>
      <x:c r="N624" s="51" t="str">
        <x:v>A private analytical institution converts complex national conditions into a portable market signal</x:v>
      </x:c>
      <x:c r="O624" s="51" t="str">
        <x:v>Informational; financial; institutional</x:v>
      </x:c>
      <x:c r="P624" s="51" t="str">
        <x:v>E1</x:v>
      </x:c>
      <x:c r="Q624" s="51" t="str">
        <x:v>High</x:v>
      </x:c>
      <x:c r="R624" s="51" t="str">
        <x:v>SRC-137</x:v>
      </x:c>
      <x:c r="S624" s="51" t="str">
        <x:v>S&amp;P publishes sovereign ratings and methodology.</x:v>
      </x:c>
      <x:c r="T624" s="51" t="str">
        <x:v>A deterministic borrowing cost, political command or objective truth.</x:v>
      </x:c>
      <x:c r="U624" s="51" t="str">
        <x:v>Investors and mandates use ratings alongside other information.</x:v>
      </x:c>
      <x:c r="V624" s="51" t="str">
        <x:v>Active</x:v>
      </x:c>
      <x:c r="W624" s="51" t="str">
        <x:v>47;57</x:v>
      </x:c>
      <x:c r="X624" s="51" t="str">
        <x:v>2026-07-27</x:v>
      </x:c>
    </x:row>
    <x:row r="625">
      <x:c r="A625" s="51" t="str">
        <x:v>RAT-002</x:v>
      </x:c>
      <x:c r="B625" s="51" t="str">
        <x:v>Credit-rating infrastructure</x:v>
      </x:c>
      <x:c r="C625" s="51" t="str">
        <x:v>ACT-MOODYSRATINGS</x:v>
      </x:c>
      <x:c r="D625" s="51" t="str">
        <x:v>Moodys Ratings</x:v>
      </x:c>
      <x:c r="E625" s="51" t="str">
        <x:v>ACT-LOWANDMIDDLEINCOMECOUNTR</x:v>
      </x:c>
      <x:c r="F625" s="51" t="str">
        <x:v>Low- and middle-income countries</x:v>
      </x:c>
      <x:c r="G625" s="51" t="str">
        <x:v>Agency → sovereign issuers</x:v>
      </x:c>
      <x:c r="H625" s="51" t="str">
        <x:v>Ongoing</x:v>
      </x:c>
      <x:c r="I625" s="51" t="str">
        <x:v>Sovereign credit rating</x:v>
      </x:c>
      <x:c r="J625" s="51" t="str"/>
      <x:c r="K625" s="51" t="str">
        <x:v>Ratings and outlooks</x:v>
      </x:c>
      <x:c r="L625" s="51" t="str">
        <x:v>Fiscal, external, institutional and debt information</x:v>
      </x:c>
      <x:c r="M625" s="51" t="str">
        <x:v>Standardised credit-risk opinion</x:v>
      </x:c>
      <x:c r="N625" s="51" t="str">
        <x:v>A private analytical institution converts complex national conditions into a portable market signal</x:v>
      </x:c>
      <x:c r="O625" s="51" t="str">
        <x:v>Informational; financial; institutional</x:v>
      </x:c>
      <x:c r="P625" s="51" t="str">
        <x:v>E1</x:v>
      </x:c>
      <x:c r="Q625" s="51" t="str">
        <x:v>High</x:v>
      </x:c>
      <x:c r="R625" s="51" t="str">
        <x:v>SRC-138</x:v>
      </x:c>
      <x:c r="S625" s="51" t="str">
        <x:v>Moodys publishes sovereign ratings methodology.</x:v>
      </x:c>
      <x:c r="T625" s="51" t="str">
        <x:v>A deterministic borrowing cost, political command or objective truth.</x:v>
      </x:c>
      <x:c r="U625" s="51" t="str">
        <x:v>Investors and mandates use ratings alongside other information.</x:v>
      </x:c>
      <x:c r="V625" s="51" t="str">
        <x:v>Active</x:v>
      </x:c>
      <x:c r="W625" s="51" t="str">
        <x:v>47;57</x:v>
      </x:c>
      <x:c r="X625" s="51" t="str">
        <x:v>2026-07-27</x:v>
      </x:c>
    </x:row>
    <x:row r="626">
      <x:c r="A626" s="51" t="str">
        <x:v>RAT-003</x:v>
      </x:c>
      <x:c r="B626" s="51" t="str">
        <x:v>Credit-rating infrastructure</x:v>
      </x:c>
      <x:c r="C626" s="51" t="str">
        <x:v>ACT-FITCHRATINGS</x:v>
      </x:c>
      <x:c r="D626" s="51" t="str">
        <x:v>Fitch Ratings</x:v>
      </x:c>
      <x:c r="E626" s="51" t="str">
        <x:v>ACT-LOWANDMIDDLEINCOMECOUNTR</x:v>
      </x:c>
      <x:c r="F626" s="51" t="str">
        <x:v>Low- and middle-income countries</x:v>
      </x:c>
      <x:c r="G626" s="51" t="str">
        <x:v>Agency → sovereign issuers</x:v>
      </x:c>
      <x:c r="H626" s="51" t="str">
        <x:v>Ongoing</x:v>
      </x:c>
      <x:c r="I626" s="51" t="str">
        <x:v>Sovereign credit rating</x:v>
      </x:c>
      <x:c r="J626" s="51" t="str"/>
      <x:c r="K626" s="51" t="str">
        <x:v>Ratings and outlooks</x:v>
      </x:c>
      <x:c r="L626" s="51" t="str">
        <x:v>Fiscal, external, institutional and debt information</x:v>
      </x:c>
      <x:c r="M626" s="51" t="str">
        <x:v>Standardised credit-risk opinion</x:v>
      </x:c>
      <x:c r="N626" s="51" t="str">
        <x:v>A private analytical institution converts complex national conditions into a portable market signal</x:v>
      </x:c>
      <x:c r="O626" s="51" t="str">
        <x:v>Informational; financial; institutional</x:v>
      </x:c>
      <x:c r="P626" s="51" t="str">
        <x:v>E1</x:v>
      </x:c>
      <x:c r="Q626" s="51" t="str">
        <x:v>High</x:v>
      </x:c>
      <x:c r="R626" s="51" t="str">
        <x:v>SRC-139</x:v>
      </x:c>
      <x:c r="S626" s="51" t="str">
        <x:v>Fitch publishes sovereign ratings and analysis.</x:v>
      </x:c>
      <x:c r="T626" s="51" t="str">
        <x:v>A deterministic borrowing cost, political command or objective truth.</x:v>
      </x:c>
      <x:c r="U626" s="51" t="str">
        <x:v>Investors and mandates use ratings alongside other information.</x:v>
      </x:c>
      <x:c r="V626" s="51" t="str">
        <x:v>Active</x:v>
      </x:c>
      <x:c r="W626" s="51" t="str">
        <x:v>47;57</x:v>
      </x:c>
      <x:c r="X626" s="51" t="str">
        <x:v>2026-07-27</x:v>
      </x:c>
    </x:row>
    <x:row r="627">
      <x:c r="A627" s="51" t="str">
        <x:v>RAT-004</x:v>
      </x:c>
      <x:c r="B627" s="51" t="str">
        <x:v>Credit-rating infrastructure</x:v>
      </x:c>
      <x:c r="C627" s="51" t="str">
        <x:v>ACT-SPGLOBALRATINGS</x:v>
      </x:c>
      <x:c r="D627" s="51" t="str">
        <x:v>S&amp;P Global Ratings</x:v>
      </x:c>
      <x:c r="E627" s="51" t="str">
        <x:v>ACT-GOVERNINGINSTITUTIONALNE</x:v>
      </x:c>
      <x:c r="F627" s="51" t="str">
        <x:v>Governing institutional networks</x:v>
      </x:c>
      <x:c r="G627" s="51" t="str">
        <x:v>Agency → investors and mandates</x:v>
      </x:c>
      <x:c r="H627" s="51" t="str">
        <x:v>Ongoing</x:v>
      </x:c>
      <x:c r="I627" s="51" t="str">
        <x:v>Credit-risk benchmark</x:v>
      </x:c>
      <x:c r="J627" s="51" t="str"/>
      <x:c r="K627" s="51" t="str">
        <x:v>Global capital markets</x:v>
      </x:c>
      <x:c r="L627" s="51" t="str">
        <x:v>Rating opinion</x:v>
      </x:c>
      <x:c r="M627" s="51" t="str">
        <x:v>Portfolio eligibility, pricing and collateral decisions</x:v>
      </x:c>
      <x:c r="N627" s="51" t="str">
        <x:v>A widely recognised score becomes a coordination device across otherwise separate investors</x:v>
      </x:c>
      <x:c r="O627" s="51" t="str">
        <x:v>Informational; financial</x:v>
      </x:c>
      <x:c r="P627" s="51" t="str">
        <x:v>S1</x:v>
      </x:c>
      <x:c r="Q627" s="51" t="str">
        <x:v>High</x:v>
      </x:c>
      <x:c r="R627" s="51" t="str">
        <x:v>SRC-137</x:v>
      </x:c>
      <x:c r="S627" s="51" t="str">
        <x:v>S&amp;P states ratings are widely used inputs for comparing creditworthiness.</x:v>
      </x:c>
      <x:c r="T627" s="51" t="str">
        <x:v>Mechanical control over all investors or guaranteed prediction of default.</x:v>
      </x:c>
      <x:c r="U627" s="51" t="str">
        <x:v>Market prices and internal models can diverge from ratings.</x:v>
      </x:c>
      <x:c r="V627" s="51" t="str">
        <x:v>Active</x:v>
      </x:c>
      <x:c r="W627" s="51" t="str">
        <x:v>47;57</x:v>
      </x:c>
      <x:c r="X627" s="51" t="str">
        <x:v>2026-07-27</x:v>
      </x:c>
    </x:row>
    <x:row r="628">
      <x:c r="A628" s="51" t="str">
        <x:v>RAT-005</x:v>
      </x:c>
      <x:c r="B628" s="51" t="str">
        <x:v>Credit-rating infrastructure</x:v>
      </x:c>
      <x:c r="C628" s="51" t="str">
        <x:v>ACT-MOODYSRATINGS</x:v>
      </x:c>
      <x:c r="D628" s="51" t="str">
        <x:v>Moodys Ratings</x:v>
      </x:c>
      <x:c r="E628" s="51" t="str">
        <x:v>ACT-GOVERNINGINSTITUTIONALNE</x:v>
      </x:c>
      <x:c r="F628" s="51" t="str">
        <x:v>Governing institutional networks</x:v>
      </x:c>
      <x:c r="G628" s="51" t="str">
        <x:v>Agency → investors and risk systems</x:v>
      </x:c>
      <x:c r="H628" s="51" t="str">
        <x:v>Ongoing</x:v>
      </x:c>
      <x:c r="I628" s="51" t="str">
        <x:v>Ratings, data and workflow relationship</x:v>
      </x:c>
      <x:c r="J628" s="51" t="str"/>
      <x:c r="K628" s="51" t="str">
        <x:v>Global capital markets</x:v>
      </x:c>
      <x:c r="L628" s="51" t="str">
        <x:v>Issuer and macroeconomic information</x:v>
      </x:c>
      <x:c r="M628" s="51" t="str">
        <x:v>Credit opinions and integrated risk data</x:v>
      </x:c>
      <x:c r="N628" s="51" t="str">
        <x:v>Ratings agencies increasingly combine opinions with data platforms embedded in institutional workflows</x:v>
      </x:c>
      <x:c r="O628" s="51" t="str">
        <x:v>Informational; financial</x:v>
      </x:c>
      <x:c r="P628" s="51" t="str">
        <x:v>S1</x:v>
      </x:c>
      <x:c r="Q628" s="51" t="str">
        <x:v>High</x:v>
      </x:c>
      <x:c r="R628" s="51" t="str">
        <x:v>SRC-138</x:v>
      </x:c>
      <x:c r="S628" s="51" t="str">
        <x:v>Moodys provides sovereign methodologies and broad credit-risk data.</x:v>
      </x:c>
      <x:c r="T628" s="51" t="str">
        <x:v>Control over every portfolio or absence of issuer-pay conflicts.</x:v>
      </x:c>
      <x:c r="U628" s="51" t="str">
        <x:v>Users retain responsibility and agencies are regulated but commercially motivated.</x:v>
      </x:c>
      <x:c r="V628" s="51" t="str">
        <x:v>Active</x:v>
      </x:c>
      <x:c r="W628" s="51" t="str">
        <x:v>47;57</x:v>
      </x:c>
      <x:c r="X628" s="51" t="str">
        <x:v>2026-07-27</x:v>
      </x:c>
    </x:row>
    <x:row r="629">
      <x:c r="A629" s="51" t="str">
        <x:v>RENT-001</x:v>
      </x:c>
      <x:c r="B629" s="51" t="str">
        <x:v>Institutional rental ownership and management</x:v>
      </x:c>
      <x:c r="C629" s="51" t="str">
        <x:v>ACT-INVITATIONHOMES</x:v>
      </x:c>
      <x:c r="D629" s="51" t="str">
        <x:v>Invitation Homes</x:v>
      </x:c>
      <x:c r="E629" s="51" t="str">
        <x:v>ACT-RENTALHOUSINGTENANTS</x:v>
      </x:c>
      <x:c r="F629" s="51" t="str">
        <x:v>Rental housing tenants</x:v>
      </x:c>
      <x:c r="G629" s="51" t="str">
        <x:v>Landlord → tenants</x:v>
      </x:c>
      <x:c r="H629" s="51" t="str">
        <x:v>2025–present</x:v>
      </x:c>
      <x:c r="I629" s="51" t="str">
        <x:v>Residential lease and property management</x:v>
      </x:c>
      <x:c r="J629" s="51" t="str">
        <x:v>INS-179</x:v>
      </x:c>
      <x:c r="K629" s="51" t="str">
        <x:v>86,192 wholly owned homes at year-end 2025</x:v>
      </x:c>
      <x:c r="L629" s="51" t="str">
        <x:v>Homes, lease terms and management platform</x:v>
      </x:c>
      <x:c r="M629" s="51" t="str">
        <x:v>Rental housing service and rent cash flow</x:v>
      </x:c>
      <x:c r="N629" s="51" t="str">
        <x:v>Large-scale ownership converts dispersed houses into a centrally managed operating portfolio</x:v>
      </x:c>
      <x:c r="O629" s="51" t="str">
        <x:v>Ownership; financial; relational</x:v>
      </x:c>
      <x:c r="P629" s="51" t="str">
        <x:v>E1</x:v>
      </x:c>
      <x:c r="Q629" s="51" t="str">
        <x:v>Very high</x:v>
      </x:c>
      <x:c r="R629" s="51" t="str">
        <x:v>SRC-322</x:v>
      </x:c>
      <x:c r="S629" s="51" t="str">
        <x:v>Invitation Homes wholly owns and manages a large single-family rental portfolio.</x:v>
      </x:c>
      <x:c r="T629" s="51" t="str">
        <x:v>Dominance of the national rental market or uniform local market power.</x:v>
      </x:c>
      <x:c r="U629" s="51" t="str">
        <x:v>Its portfolio is concentrated in selected markets and remains a small share nationally.</x:v>
      </x:c>
      <x:c r="V629" s="51" t="str">
        <x:v>Active</x:v>
      </x:c>
      <x:c r="W629" s="51" t="str">
        <x:v>22;56;57</x:v>
      </x:c>
      <x:c r="X629" s="51" t="str">
        <x:v>2026-07-27</x:v>
      </x:c>
    </x:row>
    <x:row r="630">
      <x:c r="A630" s="51" t="str">
        <x:v>RENT-002</x:v>
      </x:c>
      <x:c r="B630" s="51" t="str">
        <x:v>Institutional rental ownership and management</x:v>
      </x:c>
      <x:c r="C630" s="51" t="str">
        <x:v>ACT-AMERICANHOMES4RENT</x:v>
      </x:c>
      <x:c r="D630" s="51" t="str">
        <x:v>American Homes 4 Rent</x:v>
      </x:c>
      <x:c r="E630" s="51" t="str">
        <x:v>ACT-RENTALHOUSINGTENANTS</x:v>
      </x:c>
      <x:c r="F630" s="51" t="str">
        <x:v>Rental housing tenants</x:v>
      </x:c>
      <x:c r="G630" s="51" t="str">
        <x:v>Landlord → tenants</x:v>
      </x:c>
      <x:c r="H630" s="51" t="str">
        <x:v>2025–present</x:v>
      </x:c>
      <x:c r="I630" s="51" t="str">
        <x:v>Residential lease and community management</x:v>
      </x:c>
      <x:c r="J630" s="51" t="str">
        <x:v>INS-180</x:v>
      </x:c>
      <x:c r="K630" s="51" t="str">
        <x:v>More than 61,000 properties</x:v>
      </x:c>
      <x:c r="L630" s="51" t="str">
        <x:v>Homes and operating platform</x:v>
      </x:c>
      <x:c r="M630" s="51" t="str">
        <x:v>Rental service and recurring income</x:v>
      </x:c>
      <x:c r="N630" s="51" t="str">
        <x:v>Institutional capital supports acquisition, development and centralised operation of single-family rentals</x:v>
      </x:c>
      <x:c r="O630" s="51" t="str">
        <x:v>Ownership; financial; relational</x:v>
      </x:c>
      <x:c r="P630" s="51" t="str">
        <x:v>E1</x:v>
      </x:c>
      <x:c r="Q630" s="51" t="str">
        <x:v>Very high</x:v>
      </x:c>
      <x:c r="R630" s="51" t="str">
        <x:v>SRC-323</x:v>
      </x:c>
      <x:c r="S630" s="51" t="str">
        <x:v>AMH owned more than 61,000 single-family properties at year-end 2025.</x:v>
      </x:c>
      <x:c r="T630" s="51" t="str">
        <x:v>National monopoly or proof of harmful conduct.</x:v>
      </x:c>
      <x:c r="U630" s="51" t="str">
        <x:v>Market effects must be tested locally.</x:v>
      </x:c>
      <x:c r="V630" s="51" t="str">
        <x:v>Active</x:v>
      </x:c>
      <x:c r="W630" s="51" t="str">
        <x:v>22;56;57</x:v>
      </x:c>
      <x:c r="X630" s="51" t="str">
        <x:v>2026-07-27</x:v>
      </x:c>
    </x:row>
    <x:row r="631">
      <x:c r="A631" s="51" t="str">
        <x:v>RENT-003</x:v>
      </x:c>
      <x:c r="B631" s="51" t="str">
        <x:v>Institutional rental ownership and management</x:v>
      </x:c>
      <x:c r="C631" s="51" t="str">
        <x:v>ACT-BLACKSTONEREALESTATEINCO</x:v>
      </x:c>
      <x:c r="D631" s="51" t="str">
        <x:v>Blackstone Real Estate Income Trust</x:v>
      </x:c>
      <x:c r="E631" s="51" t="str">
        <x:v>ACT-REITANDPRIVATEREALESTATE</x:v>
      </x:c>
      <x:c r="F631" s="51" t="str">
        <x:v>REIT and private real-estate investors</x:v>
      </x:c>
      <x:c r="G631" s="51" t="str">
        <x:v>Fund → investors</x:v>
      </x:c>
      <x:c r="H631" s="51" t="str">
        <x:v>Ongoing</x:v>
      </x:c>
      <x:c r="I631" s="51" t="str">
        <x:v>Private REIT share and redemption structure</x:v>
      </x:c>
      <x:c r="J631" s="51" t="str">
        <x:v>INS-181</x:v>
      </x:c>
      <x:c r="K631" s="51" t="str">
        <x:v>Large diversified real-estate portfolio</x:v>
      </x:c>
      <x:c r="L631" s="51" t="str">
        <x:v>Investor subscriptions and property income</x:v>
      </x:c>
      <x:c r="M631" s="51" t="str">
        <x:v>Diversified real-estate exposure and distributions</x:v>
      </x:c>
      <x:c r="N631" s="51" t="str">
        <x:v>A fund pools household and institutional capital into professionally managed property portfolios</x:v>
      </x:c>
      <x:c r="O631" s="51" t="str">
        <x:v>Financial; ownership; relational</x:v>
      </x:c>
      <x:c r="P631" s="51" t="str">
        <x:v>E1</x:v>
      </x:c>
      <x:c r="Q631" s="51" t="str">
        <x:v>High</x:v>
      </x:c>
      <x:c r="R631" s="51" t="str">
        <x:v>SRC-324</x:v>
      </x:c>
      <x:c r="S631" s="51" t="str">
        <x:v>BREIT owns diversified assets with substantial rental-housing exposure.</x:v>
      </x:c>
      <x:c r="T631" s="51" t="str">
        <x:v>Investor ownership of specific properties or guaranteed liquidity.</x:v>
      </x:c>
      <x:c r="U631" s="51" t="str">
        <x:v>BREIT is non-traded and subject to redemption limits and valuation policies.</x:v>
      </x:c>
      <x:c r="V631" s="51" t="str">
        <x:v>Active</x:v>
      </x:c>
      <x:c r="W631" s="51" t="str">
        <x:v>56;57</x:v>
      </x:c>
      <x:c r="X631" s="51" t="str">
        <x:v>2026-07-27</x:v>
      </x:c>
    </x:row>
    <x:row r="632">
      <x:c r="A632" s="51" t="str">
        <x:v>RENT-004</x:v>
      </x:c>
      <x:c r="B632" s="51" t="str">
        <x:v>Institutional rental ownership and management</x:v>
      </x:c>
      <x:c r="C632" s="51" t="str">
        <x:v>ACT-REITANDPRIVATEREALESTATE</x:v>
      </x:c>
      <x:c r="D632" s="51" t="str">
        <x:v>REIT and private real-estate investors</x:v>
      </x:c>
      <x:c r="E632" s="51" t="str">
        <x:v>ACT-INVITATIONHOMES</x:v>
      </x:c>
      <x:c r="F632" s="51" t="str">
        <x:v>Invitation Homes</x:v>
      </x:c>
      <x:c r="G632" s="51" t="str">
        <x:v>Investors → landlord platform</x:v>
      </x:c>
      <x:c r="H632" s="51" t="str">
        <x:v>Ongoing</x:v>
      </x:c>
      <x:c r="I632" s="51" t="str">
        <x:v>Equity and debt capital</x:v>
      </x:c>
      <x:c r="J632" s="51" t="str">
        <x:v>INS-179</x:v>
      </x:c>
      <x:c r="K632" s="51" t="str">
        <x:v>Public-market and financing-specific</x:v>
      </x:c>
      <x:c r="L632" s="51" t="str">
        <x:v>Investor capital</x:v>
      </x:c>
      <x:c r="M632" s="51" t="str">
        <x:v>Acquisition, development and portfolio operations</x:v>
      </x:c>
      <x:c r="N632" s="51" t="str">
        <x:v>Capital markets convert claims on rental income into scalable home acquisition capacity</x:v>
      </x:c>
      <x:c r="O632" s="51" t="str">
        <x:v>Financial; ownership; material</x:v>
      </x:c>
      <x:c r="P632" s="51" t="str">
        <x:v>S1</x:v>
      </x:c>
      <x:c r="Q632" s="51" t="str">
        <x:v>High</x:v>
      </x:c>
      <x:c r="R632" s="51" t="str">
        <x:v>SRC-322</x:v>
      </x:c>
      <x:c r="S632" s="51" t="str">
        <x:v>Invitation Homes finances a large listed rental platform through corporate capital markets.</x:v>
      </x:c>
      <x:c r="T632" s="51" t="str">
        <x:v>Direct investor control of individual tenant decisions.</x:v>
      </x:c>
      <x:c r="U632" s="51" t="str">
        <x:v>Board, management and property-level operations mediate control.</x:v>
      </x:c>
      <x:c r="V632" s="51" t="str">
        <x:v>Active</x:v>
      </x:c>
      <x:c r="W632" s="51" t="str">
        <x:v>56;57</x:v>
      </x:c>
      <x:c r="X632" s="51" t="str">
        <x:v>2026-07-27</x:v>
      </x:c>
    </x:row>
    <x:row r="633">
      <x:c r="A633" s="51" t="str">
        <x:v>RENT-005</x:v>
      </x:c>
      <x:c r="B633" s="51" t="str">
        <x:v>Institutional rental ownership and management</x:v>
      </x:c>
      <x:c r="C633" s="51" t="str">
        <x:v>ACT-REITANDPRIVATEREALESTATE</x:v>
      </x:c>
      <x:c r="D633" s="51" t="str">
        <x:v>REIT and private real-estate investors</x:v>
      </x:c>
      <x:c r="E633" s="51" t="str">
        <x:v>ACT-AMERICANHOMES4RENT</x:v>
      </x:c>
      <x:c r="F633" s="51" t="str">
        <x:v>American Homes 4 Rent</x:v>
      </x:c>
      <x:c r="G633" s="51" t="str">
        <x:v>Investors → landlord platform</x:v>
      </x:c>
      <x:c r="H633" s="51" t="str">
        <x:v>Ongoing</x:v>
      </x:c>
      <x:c r="I633" s="51" t="str">
        <x:v>Equity and debt capital</x:v>
      </x:c>
      <x:c r="J633" s="51" t="str">
        <x:v>INS-180</x:v>
      </x:c>
      <x:c r="K633" s="51" t="str">
        <x:v>Public-market and financing-specific</x:v>
      </x:c>
      <x:c r="L633" s="51" t="str">
        <x:v>Investor capital</x:v>
      </x:c>
      <x:c r="M633" s="51" t="str">
        <x:v>Rental development and property acquisition</x:v>
      </x:c>
      <x:c r="N633" s="51" t="str">
        <x:v>Institutional finance lengthens the holding horizon and supports standardised operations across regions</x:v>
      </x:c>
      <x:c r="O633" s="51" t="str">
        <x:v>Financial; ownership; material</x:v>
      </x:c>
      <x:c r="P633" s="51" t="str">
        <x:v>S1</x:v>
      </x:c>
      <x:c r="Q633" s="51" t="str">
        <x:v>High</x:v>
      </x:c>
      <x:c r="R633" s="51" t="str">
        <x:v>SRC-323</x:v>
      </x:c>
      <x:c r="S633" s="51" t="str">
        <x:v>AMH is a public REIT operating a large housing portfolio.</x:v>
      </x:c>
      <x:c r="T633" s="51" t="str">
        <x:v>Identical strategy in every market or immunity from local regulation.</x:v>
      </x:c>
      <x:c r="U633" s="51" t="str">
        <x:v>Portfolio mix and development economics vary.</x:v>
      </x:c>
      <x:c r="V633" s="51" t="str">
        <x:v>Active</x:v>
      </x:c>
      <x:c r="W633" s="51" t="str">
        <x:v>56;57</x:v>
      </x:c>
      <x:c r="X633" s="51" t="str">
        <x:v>2026-07-27</x:v>
      </x:c>
    </x:row>
    <x:row r="634">
      <x:c r="A634" s="51" t="str">
        <x:v>RENT-006</x:v>
      </x:c>
      <x:c r="B634" s="51" t="str">
        <x:v>Institutional rental ownership and management</x:v>
      </x:c>
      <x:c r="C634" s="51" t="str">
        <x:v>ACT-INSTITUTIONALPROPERTYMAN</x:v>
      </x:c>
      <x:c r="D634" s="51" t="str">
        <x:v>Institutional property managers</x:v>
      </x:c>
      <x:c r="E634" s="51" t="str">
        <x:v>ACT-RENTALHOUSINGTENANTS</x:v>
      </x:c>
      <x:c r="F634" s="51" t="str">
        <x:v>Rental housing tenants</x:v>
      </x:c>
      <x:c r="G634" s="51" t="str">
        <x:v>Manager → tenants</x:v>
      </x:c>
      <x:c r="H634" s="51" t="str">
        <x:v>Ongoing</x:v>
      </x:c>
      <x:c r="I634" s="51" t="str">
        <x:v>Lease administration, maintenance and enforcement</x:v>
      </x:c>
      <x:c r="J634" s="51" t="str">
        <x:v>INS-179; INS-180; INS-181</x:v>
      </x:c>
      <x:c r="K634" s="51" t="str">
        <x:v>Portfolio-specific</x:v>
      </x:c>
      <x:c r="L634" s="51" t="str">
        <x:v>Owner policies, software and local staff</x:v>
      </x:c>
      <x:c r="M634" s="51" t="str">
        <x:v>Maintenance, renewal, fees, collection and eviction decisions</x:v>
      </x:c>
      <x:c r="N634" s="51" t="str">
        <x:v>Property management is the operational interface through which portfolio strategy becomes household experience</x:v>
      </x:c>
      <x:c r="O634" s="51" t="str">
        <x:v>Relational; informational; enforcement</x:v>
      </x:c>
      <x:c r="P634" s="51" t="str">
        <x:v>S1</x:v>
      </x:c>
      <x:c r="Q634" s="51" t="str">
        <x:v>High</x:v>
      </x:c>
      <x:c r="R634" s="51" t="str">
        <x:v>SRC-322; SRC-323; SRC-324</x:v>
      </x:c>
      <x:c r="S634" s="51" t="str">
        <x:v>Large rental portfolios use professional management systems.</x:v>
      </x:c>
      <x:c r="T634" s="51" t="str">
        <x:v>Uniform outcomes or landlord ownership by the management company.</x:v>
      </x:c>
      <x:c r="U634" s="51" t="str">
        <x:v>Management may be internal, affiliated or third party.</x:v>
      </x:c>
      <x:c r="V634" s="51" t="str">
        <x:v>Active</x:v>
      </x:c>
      <x:c r="W634" s="51" t="str">
        <x:v>22;57</x:v>
      </x:c>
      <x:c r="X634" s="51" t="str">
        <x:v>2026-07-27</x:v>
      </x:c>
    </x:row>
    <x:row r="635">
      <x:c r="A635" s="51" t="str">
        <x:v>RES-001</x:v>
      </x:c>
      <x:c r="B635" s="51" t="str">
        <x:v>Research infrastructure and public funding</x:v>
      </x:c>
      <x:c r="C635" s="51" t="str">
        <x:v>ACT-NATIONALSCIENCEFOUNDATIO</x:v>
      </x:c>
      <x:c r="D635" s="51" t="str">
        <x:v>National Science Foundation</x:v>
      </x:c>
      <x:c r="E635" s="51" t="str">
        <x:v>ACT-NATIONALAIRESEARCHRESOUR</x:v>
      </x:c>
      <x:c r="F635" s="51" t="str">
        <x:v>National AI Research Resource</x:v>
      </x:c>
      <x:c r="G635" s="51" t="str">
        <x:v>Agency → infrastructure programme</x:v>
      </x:c>
      <x:c r="H635" s="51" t="str">
        <x:v>2024–present</x:v>
      </x:c>
      <x:c r="I635" s="51" t="str">
        <x:v>Programme leadership and funding</x:v>
      </x:c>
      <x:c r="J635" s="51" t="str">
        <x:v>INS-103</x:v>
      </x:c>
      <x:c r="K635" s="51" t="str">
        <x:v>14 other federal agencies and 28 private partners</x:v>
      </x:c>
      <x:c r="L635" s="51" t="str">
        <x:v>Public authority, grants and coordination</x:v>
      </x:c>
      <x:c r="M635" s="51" t="str">
        <x:v>Shared compute, data, models and training access</x:v>
      </x:c>
      <x:c r="N635" s="51" t="str">
        <x:v>Public research infrastructure partially counteracts frontier-compute concentration</x:v>
      </x:c>
      <x:c r="O635" s="51" t="str">
        <x:v>Financial; institutional; technological</x:v>
      </x:c>
      <x:c r="P635" s="51" t="str">
        <x:v>E1</x:v>
      </x:c>
      <x:c r="Q635" s="51" t="str">
        <x:v>Very high</x:v>
      </x:c>
      <x:c r="R635" s="51" t="str">
        <x:v>SRC-205; SRC-206; SRC-207</x:v>
      </x:c>
      <x:c r="S635" s="51" t="str">
        <x:v>NSF leads NAIRR and is transitioning it toward sustained operations.</x:v>
      </x:c>
      <x:c r="T635" s="51" t="str">
        <x:v>Universal access, guaranteed awards or independence from private providers.</x:v>
      </x:c>
      <x:c r="U635" s="51" t="str">
        <x:v>Resource allocations and partner contributions remain selective.</x:v>
      </x:c>
      <x:c r="V635" s="51" t="str">
        <x:v>Active transition</x:v>
      </x:c>
      <x:c r="W635" s="51" t="str">
        <x:v>57;75</x:v>
      </x:c>
      <x:c r="X635" s="51" t="str">
        <x:v>2026-07-27</x:v>
      </x:c>
    </x:row>
    <x:row r="636">
      <x:c r="A636" s="51" t="str">
        <x:v>RES-002</x:v>
      </x:c>
      <x:c r="B636" s="51" t="str">
        <x:v>Research infrastructure and public funding</x:v>
      </x:c>
      <x:c r="C636" s="51" t="str">
        <x:v>ACT-NAIRRPRIVATESECTORPARTNE</x:v>
      </x:c>
      <x:c r="D636" s="51" t="str">
        <x:v>NAIRR private-sector partners</x:v>
      </x:c>
      <x:c r="E636" s="51" t="str">
        <x:v>ACT-NATIONALAIRESEARCHRESOUR</x:v>
      </x:c>
      <x:c r="F636" s="51" t="str">
        <x:v>National AI Research Resource</x:v>
      </x:c>
      <x:c r="G636" s="51" t="str">
        <x:v>Partners → programme</x:v>
      </x:c>
      <x:c r="H636" s="51" t="str">
        <x:v>2024–present</x:v>
      </x:c>
      <x:c r="I636" s="51" t="str">
        <x:v>In-kind and platform contributions</x:v>
      </x:c>
      <x:c r="J636" s="51" t="str">
        <x:v>INS-103</x:v>
      </x:c>
      <x:c r="K636" s="51" t="str">
        <x:v>28 private-sector partners reported</x:v>
      </x:c>
      <x:c r="L636" s="51" t="str">
        <x:v>Compute, models, datasets, software and expertise</x:v>
      </x:c>
      <x:c r="M636" s="51" t="str">
        <x:v>Research resources allocated through a public portal</x:v>
      </x:c>
      <x:c r="N636" s="51" t="str">
        <x:v>Private infrastructure is pooled through a public allocation layer</x:v>
      </x:c>
      <x:c r="O636" s="51" t="str">
        <x:v>Technological; financial; relational</x:v>
      </x:c>
      <x:c r="P636" s="51" t="str">
        <x:v>E1</x:v>
      </x:c>
      <x:c r="Q636" s="51" t="str">
        <x:v>High</x:v>
      </x:c>
      <x:c r="R636" s="51" t="str">
        <x:v>SRC-206</x:v>
      </x:c>
      <x:c r="S636" s="51" t="str">
        <x:v>NSF reports 28 private-sector partners contributing to the pilot.</x:v>
      </x:c>
      <x:c r="T636" s="51" t="str">
        <x:v>Public ownership of contributed resources or equal access to every commercial capability.</x:v>
      </x:c>
      <x:c r="U636" s="51" t="str">
        <x:v>Partners retain ownership and define contributed capacity.</x:v>
      </x:c>
      <x:c r="V636" s="51" t="str">
        <x:v>Active</x:v>
      </x:c>
      <x:c r="W636" s="51" t="str">
        <x:v>57;75</x:v>
      </x:c>
      <x:c r="X636" s="51" t="str">
        <x:v>2026-07-27</x:v>
      </x:c>
    </x:row>
    <x:row r="637">
      <x:c r="A637" s="51" t="str">
        <x:v>RES-003</x:v>
      </x:c>
      <x:c r="B637" s="51" t="str">
        <x:v>Research infrastructure and public funding</x:v>
      </x:c>
      <x:c r="C637" s="51" t="str">
        <x:v>ACT-NATIONALAIRESEARCHRESOUR</x:v>
      </x:c>
      <x:c r="D637" s="51" t="str">
        <x:v>National AI Research Resource</x:v>
      </x:c>
      <x:c r="E637" s="51" t="str">
        <x:v>ACT-AIRESEARCHERSANDEDUCATOR</x:v>
      </x:c>
      <x:c r="F637" s="51" t="str">
        <x:v>AI researchers and educators</x:v>
      </x:c>
      <x:c r="G637" s="51" t="str">
        <x:v>Programme → community</x:v>
      </x:c>
      <x:c r="H637" s="51" t="str">
        <x:v>2024–present</x:v>
      </x:c>
      <x:c r="I637" s="51" t="str">
        <x:v>Competitive resource allocation</x:v>
      </x:c>
      <x:c r="J637" s="51" t="str">
        <x:v>INS-103</x:v>
      </x:c>
      <x:c r="K637" s="51" t="str">
        <x:v>Project-specific</x:v>
      </x:c>
      <x:c r="L637" s="51" t="str">
        <x:v>Applications and research proposals</x:v>
      </x:c>
      <x:c r="M637" s="51" t="str">
        <x:v>Access to advanced compute, data, models and support</x:v>
      </x:c>
      <x:c r="N637" s="51" t="str">
        <x:v>Allocation rules determine which researchers can cross the compute barrier</x:v>
      </x:c>
      <x:c r="O637" s="51" t="str">
        <x:v>Institutional; technological; informational</x:v>
      </x:c>
      <x:c r="P637" s="51" t="str">
        <x:v>E1</x:v>
      </x:c>
      <x:c r="Q637" s="51" t="str">
        <x:v>High</x:v>
      </x:c>
      <x:c r="R637" s="51" t="str">
        <x:v>SRC-205; SRC-206</x:v>
      </x:c>
      <x:c r="S637" s="51" t="str">
        <x:v>NAIRR provides application-based access to research resources.</x:v>
      </x:c>
      <x:c r="T637" s="51" t="str">
        <x:v>A right to unlimited compute or freedom from programme priorities.</x:v>
      </x:c>
      <x:c r="U637" s="51" t="str">
        <x:v>Selection criteria and resource scarcity remain important.</x:v>
      </x:c>
      <x:c r="V637" s="51" t="str">
        <x:v>Active</x:v>
      </x:c>
      <x:c r="W637" s="51" t="str">
        <x:v>57;75</x:v>
      </x:c>
      <x:c r="X637" s="51" t="str">
        <x:v>2026-07-27</x:v>
      </x:c>
    </x:row>
    <x:row r="638">
      <x:c r="A638" s="51" t="str">
        <x:v>RES-004</x:v>
      </x:c>
      <x:c r="B638" s="51" t="str">
        <x:v>Research infrastructure and public funding</x:v>
      </x:c>
      <x:c r="C638" s="51" t="str">
        <x:v>ACT-DARPA</x:v>
      </x:c>
      <x:c r="D638" s="51" t="str">
        <x:v>DARPA</x:v>
      </x:c>
      <x:c r="E638" s="51" t="str">
        <x:v>ACT-AIFORGE</x:v>
      </x:c>
      <x:c r="F638" s="51" t="str">
        <x:v>AI Forge</x:v>
      </x:c>
      <x:c r="G638" s="51" t="str">
        <x:v>Agency → programme</x:v>
      </x:c>
      <x:c r="H638" s="51" t="str">
        <x:v>2026 onward</x:v>
      </x:c>
      <x:c r="I638" s="51" t="str">
        <x:v>Programme creation and mission direction</x:v>
      </x:c>
      <x:c r="J638" s="51" t="str">
        <x:v>INS-104</x:v>
      </x:c>
      <x:c r="K638" s="51" t="str">
        <x:v>Launching</x:v>
      </x:c>
      <x:c r="L638" s="51" t="str">
        <x:v>National-security research priorities and funding</x:v>
      </x:c>
      <x:c r="M638" s="51" t="str">
        <x:v>University-led AI research forum</x:v>
      </x:c>
      <x:c r="N638" s="51" t="str">
        <x:v>Mission agencies convert strategic problems into funded research agendas</x:v>
      </x:c>
      <x:c r="O638" s="51" t="str">
        <x:v>Financial; institutional; technological</x:v>
      </x:c>
      <x:c r="P638" s="51" t="str">
        <x:v>E1</x:v>
      </x:c>
      <x:c r="Q638" s="51" t="str">
        <x:v>Very high</x:v>
      </x:c>
      <x:c r="R638" s="51" t="str">
        <x:v>SRC-208</x:v>
      </x:c>
      <x:c r="S638" s="51" t="str">
        <x:v>DARPA and NSF jointly developed AI Forge.</x:v>
      </x:c>
      <x:c r="T638" s="51" t="str">
        <x:v>Deployment of resulting systems or predetermined research conclusions.</x:v>
      </x:c>
      <x:c r="U638" s="51" t="str">
        <x:v>The programme was launching and funding details were still developing.</x:v>
      </x:c>
      <x:c r="V638" s="51" t="str">
        <x:v>Launching</x:v>
      </x:c>
      <x:c r="W638" s="51" t="str">
        <x:v>57;71;75</x:v>
      </x:c>
      <x:c r="X638" s="51" t="str">
        <x:v>2026-07-27</x:v>
      </x:c>
    </x:row>
    <x:row r="639">
      <x:c r="A639" s="51" t="str">
        <x:v>RES-005</x:v>
      </x:c>
      <x:c r="B639" s="51" t="str">
        <x:v>Research infrastructure and public funding</x:v>
      </x:c>
      <x:c r="C639" s="51" t="str">
        <x:v>ACT-NATIONALSCIENCEFOUNDATIO</x:v>
      </x:c>
      <x:c r="D639" s="51" t="str">
        <x:v>National Science Foundation</x:v>
      </x:c>
      <x:c r="E639" s="51" t="str">
        <x:v>ACT-AIFORGE</x:v>
      </x:c>
      <x:c r="F639" s="51" t="str">
        <x:v>AI Forge</x:v>
      </x:c>
      <x:c r="G639" s="51" t="str">
        <x:v>Agency → programme</x:v>
      </x:c>
      <x:c r="H639" s="51" t="str">
        <x:v>2026 onward</x:v>
      </x:c>
      <x:c r="I639" s="51" t="str">
        <x:v>Joint programme creation</x:v>
      </x:c>
      <x:c r="J639" s="51" t="str">
        <x:v>INS-104</x:v>
      </x:c>
      <x:c r="K639" s="51" t="str">
        <x:v>Launching</x:v>
      </x:c>
      <x:c r="L639" s="51" t="str">
        <x:v>Civil science funding and university networks</x:v>
      </x:c>
      <x:c r="M639" s="51" t="str">
        <x:v>National-security-oriented research collaboration</x:v>
      </x:c>
      <x:c r="N639" s="51" t="str">
        <x:v>Civil research institutions become a bridge between academic talent and mission agencies</x:v>
      </x:c>
      <x:c r="O639" s="51" t="str">
        <x:v>Financial; institutional; relational</x:v>
      </x:c>
      <x:c r="P639" s="51" t="str">
        <x:v>E1</x:v>
      </x:c>
      <x:c r="Q639" s="51" t="str">
        <x:v>Very high</x:v>
      </x:c>
      <x:c r="R639" s="51" t="str">
        <x:v>SRC-208</x:v>
      </x:c>
      <x:c r="S639" s="51" t="str">
        <x:v>NSF is a joint developer of AI Forge.</x:v>
      </x:c>
      <x:c r="T639" s="51" t="str">
        <x:v>Militarisation of all NSF AI research or loss of university independence.</x:v>
      </x:c>
      <x:c r="U639" s="51" t="str">
        <x:v>The programme targets specified research challenges.</x:v>
      </x:c>
      <x:c r="V639" s="51" t="str">
        <x:v>Launching</x:v>
      </x:c>
      <x:c r="W639" s="51" t="str">
        <x:v>57;71;75</x:v>
      </x:c>
      <x:c r="X639" s="51" t="str">
        <x:v>2026-07-27</x:v>
      </x:c>
    </x:row>
    <x:row r="640">
      <x:c r="A640" s="51" t="str">
        <x:v>RES-006</x:v>
      </x:c>
      <x:c r="B640" s="51" t="str">
        <x:v>Research infrastructure and public funding</x:v>
      </x:c>
      <x:c r="C640" s="51" t="str">
        <x:v>ACT-CENTERFORAISTANDARDSANDI</x:v>
      </x:c>
      <x:c r="D640" s="51" t="str">
        <x:v>Center for AI Standards and Innovation</x:v>
      </x:c>
      <x:c r="E640" s="51" t="str">
        <x:v>ACT-AIFORGE</x:v>
      </x:c>
      <x:c r="F640" s="51" t="str">
        <x:v>AI Forge</x:v>
      </x:c>
      <x:c r="G640" s="51" t="str">
        <x:v>Standards/evaluation centre → programme</x:v>
      </x:c>
      <x:c r="H640" s="51" t="str">
        <x:v>2026 onward</x:v>
      </x:c>
      <x:c r="I640" s="51" t="str">
        <x:v>Technical collaboration</x:v>
      </x:c>
      <x:c r="J640" s="51" t="str">
        <x:v>INS-104</x:v>
      </x:c>
      <x:c r="K640" s="51" t="str">
        <x:v>Programme-level</x:v>
      </x:c>
      <x:c r="L640" s="51" t="str">
        <x:v>Evaluation, standards and testing expertise</x:v>
      </x:c>
      <x:c r="M640" s="51" t="str">
        <x:v>Research priorities and assessment methods</x:v>
      </x:c>
      <x:c r="N640" s="51" t="str">
        <x:v>Measurement institutions help define what counts as trustworthy progress</x:v>
      </x:c>
      <x:c r="O640" s="51" t="str">
        <x:v>Informational; institutional</x:v>
      </x:c>
      <x:c r="P640" s="51" t="str">
        <x:v>E1</x:v>
      </x:c>
      <x:c r="Q640" s="51" t="str">
        <x:v>High</x:v>
      </x:c>
      <x:c r="R640" s="51" t="str">
        <x:v>SRC-208</x:v>
      </x:c>
      <x:c r="S640" s="51" t="str">
        <x:v>DARPA states CAISI collaborates on AI Forge.</x:v>
      </x:c>
      <x:c r="T640" s="51" t="str">
        <x:v>Control of university research or authority over all frontier labs.</x:v>
      </x:c>
      <x:c r="U640" s="51" t="str">
        <x:v>Roles and governance need programme documents.</x:v>
      </x:c>
      <x:c r="V640" s="51" t="str">
        <x:v>Launching</x:v>
      </x:c>
      <x:c r="W640" s="51" t="str">
        <x:v>57;74;75</x:v>
      </x:c>
      <x:c r="X640" s="51" t="str">
        <x:v>2026-07-27</x:v>
      </x:c>
    </x:row>
    <x:row r="641">
      <x:c r="A641" s="51" t="str">
        <x:v>RES-007</x:v>
      </x:c>
      <x:c r="B641" s="51" t="str">
        <x:v>Research infrastructure and public funding</x:v>
      </x:c>
      <x:c r="C641" s="51" t="str">
        <x:v>ACT-AIFORGE</x:v>
      </x:c>
      <x:c r="D641" s="51" t="str">
        <x:v>AI Forge</x:v>
      </x:c>
      <x:c r="E641" s="51" t="str">
        <x:v>ACT-UNIVERSITYLEDAIRESEARCHT</x:v>
      </x:c>
      <x:c r="F641" s="51" t="str">
        <x:v>University-led AI research teams</x:v>
      </x:c>
      <x:c r="G641" s="51" t="str">
        <x:v>Programme → teams</x:v>
      </x:c>
      <x:c r="H641" s="51" t="str">
        <x:v>2026 onward</x:v>
      </x:c>
      <x:c r="I641" s="51" t="str">
        <x:v>Research funding and guidance</x:v>
      </x:c>
      <x:c r="J641" s="51" t="str">
        <x:v>INS-104</x:v>
      </x:c>
      <x:c r="K641" s="51" t="str">
        <x:v>15 challenge areas reported</x:v>
      </x:c>
      <x:c r="L641" s="51" t="str">
        <x:v>Proposals, academic talent and public/private compute</x:v>
      </x:c>
      <x:c r="M641" s="51" t="str">
        <x:v>Funded interpretability, control and robustness research</x:v>
      </x:c>
      <x:c r="N641" s="51" t="str">
        <x:v>A hybrid forum converts government mission needs and frontier resources into academic research projects</x:v>
      </x:c>
      <x:c r="O641" s="51" t="str">
        <x:v>Financial; technological; institutional</x:v>
      </x:c>
      <x:c r="P641" s="51" t="str">
        <x:v>E1</x:v>
      </x:c>
      <x:c r="Q641" s="51" t="str">
        <x:v>High</x:v>
      </x:c>
      <x:c r="R641" s="51" t="str">
        <x:v>SRC-208</x:v>
      </x:c>
      <x:c r="S641" s="51" t="str">
        <x:v>AI Forge is designed around university-led teams in three thrust areas.</x:v>
      </x:c>
      <x:c r="T641" s="51" t="str">
        <x:v>Guaranteed funding to all respondents or field deployment.</x:v>
      </x:c>
      <x:c r="U641" s="51" t="str">
        <x:v>Selection and award mechanisms were not final in the announcement.</x:v>
      </x:c>
      <x:c r="V641" s="51" t="str">
        <x:v>Launching</x:v>
      </x:c>
      <x:c r="W641" s="51" t="str">
        <x:v>57;71;75</x:v>
      </x:c>
      <x:c r="X641" s="51" t="str">
        <x:v>2026-07-27</x:v>
      </x:c>
    </x:row>
    <x:row r="642">
      <x:c r="A642" s="51" t="str">
        <x:v>RES-008</x:v>
      </x:c>
      <x:c r="B642" s="51" t="str">
        <x:v>Research infrastructure and public funding</x:v>
      </x:c>
      <x:c r="C642" s="51" t="str">
        <x:v>ACT-FRONTIERAICOMPANIES</x:v>
      </x:c>
      <x:c r="D642" s="51" t="str">
        <x:v>Frontier AI companies</x:v>
      </x:c>
      <x:c r="E642" s="51" t="str">
        <x:v>ACT-AIFORGE</x:v>
      </x:c>
      <x:c r="F642" s="51" t="str">
        <x:v>AI Forge</x:v>
      </x:c>
      <x:c r="G642" s="51" t="str">
        <x:v>Companies → programme</x:v>
      </x:c>
      <x:c r="H642" s="51" t="str">
        <x:v>2026 onward</x:v>
      </x:c>
      <x:c r="I642" s="51" t="str">
        <x:v>Models, compute and expertise contribution</x:v>
      </x:c>
      <x:c r="J642" s="51" t="str">
        <x:v>INS-104</x:v>
      </x:c>
      <x:c r="K642" s="51" t="str">
        <x:v>Frontier-scale resources</x:v>
      </x:c>
      <x:c r="L642" s="51" t="str">
        <x:v>Commercial models and technical expertise</x:v>
      </x:c>
      <x:c r="M642" s="51" t="str">
        <x:v>Research infrastructure for national-security challenges</x:v>
      </x:c>
      <x:c r="N642" s="51" t="str">
        <x:v>Frontier firms gain agenda access while public programmes gain otherwise scarce capabilities</x:v>
      </x:c>
      <x:c r="O642" s="51" t="str">
        <x:v>Technological; relational; institutional</x:v>
      </x:c>
      <x:c r="P642" s="51" t="str">
        <x:v>E2</x:v>
      </x:c>
      <x:c r="Q642" s="51" t="str">
        <x:v>High</x:v>
      </x:c>
      <x:c r="R642" s="51" t="str">
        <x:v>SRC-208</x:v>
      </x:c>
      <x:c r="S642" s="51" t="str">
        <x:v>DARPA convened frontier companies and designed a forum connecting them with universities and government.</x:v>
      </x:c>
      <x:c r="T642" s="51" t="str">
        <x:v>Transfer of company ownership or control of the research agenda by a single firm.</x:v>
      </x:c>
      <x:c r="U642" s="51" t="str">
        <x:v>The exact participants and contribution terms require future programme records.</x:v>
      </x:c>
      <x:c r="V642" s="51" t="str">
        <x:v>Launching</x:v>
      </x:c>
      <x:c r="W642" s="51" t="str">
        <x:v>57;71;75</x:v>
      </x:c>
      <x:c r="X642" s="51" t="str">
        <x:v>2026-07-27</x:v>
      </x:c>
    </x:row>
    <x:row r="643">
      <x:c r="A643" s="51" t="str">
        <x:v>RISK-001</x:v>
      </x:c>
      <x:c r="B643" s="51" t="str">
        <x:v>Risk capital and systemic backstops</x:v>
      </x:c>
      <x:c r="C643" s="51" t="str">
        <x:v>ACT-SWISSRE</x:v>
      </x:c>
      <x:c r="D643" s="51" t="str">
        <x:v>Swiss Re</x:v>
      </x:c>
      <x:c r="E643" s="51" t="str">
        <x:v>ACT-PRIMARYINSURANCECOMPANIE</x:v>
      </x:c>
      <x:c r="F643" s="51" t="str">
        <x:v>Primary insurance companies</x:v>
      </x:c>
      <x:c r="G643" s="51" t="str">
        <x:v>Reinsurer → insurer</x:v>
      </x:c>
      <x:c r="H643" s="51" t="str">
        <x:v>Ongoing</x:v>
      </x:c>
      <x:c r="I643" s="51" t="str">
        <x:v>Reinsurance treaty and facultative capacity</x:v>
      </x:c>
      <x:c r="J643" s="51" t="str"/>
      <x:c r="K643" s="51" t="str">
        <x:v>Global balance sheet</x:v>
      </x:c>
      <x:c r="L643" s="51" t="str">
        <x:v>Premium and risk portfolios</x:v>
      </x:c>
      <x:c r="M643" s="51" t="str">
        <x:v>Capital relief and loss-sharing</x:v>
      </x:c>
      <x:c r="N643" s="51" t="str">
        <x:v>Reinsurance converts globally diversified capital into additional local underwriting capacity</x:v>
      </x:c>
      <x:c r="O643" s="51" t="str">
        <x:v>Financial; institutional; adaptive</x:v>
      </x:c>
      <x:c r="P643" s="51" t="str">
        <x:v>E1</x:v>
      </x:c>
      <x:c r="Q643" s="51" t="str">
        <x:v>High</x:v>
      </x:c>
      <x:c r="R643" s="51" t="str">
        <x:v>SRC-179</x:v>
      </x:c>
      <x:c r="S643" s="51" t="str">
        <x:v>Swiss Re is a major global reinsurer with large capital and insurance operations.</x:v>
      </x:c>
      <x:c r="T643" s="51" t="str">
        <x:v>Government guarantee, coverage of every catastrophe or absence of exclusions.</x:v>
      </x:c>
      <x:c r="U643" s="51" t="str">
        <x:v>Pricing, attachment points and retrocession determine realised protection.</x:v>
      </x:c>
      <x:c r="V643" s="51" t="str">
        <x:v>Active</x:v>
      </x:c>
      <x:c r="W643" s="51" t="str">
        <x:v>57;76</x:v>
      </x:c>
      <x:c r="X643" s="51" t="str">
        <x:v>2026-07-27</x:v>
      </x:c>
    </x:row>
    <x:row r="644">
      <x:c r="A644" s="51" t="str">
        <x:v>RISK-002</x:v>
      </x:c>
      <x:c r="B644" s="51" t="str">
        <x:v>Risk capital and systemic backstops</x:v>
      </x:c>
      <x:c r="C644" s="51" t="str">
        <x:v>ACT-MUNICHRE</x:v>
      </x:c>
      <x:c r="D644" s="51" t="str">
        <x:v>Munich Re</x:v>
      </x:c>
      <x:c r="E644" s="51" t="str">
        <x:v>ACT-PRIMARYINSURANCECOMPANIE</x:v>
      </x:c>
      <x:c r="F644" s="51" t="str">
        <x:v>Primary insurance companies</x:v>
      </x:c>
      <x:c r="G644" s="51" t="str">
        <x:v>Reinsurer → insurer</x:v>
      </x:c>
      <x:c r="H644" s="51" t="str">
        <x:v>Ongoing</x:v>
      </x:c>
      <x:c r="I644" s="51" t="str">
        <x:v>Reinsurance treaty and facultative capacity</x:v>
      </x:c>
      <x:c r="J644" s="51" t="str"/>
      <x:c r="K644" s="51" t="str">
        <x:v>Global balance sheet</x:v>
      </x:c>
      <x:c r="L644" s="51" t="str">
        <x:v>Premium and risk portfolios</x:v>
      </x:c>
      <x:c r="M644" s="51" t="str">
        <x:v>Capital relief and loss-sharing</x:v>
      </x:c>
      <x:c r="N644" s="51" t="str">
        <x:v>Reinsurance converts globally diversified capital into additional local underwriting capacity</x:v>
      </x:c>
      <x:c r="O644" s="51" t="str">
        <x:v>Financial; institutional; adaptive</x:v>
      </x:c>
      <x:c r="P644" s="51" t="str">
        <x:v>E1</x:v>
      </x:c>
      <x:c r="Q644" s="51" t="str">
        <x:v>High</x:v>
      </x:c>
      <x:c r="R644" s="51" t="str">
        <x:v>SRC-180</x:v>
      </x:c>
      <x:c r="S644" s="51" t="str">
        <x:v>Munich Re is a major global reinsurer with large capital and insurance operations.</x:v>
      </x:c>
      <x:c r="T644" s="51" t="str">
        <x:v>Government guarantee, coverage of every catastrophe or absence of exclusions.</x:v>
      </x:c>
      <x:c r="U644" s="51" t="str">
        <x:v>Pricing, attachment points and retrocession determine realised protection.</x:v>
      </x:c>
      <x:c r="V644" s="51" t="str">
        <x:v>Active</x:v>
      </x:c>
      <x:c r="W644" s="51" t="str">
        <x:v>57;76</x:v>
      </x:c>
      <x:c r="X644" s="51" t="str">
        <x:v>2026-07-27</x:v>
      </x:c>
    </x:row>
    <x:row r="645">
      <x:c r="A645" s="51" t="str">
        <x:v>RISK-003</x:v>
      </x:c>
      <x:c r="B645" s="51" t="str">
        <x:v>Risk capital and systemic backstops</x:v>
      </x:c>
      <x:c r="C645" s="51" t="str">
        <x:v>ACT-PRIMARYINSURANCECOMPANIE</x:v>
      </x:c>
      <x:c r="D645" s="51" t="str">
        <x:v>Primary insurance companies</x:v>
      </x:c>
      <x:c r="E645" s="51" t="str">
        <x:v>ACT-CATASTROPHEEXPOSEDGOVERN</x:v>
      </x:c>
      <x:c r="F645" s="51" t="str">
        <x:v>Catastrophe-exposed governments and firms</x:v>
      </x:c>
      <x:c r="G645" s="51" t="str">
        <x:v>Insurer → insured</x:v>
      </x:c>
      <x:c r="H645" s="51" t="str">
        <x:v>Ongoing</x:v>
      </x:c>
      <x:c r="I645" s="51" t="str">
        <x:v>Insurance policy and claims relationship</x:v>
      </x:c>
      <x:c r="J645" s="51" t="str"/>
      <x:c r="K645" s="51" t="str">
        <x:v>Policy-specific</x:v>
      </x:c>
      <x:c r="L645" s="51" t="str">
        <x:v>Premiums and underwriting data</x:v>
      </x:c>
      <x:c r="M645" s="51" t="str">
        <x:v>Conditional loss payment</x:v>
      </x:c>
      <x:c r="N645" s="51" t="str">
        <x:v>Insurance converts uncertain future loss into a priced claim on pooled capital</x:v>
      </x:c>
      <x:c r="O645" s="51" t="str">
        <x:v>Financial; adaptive</x:v>
      </x:c>
      <x:c r="P645" s="51" t="str">
        <x:v>S1</x:v>
      </x:c>
      <x:c r="Q645" s="51" t="str">
        <x:v>High</x:v>
      </x:c>
      <x:c r="R645" s="51" t="str">
        <x:v>SRC-179; SRC-180</x:v>
      </x:c>
      <x:c r="S645" s="51" t="str">
        <x:v>Primary insurers transfer and price risks with reinsurance support.</x:v>
      </x:c>
      <x:c r="T645" s="51" t="str">
        <x:v>Full compensation, affordable coverage or immunity from systemic exclusion.</x:v>
      </x:c>
      <x:c r="U645" s="51" t="str">
        <x:v>Deductibles, exclusions and post-event disputes remain material.</x:v>
      </x:c>
      <x:c r="V645" s="51" t="str">
        <x:v>Active</x:v>
      </x:c>
      <x:c r="W645" s="51" t="str">
        <x:v>57;76</x:v>
      </x:c>
      <x:c r="X645" s="51" t="str">
        <x:v>2026-07-27</x:v>
      </x:c>
    </x:row>
    <x:row r="646">
      <x:c r="A646" s="51" t="str">
        <x:v>SAN-001</x:v>
      </x:c>
      <x:c r="B646" s="51" t="str">
        <x:v>Sanctions and custody</x:v>
      </x:c>
      <x:c r="C646" s="51" t="str">
        <x:v>ACT-OFFICEOFFOREIGNASSETSCON</x:v>
      </x:c>
      <x:c r="D646" s="51" t="str">
        <x:v>Office of Foreign Assets Control</x:v>
      </x:c>
      <x:c r="E646" s="51" t="str">
        <x:v>ACT-GOVERNINGINSTITUTIONALNE</x:v>
      </x:c>
      <x:c r="F646" s="51" t="str">
        <x:v>Governing institutional networks</x:v>
      </x:c>
      <x:c r="G646" s="51" t="str">
        <x:v>Authority → financial network</x:v>
      </x:c>
      <x:c r="H646" s="51" t="str">
        <x:v>Ongoing</x:v>
      </x:c>
      <x:c r="I646" s="51" t="str">
        <x:v>Economic and trade sanctions administration</x:v>
      </x:c>
      <x:c r="J646" s="51" t="str"/>
      <x:c r="K646" s="51" t="str">
        <x:v>Thousands of designations and programmes</x:v>
      </x:c>
      <x:c r="L646" s="51" t="str">
        <x:v>Foreign-policy and national-security decisions</x:v>
      </x:c>
      <x:c r="M646" s="51" t="str">
        <x:v>Blocked assets and prohibited transactions</x:v>
      </x:c>
      <x:c r="N646" s="51" t="str">
        <x:v>Legal authority is converted into financial exclusion through banks, custodians, issuers and payment firms</x:v>
      </x:c>
      <x:c r="O646" s="51" t="str">
        <x:v>Enforcement; financial; institutional</x:v>
      </x:c>
      <x:c r="P646" s="51" t="str">
        <x:v>E1</x:v>
      </x:c>
      <x:c r="Q646" s="51" t="str">
        <x:v>Very high</x:v>
      </x:c>
      <x:c r="R646" s="51" t="str">
        <x:v>SRC-106; SRC-107</x:v>
      </x:c>
      <x:c r="S646" s="51" t="str">
        <x:v>OFAC administers and enforces US sanctions using blocking and trade restrictions.</x:v>
      </x:c>
      <x:c r="T646" s="51" t="str">
        <x:v>Direct operational control over every foreign institution or automatic effectiveness outside US jurisdiction.</x:v>
      </x:c>
      <x:c r="U646" s="51" t="str">
        <x:v>Compliance depends on legal nexus, counterparties, data and enforcement cooperation.</x:v>
      </x:c>
      <x:c r="V646" s="51" t="str">
        <x:v>Active</x:v>
      </x:c>
      <x:c r="W646" s="51" t="str">
        <x:v>44;57</x:v>
      </x:c>
      <x:c r="X646" s="51" t="str">
        <x:v>2026-07-27</x:v>
      </x:c>
    </x:row>
    <x:row r="647">
      <x:c r="A647" s="51" t="str">
        <x:v>SAN-002</x:v>
      </x:c>
      <x:c r="B647" s="51" t="str">
        <x:v>Sanctions and custody</x:v>
      </x:c>
      <x:c r="C647" s="51" t="str">
        <x:v>ACT-EUROCLEAR</x:v>
      </x:c>
      <x:c r="D647" s="51" t="str">
        <x:v>Euroclear</x:v>
      </x:c>
      <x:c r="E647" s="51" t="str">
        <x:v>ACT-CENTRALBANKOFRUSSIA</x:v>
      </x:c>
      <x:c r="F647" s="51" t="str">
        <x:v>Central Bank of Russia</x:v>
      </x:c>
      <x:c r="G647" s="51" t="str">
        <x:v>Custodian → asset owner</x:v>
      </x:c>
      <x:c r="H647" s="51" t="str">
        <x:v>2022–present</x:v>
      </x:c>
      <x:c r="I647" s="51" t="str">
        <x:v>Immobilisation of sanctioned reserve assets</x:v>
      </x:c>
      <x:c r="J647" s="51" t="str">
        <x:v>INS-050</x:v>
      </x:c>
      <x:c r="K647" s="51" t="str">
        <x:v>€202bn related to sanctioned Russian assets at June 2026</x:v>
      </x:c>
      <x:c r="L647" s="51" t="str">
        <x:v>Sovereign securities and cash flows held in custody</x:v>
      </x:c>
      <x:c r="M647" s="51" t="str">
        <x:v>Blocked access and accumulated cash balances</x:v>
      </x:c>
      <x:c r="N647" s="51" t="str">
        <x:v>Custody location converts legal sanctions into loss of practical control over nominally owned reserves</x:v>
      </x:c>
      <x:c r="O647" s="51" t="str">
        <x:v>Financial; ownership; enforcement</x:v>
      </x:c>
      <x:c r="P647" s="51" t="str">
        <x:v>E1</x:v>
      </x:c>
      <x:c r="Q647" s="51" t="str">
        <x:v>Very high</x:v>
      </x:c>
      <x:c r="R647" s="51" t="str">
        <x:v>SRC-108; SRC-110</x:v>
      </x:c>
      <x:c r="S647" s="51" t="str">
        <x:v>Euroclear holds a very large balance associated with immobilised Russian assets.</x:v>
      </x:c>
      <x:c r="T647" s="51" t="str">
        <x:v>Permanent confiscation of principal, transfer of legal ownership or absence of litigation risk.</x:v>
      </x:c>
      <x:c r="U647" s="51" t="str">
        <x:v>Freeze, use of income and seizure of principal are legally different acts.</x:v>
      </x:c>
      <x:c r="V647" s="51" t="str">
        <x:v>Active / litigated</x:v>
      </x:c>
      <x:c r="W647" s="51" t="str">
        <x:v>44;57</x:v>
      </x:c>
      <x:c r="X647" s="51" t="str">
        <x:v>2026-07-27</x:v>
      </x:c>
    </x:row>
    <x:row r="648">
      <x:c r="A648" s="51" t="str">
        <x:v>SAN-003</x:v>
      </x:c>
      <x:c r="B648" s="51" t="str">
        <x:v>Sanctions and custody</x:v>
      </x:c>
      <x:c r="C648" s="51" t="str">
        <x:v>ACT-EUROCLEAR</x:v>
      </x:c>
      <x:c r="D648" s="51" t="str">
        <x:v>Euroclear</x:v>
      </x:c>
      <x:c r="E648" s="51" t="str">
        <x:v>ACT-EUROPEANCOMMISSION</x:v>
      </x:c>
      <x:c r="F648" s="51" t="str">
        <x:v>European Commission</x:v>
      </x:c>
      <x:c r="G648" s="51" t="str">
        <x:v>Custodian → supranational authority</x:v>
      </x:c>
      <x:c r="H648" s="51" t="str">
        <x:v>2025–2026</x:v>
      </x:c>
      <x:c r="I648" s="51" t="str">
        <x:v>Windfall contribution under EU regulation</x:v>
      </x:c>
      <x:c r="J648" s="51" t="str">
        <x:v>INS-051</x:v>
      </x:c>
      <x:c r="K648" s="51" t="str">
        <x:v>€744m provision in Q1 2026</x:v>
      </x:c>
      <x:c r="L648" s="51" t="str">
        <x:v>Income earned on reinvested sanctioned cash balances</x:v>
      </x:c>
      <x:c r="M648" s="51" t="str">
        <x:v>Fiscal contribution for European support to Ukraine</x:v>
      </x:c>
      <x:c r="N648" s="51" t="str">
        <x:v>Custody-generated income is converted into state financing without transferring the underlying principal</x:v>
      </x:c>
      <x:c r="O648" s="51" t="str">
        <x:v>Financial; institutional; enforcement</x:v>
      </x:c>
      <x:c r="P648" s="51" t="str">
        <x:v>E1</x:v>
      </x:c>
      <x:c r="Q648" s="51" t="str">
        <x:v>Very high</x:v>
      </x:c>
      <x:c r="R648" s="51" t="str">
        <x:v>SRC-109</x:v>
      </x:c>
      <x:c r="S648" s="51" t="str">
        <x:v>Euroclear provisioned the required contribution from sanctioned-asset income.</x:v>
      </x:c>
      <x:c r="T648" s="51" t="str">
        <x:v>Confiscation of the Central Bank of Russia principal assets.</x:v>
      </x:c>
      <x:c r="U648" s="51" t="str">
        <x:v>The arrangement is exposed to interest rates, litigation and policy change.</x:v>
      </x:c>
      <x:c r="V648" s="51" t="str">
        <x:v>Active</x:v>
      </x:c>
      <x:c r="W648" s="51" t="str">
        <x:v>44;57</x:v>
      </x:c>
      <x:c r="X648" s="51" t="str">
        <x:v>2026-07-27</x:v>
      </x:c>
    </x:row>
    <x:row r="649">
      <x:c r="A649" s="51" t="str">
        <x:v>SAN-004</x:v>
      </x:c>
      <x:c r="B649" s="51" t="str">
        <x:v>Sanctions and custody</x:v>
      </x:c>
      <x:c r="C649" s="51" t="str">
        <x:v>ACT-EUROPEANCOMMISSION</x:v>
      </x:c>
      <x:c r="D649" s="51" t="str">
        <x:v>European Commission</x:v>
      </x:c>
      <x:c r="E649" s="51" t="str">
        <x:v>ACT-UKRAINE</x:v>
      </x:c>
      <x:c r="F649" s="51" t="str">
        <x:v>Ukraine</x:v>
      </x:c>
      <x:c r="G649" s="51" t="str">
        <x:v>Supranational authority → country</x:v>
      </x:c>
      <x:c r="H649" s="51" t="str">
        <x:v>2025–2026</x:v>
      </x:c>
      <x:c r="I649" s="51" t="str">
        <x:v>Support funded partly from sanctioned-asset windfall income</x:v>
      </x:c>
      <x:c r="J649" s="51" t="str">
        <x:v>INS-051</x:v>
      </x:c>
      <x:c r="K649" s="51" t="str">
        <x:v>Contribution framework</x:v>
      </x:c>
      <x:c r="L649" s="51" t="str">
        <x:v>EU fiscal and legal authority</x:v>
      </x:c>
      <x:c r="M649" s="51" t="str">
        <x:v>Financial support to Ukraine</x:v>
      </x:c>
      <x:c r="N649" s="51" t="str">
        <x:v>Sanctions-generated income is converted into war and reconstruction financing</x:v>
      </x:c>
      <x:c r="O649" s="51" t="str">
        <x:v>Financial; enforcement; material</x:v>
      </x:c>
      <x:c r="P649" s="51" t="str">
        <x:v>S1</x:v>
      </x:c>
      <x:c r="Q649" s="51" t="str">
        <x:v>High</x:v>
      </x:c>
      <x:c r="R649" s="51" t="str">
        <x:v>SRC-109</x:v>
      </x:c>
      <x:c r="S649" s="51" t="str">
        <x:v>The windfall contribution is used by Europe to support Ukraine.</x:v>
      </x:c>
      <x:c r="T649" s="51" t="str">
        <x:v>Direct one-to-one tracing of every euro to a specific weapon or programme.</x:v>
      </x:c>
      <x:c r="U649" s="51" t="str">
        <x:v>EU support uses multiple budgetary and lending channels.</x:v>
      </x:c>
      <x:c r="V649" s="51" t="str">
        <x:v>Active</x:v>
      </x:c>
      <x:c r="W649" s="51" t="str">
        <x:v>44;57</x:v>
      </x:c>
      <x:c r="X649" s="51" t="str">
        <x:v>2026-07-27</x:v>
      </x:c>
    </x:row>
    <x:row r="650">
      <x:c r="A650" s="51" t="str">
        <x:v>SERV-001</x:v>
      </x:c>
      <x:c r="B650" s="51" t="str">
        <x:v>Mortgage registry, servicing and foreclosure</x:v>
      </x:c>
      <x:c r="C650" s="51" t="str">
        <x:v>ACT-MERSCORPHOLDINGS</x:v>
      </x:c>
      <x:c r="D650" s="51" t="str">
        <x:v>MERSCORP Holdings</x:v>
      </x:c>
      <x:c r="E650" s="51" t="str">
        <x:v>ACT-MERSSYSTEM</x:v>
      </x:c>
      <x:c r="F650" s="51" t="str">
        <x:v>MERS System</x:v>
      </x:c>
      <x:c r="G650" s="51" t="str">
        <x:v>Company → registry</x:v>
      </x:c>
      <x:c r="H650" s="51" t="str">
        <x:v>Ongoing</x:v>
      </x:c>
      <x:c r="I650" s="51" t="str">
        <x:v>Ownership and operation</x:v>
      </x:c>
      <x:c r="J650" s="51" t="str">
        <x:v>INS-163</x:v>
      </x:c>
      <x:c r="K650" s="51" t="str">
        <x:v>National registry</x:v>
      </x:c>
      <x:c r="L650" s="51" t="str">
        <x:v>Member reports and mortgage identifiers</x:v>
      </x:c>
      <x:c r="M650" s="51" t="str">
        <x:v>Database of servicing and beneficial-interest changes</x:v>
      </x:c>
      <x:c r="N650" s="51" t="str">
        <x:v>A private company operates a parallel information layer above local mortgage records</x:v>
      </x:c>
      <x:c r="O650" s="51" t="str">
        <x:v>Informational; institutional; ownership</x:v>
      </x:c>
      <x:c r="P650" s="51" t="str">
        <x:v>E1</x:v>
      </x:c>
      <x:c r="Q650" s="51" t="str">
        <x:v>Very high</x:v>
      </x:c>
      <x:c r="R650" s="51" t="str">
        <x:v>SRC-317</x:v>
      </x:c>
      <x:c r="S650" s="51" t="str">
        <x:v>MERSCORP owns and operates the MERS System.</x:v>
      </x:c>
      <x:c r="T650" s="51" t="str">
        <x:v>Legal title ownership of every registered loan by MERSCORP.</x:v>
      </x:c>
      <x:c r="U650" s="51" t="str">
        <x:v>Members retain economic interests and reporting duties.</x:v>
      </x:c>
      <x:c r="V650" s="51" t="str">
        <x:v>Active</x:v>
      </x:c>
      <x:c r="W650" s="51" t="str">
        <x:v>39;57</x:v>
      </x:c>
      <x:c r="X650" s="51" t="str">
        <x:v>2026-07-27</x:v>
      </x:c>
    </x:row>
    <x:row r="651">
      <x:c r="A651" s="51" t="str">
        <x:v>SERV-002</x:v>
      </x:c>
      <x:c r="B651" s="51" t="str">
        <x:v>Mortgage registry, servicing and foreclosure</x:v>
      </x:c>
      <x:c r="C651" s="51" t="str">
        <x:v>ACT-MORTGAGELENDERSANDAPPROV</x:v>
      </x:c>
      <x:c r="D651" s="51" t="str">
        <x:v>Mortgage lenders and approved issuers</x:v>
      </x:c>
      <x:c r="E651" s="51" t="str">
        <x:v>ACT-MERSSYSTEM</x:v>
      </x:c>
      <x:c r="F651" s="51" t="str">
        <x:v>MERS System</x:v>
      </x:c>
      <x:c r="G651" s="51" t="str">
        <x:v>Member → registry</x:v>
      </x:c>
      <x:c r="H651" s="51" t="str">
        <x:v>Origination and transfer</x:v>
      </x:c>
      <x:c r="I651" s="51" t="str">
        <x:v>Registration and update</x:v>
      </x:c>
      <x:c r="J651" s="51" t="str">
        <x:v>INS-163</x:v>
      </x:c>
      <x:c r="K651" s="51" t="str">
        <x:v>Large share of new US residential originations</x:v>
      </x:c>
      <x:c r="L651" s="51" t="str">
        <x:v>Mortgage identity and member-reported rights</x:v>
      </x:c>
      <x:c r="M651" s="51" t="str">
        <x:v>Updated servicer and beneficial-interest record</x:v>
      </x:c>
      <x:c r="N651" s="51" t="str">
        <x:v>The registry reduces repeated county assignments when servicing or ownership changes among members</x:v>
      </x:c>
      <x:c r="O651" s="51" t="str">
        <x:v>Informational; financial; relational</x:v>
      </x:c>
      <x:c r="P651" s="51" t="str">
        <x:v>E1</x:v>
      </x:c>
      <x:c r="Q651" s="51" t="str">
        <x:v>High</x:v>
      </x:c>
      <x:c r="R651" s="51" t="str">
        <x:v>SRC-317</x:v>
      </x:c>
      <x:c r="S651" s="51" t="str">
        <x:v>The system tracks changes reported by members.</x:v>
      </x:c>
      <x:c r="T651" s="51" t="str">
        <x:v>Perfect accuracy or replacement of all public land records.</x:v>
      </x:c>
      <x:c r="U651" s="51" t="str">
        <x:v>Data quality depends on member reporting and legal rules.</x:v>
      </x:c>
      <x:c r="V651" s="51" t="str">
        <x:v>Active</x:v>
      </x:c>
      <x:c r="W651" s="51" t="str">
        <x:v>39;57</x:v>
      </x:c>
      <x:c r="X651" s="51" t="str">
        <x:v>2026-07-27</x:v>
      </x:c>
    </x:row>
    <x:row r="652">
      <x:c r="A652" s="51" t="str">
        <x:v>SERV-003</x:v>
      </x:c>
      <x:c r="B652" s="51" t="str">
        <x:v>Mortgage registry, servicing and foreclosure</x:v>
      </x:c>
      <x:c r="C652" s="51" t="str">
        <x:v>ACT-MERSCORPHOLDINGS</x:v>
      </x:c>
      <x:c r="D652" s="51" t="str">
        <x:v>MERSCORP Holdings</x:v>
      </x:c>
      <x:c r="E652" s="51" t="str">
        <x:v>ACT-MERSEREGISTRY</x:v>
      </x:c>
      <x:c r="F652" s="51" t="str">
        <x:v>MERS eRegistry</x:v>
      </x:c>
      <x:c r="G652" s="51" t="str">
        <x:v>Company → eNote registry</x:v>
      </x:c>
      <x:c r="H652" s="51" t="str">
        <x:v>Ongoing</x:v>
      </x:c>
      <x:c r="I652" s="51" t="str">
        <x:v>Electronic note control registry</x:v>
      </x:c>
      <x:c r="J652" s="51" t="str">
        <x:v>INS-164</x:v>
      </x:c>
      <x:c r="K652" s="51" t="str">
        <x:v>National eNote market</x:v>
      </x:c>
      <x:c r="L652" s="51" t="str">
        <x:v>Controller and custodian reports</x:v>
      </x:c>
      <x:c r="M652" s="51" t="str">
        <x:v>System-of-record status for authoritative eNote copy</x:v>
      </x:c>
      <x:c r="N652" s="51" t="str">
        <x:v>Digital registry rules make electronic mortgage notes transferable without moving a paper original</x:v>
      </x:c>
      <x:c r="O652" s="51" t="str">
        <x:v>Informational; technological; ownership</x:v>
      </x:c>
      <x:c r="P652" s="51" t="str">
        <x:v>E1</x:v>
      </x:c>
      <x:c r="Q652" s="51" t="str">
        <x:v>Very high</x:v>
      </x:c>
      <x:c r="R652" s="51" t="str">
        <x:v>SRC-318</x:v>
      </x:c>
      <x:c r="S652" s="51" t="str">
        <x:v>MERS eRegistry identifies controller and location of registered eNotes.</x:v>
      </x:c>
      <x:c r="T652" s="51" t="str">
        <x:v>Ownership of every eNote by MERSCORP or immunity from fraud and operational error.</x:v>
      </x:c>
      <x:c r="U652" s="51" t="str">
        <x:v>Participants remain responsible for underlying rights and custody.</x:v>
      </x:c>
      <x:c r="V652" s="51" t="str">
        <x:v>Active</x:v>
      </x:c>
      <x:c r="W652" s="51" t="str">
        <x:v>39;57</x:v>
      </x:c>
      <x:c r="X652" s="51" t="str">
        <x:v>2026-07-27</x:v>
      </x:c>
    </x:row>
    <x:row r="653">
      <x:c r="A653" s="51" t="str">
        <x:v>SERV-004</x:v>
      </x:c>
      <x:c r="B653" s="51" t="str">
        <x:v>Mortgage registry, servicing and foreclosure</x:v>
      </x:c>
      <x:c r="C653" s="51" t="str">
        <x:v>ACT-MORTGAGESERVICINGRIGHTOW</x:v>
      </x:c>
      <x:c r="D653" s="51" t="str">
        <x:v>Mortgage servicing-right owners</x:v>
      </x:c>
      <x:c r="E653" s="51" t="str">
        <x:v>ACT-MORTGAGESERVICERS</x:v>
      </x:c>
      <x:c r="F653" s="51" t="str">
        <x:v>Mortgage servicers</x:v>
      </x:c>
      <x:c r="G653" s="51" t="str">
        <x:v>Asset owner → operator</x:v>
      </x:c>
      <x:c r="H653" s="51" t="str">
        <x:v>Ongoing</x:v>
      </x:c>
      <x:c r="I653" s="51" t="str">
        <x:v>Servicing contract and fee stream</x:v>
      </x:c>
      <x:c r="J653" s="51" t="str"/>
      <x:c r="K653" s="51" t="str">
        <x:v>Portfolio-specific</x:v>
      </x:c>
      <x:c r="L653" s="51" t="str">
        <x:v>Contractual servicing rights and investor guidelines</x:v>
      </x:c>
      <x:c r="M653" s="51" t="str">
        <x:v>Payment collection, escrow, reporting and default management</x:v>
      </x:c>
      <x:c r="N653" s="51" t="str">
        <x:v>An MSR separates loan ownership from the operational relationship with the household</x:v>
      </x:c>
      <x:c r="O653" s="51" t="str">
        <x:v>Financial; relational; informational</x:v>
      </x:c>
      <x:c r="P653" s="51" t="str">
        <x:v>S1</x:v>
      </x:c>
      <x:c r="Q653" s="51" t="str">
        <x:v>High</x:v>
      </x:c>
      <x:c r="R653" s="51" t="str">
        <x:v>SRC-314; SRC-317</x:v>
      </x:c>
      <x:c r="S653" s="51" t="str">
        <x:v>Mortgage servicing can be transferred independently from beneficial ownership interests.</x:v>
      </x:c>
      <x:c r="T653" s="51" t="str">
        <x:v>Uniform ownership and operation in all loans.</x:v>
      </x:c>
      <x:c r="U653" s="51" t="str">
        <x:v>Servicing and ownership may be combined or split.</x:v>
      </x:c>
      <x:c r="V653" s="51" t="str">
        <x:v>Active</x:v>
      </x:c>
      <x:c r="W653" s="51" t="str">
        <x:v>39;57</x:v>
      </x:c>
      <x:c r="X653" s="51" t="str">
        <x:v>2026-07-27</x:v>
      </x:c>
    </x:row>
    <x:row r="654">
      <x:c r="A654" s="51" t="str">
        <x:v>SERV-005</x:v>
      </x:c>
      <x:c r="B654" s="51" t="str">
        <x:v>Mortgage registry, servicing and foreclosure</x:v>
      </x:c>
      <x:c r="C654" s="51" t="str">
        <x:v>ACT-MORTGAGESERVICERS</x:v>
      </x:c>
      <x:c r="D654" s="51" t="str">
        <x:v>Mortgage servicers</x:v>
      </x:c>
      <x:c r="E654" s="51" t="str">
        <x:v>ACT-MORTGAGEBORROWERSANDHOME</x:v>
      </x:c>
      <x:c r="F654" s="51" t="str">
        <x:v>Mortgage borrowers and homebuyers</x:v>
      </x:c>
      <x:c r="G654" s="51" t="str">
        <x:v>Servicer → borrower</x:v>
      </x:c>
      <x:c r="H654" s="51" t="str">
        <x:v>Loan life</x:v>
      </x:c>
      <x:c r="I654" s="51" t="str">
        <x:v>Payment administration and loss mitigation</x:v>
      </x:c>
      <x:c r="J654" s="51" t="str">
        <x:v>INS-165</x:v>
      </x:c>
      <x:c r="K654" s="51" t="str">
        <x:v>Portfolio-specific</x:v>
      </x:c>
      <x:c r="L654" s="51" t="str">
        <x:v>Borrower payments, escrow and investor rules</x:v>
      </x:c>
      <x:c r="M654" s="51" t="str">
        <x:v>Account status, assistance decision or foreclosure referral</x:v>
      </x:c>
      <x:c r="N654" s="51" t="str">
        <x:v>The servicer is the household-facing conversion point between a capital-market claim and lived housing security</x:v>
      </x:c>
      <x:c r="O654" s="51" t="str">
        <x:v>Financial; relational; enforcement</x:v>
      </x:c>
      <x:c r="P654" s="51" t="str">
        <x:v>E1</x:v>
      </x:c>
      <x:c r="Q654" s="51" t="str">
        <x:v>Very high</x:v>
      </x:c>
      <x:c r="R654" s="51" t="str">
        <x:v>SRC-314</x:v>
      </x:c>
      <x:c r="S654" s="51" t="str">
        <x:v>Regulation X governs servicing interactions and loss-mitigation procedures.</x:v>
      </x:c>
      <x:c r="T654" s="51" t="str">
        <x:v>Servicer ownership of the loan or unilateral freedom from investor rules.</x:v>
      </x:c>
      <x:c r="U654" s="51" t="str">
        <x:v>Contract, state law and investor guidelines constrain decisions.</x:v>
      </x:c>
      <x:c r="V654" s="51" t="str">
        <x:v>Active</x:v>
      </x:c>
      <x:c r="W654" s="51" t="str">
        <x:v>39;47;57</x:v>
      </x:c>
      <x:c r="X654" s="51" t="str">
        <x:v>2026-07-27</x:v>
      </x:c>
    </x:row>
    <x:row r="655">
      <x:c r="A655" s="51" t="str">
        <x:v>SERV-006</x:v>
      </x:c>
      <x:c r="B655" s="51" t="str">
        <x:v>Mortgage registry, servicing and foreclosure</x:v>
      </x:c>
      <x:c r="C655" s="51" t="str">
        <x:v>ACT-MORTGAGESERVICERS</x:v>
      </x:c>
      <x:c r="D655" s="51" t="str">
        <x:v>Mortgage servicers</x:v>
      </x:c>
      <x:c r="E655" s="51" t="str">
        <x:v>ACT-FORECLOSURETRUSTEESANDCO</x:v>
      </x:c>
      <x:c r="F655" s="51" t="str">
        <x:v>Foreclosure trustees and courts</x:v>
      </x:c>
      <x:c r="G655" s="51" t="str">
        <x:v>Servicer → enforcement forum</x:v>
      </x:c>
      <x:c r="H655" s="51" t="str">
        <x:v>Default</x:v>
      </x:c>
      <x:c r="I655" s="51" t="str">
        <x:v>Foreclosure referral and evidence submission</x:v>
      </x:c>
      <x:c r="J655" s="51" t="str">
        <x:v>INS-165</x:v>
      </x:c>
      <x:c r="K655" s="51" t="str">
        <x:v>Loan-specific</x:v>
      </x:c>
      <x:c r="L655" s="51" t="str">
        <x:v>Payment default, note, mortgage and servicing file</x:v>
      </x:c>
      <x:c r="M655" s="51" t="str">
        <x:v>Sale process, judgment, cure or dismissal</x:v>
      </x:c>
      <x:c r="N655" s="51" t="str">
        <x:v>A servicing determination activates state property-enforcement machinery</x:v>
      </x:c>
      <x:c r="O655" s="51" t="str">
        <x:v>Ownership; enforcement; financial</x:v>
      </x:c>
      <x:c r="P655" s="51" t="str">
        <x:v>S1</x:v>
      </x:c>
      <x:c r="Q655" s="51" t="str">
        <x:v>High</x:v>
      </x:c>
      <x:c r="R655" s="51" t="str">
        <x:v>SRC-314</x:v>
      </x:c>
      <x:c r="S655" s="51" t="str">
        <x:v>Servicers administer default and may initiate foreclosure under applicable law.</x:v>
      </x:c>
      <x:c r="T655" s="51" t="str">
        <x:v>Valid foreclosure in every referral or absence of borrower defences.</x:v>
      </x:c>
      <x:c r="U655" s="51" t="str">
        <x:v>Judicial and nonjudicial procedures vary by state.</x:v>
      </x:c>
      <x:c r="V655" s="51" t="str">
        <x:v>Case-specific</x:v>
      </x:c>
      <x:c r="W655" s="51" t="str">
        <x:v>47;57</x:v>
      </x:c>
      <x:c r="X655" s="51" t="str">
        <x:v>2026-07-27</x:v>
      </x:c>
    </x:row>
    <x:row r="656">
      <x:c r="A656" s="51" t="str">
        <x:v>SHIP-001</x:v>
      </x:c>
      <x:c r="B656" s="51" t="str">
        <x:v>Shipping identity, flags and chokepoints</x:v>
      </x:c>
      <x:c r="C656" s="51" t="str">
        <x:v>ACT-INTERNATIONALMARITIMEORG</x:v>
      </x:c>
      <x:c r="D656" s="51" t="str">
        <x:v>International Maritime Organization</x:v>
      </x:c>
      <x:c r="E656" s="51" t="str">
        <x:v>ACT-IMOSHIPANDCOMPANYNUMBERS</x:v>
      </x:c>
      <x:c r="F656" s="51" t="str">
        <x:v>IMO ship and company number system</x:v>
      </x:c>
      <x:c r="G656" s="51" t="str">
        <x:v>Regulator → identity system</x:v>
      </x:c>
      <x:c r="H656" s="51" t="str">
        <x:v>2026</x:v>
      </x:c>
      <x:c r="I656" s="51" t="str">
        <x:v>Integrated identification-number scheme</x:v>
      </x:c>
      <x:c r="J656" s="51" t="str">
        <x:v>INS-204</x:v>
      </x:c>
      <x:c r="K656" s="51" t="str">
        <x:v>Global qualifying fleet</x:v>
      </x:c>
      <x:c r="L656" s="51" t="str">
        <x:v>Safety, anti-fraud and registry requirements</x:v>
      </x:c>
      <x:c r="M656" s="51" t="str">
        <x:v>Persistent ship, company and owner identifiers</x:v>
      </x:c>
      <x:c r="N656" s="51" t="str">
        <x:v>A permanent identifier makes a vessel traceable through name, flag and ownership changes</x:v>
      </x:c>
      <x:c r="O656" s="51" t="str">
        <x:v>Informational; institutional; enforcement</x:v>
      </x:c>
      <x:c r="P656" s="51" t="str">
        <x:v>E1</x:v>
      </x:c>
      <x:c r="Q656" s="51" t="str">
        <x:v>Very high</x:v>
      </x:c>
      <x:c r="R656" s="51" t="str">
        <x:v>SRC-363; SRC-365</x:v>
      </x:c>
      <x:c r="S656" s="51" t="str">
        <x:v>IMO adopted an integrated ship and company identification scheme.</x:v>
      </x:c>
      <x:c r="T656" s="51" t="str">
        <x:v>Proof of beneficial ownership or liability for every operation.</x:v>
      </x:c>
      <x:c r="U656" s="51" t="str">
        <x:v>Identifiers improve linkage but ownership chains may remain opaque.</x:v>
      </x:c>
      <x:c r="V656" s="51" t="str">
        <x:v>Active</x:v>
      </x:c>
      <x:c r="W656" s="51" t="str">
        <x:v>36;57</x:v>
      </x:c>
      <x:c r="X656" s="51" t="str">
        <x:v>2026-07-27</x:v>
      </x:c>
    </x:row>
    <x:row r="657">
      <x:c r="A657" s="51" t="str">
        <x:v>SHIP-002</x:v>
      </x:c>
      <x:c r="B657" s="51" t="str">
        <x:v>Shipping identity, flags and chokepoints</x:v>
      </x:c>
      <x:c r="C657" s="51" t="str">
        <x:v>ACT-FLAGSTATESANDSHIPREGISTR</x:v>
      </x:c>
      <x:c r="D657" s="51" t="str">
        <x:v>Flag states and ship registries</x:v>
      </x:c>
      <x:c r="E657" s="51" t="str">
        <x:v>ACT-SHIPOWNERS</x:v>
      </x:c>
      <x:c r="F657" s="51" t="str">
        <x:v>Shipowners</x:v>
      </x:c>
      <x:c r="G657" s="51" t="str">
        <x:v>Registry → owner</x:v>
      </x:c>
      <x:c r="H657" s="51" t="str">
        <x:v>Ongoing</x:v>
      </x:c>
      <x:c r="I657" s="51" t="str">
        <x:v>Registration and nationality grant</x:v>
      </x:c>
      <x:c r="J657" s="51" t="str">
        <x:v>INS-205</x:v>
      </x:c>
      <x:c r="K657" s="51" t="str">
        <x:v>112,500 commercial vessels globally at 1 January 2025</x:v>
      </x:c>
      <x:c r="L657" s="51" t="str">
        <x:v>Ownership documents, compliance and fees</x:v>
      </x:c>
      <x:c r="M657" s="51" t="str">
        <x:v>Vessel nationality and permission to operate under a flag</x:v>
      </x:c>
      <x:c r="N657" s="51" t="str">
        <x:v>Registration converts a mobile private asset into an object of national jurisdiction</x:v>
      </x:c>
      <x:c r="O657" s="51" t="str">
        <x:v>Institutional; ownership; geopolitical</x:v>
      </x:c>
      <x:c r="P657" s="51" t="str">
        <x:v>E1</x:v>
      </x:c>
      <x:c r="Q657" s="51" t="str">
        <x:v>High</x:v>
      </x:c>
      <x:c r="R657" s="51" t="str">
        <x:v>SRC-362; SRC-364</x:v>
      </x:c>
      <x:c r="S657" s="51" t="str">
        <x:v>Ships operate under flag-state registration and nationality systems.</x:v>
      </x:c>
      <x:c r="T657" s="51" t="str">
        <x:v>Beneficial ownership transparency or effective enforcement by every registry.</x:v>
      </x:c>
      <x:c r="U657" s="51" t="str">
        <x:v>Open registries and operating control can be geographically separated.</x:v>
      </x:c>
      <x:c r="V657" s="51" t="str">
        <x:v>Active</x:v>
      </x:c>
      <x:c r="W657" s="51" t="str">
        <x:v>36;57</x:v>
      </x:c>
      <x:c r="X657" s="51" t="str">
        <x:v>2026-07-27</x:v>
      </x:c>
    </x:row>
    <x:row r="658">
      <x:c r="A658" s="51" t="str">
        <x:v>SHIP-003</x:v>
      </x:c>
      <x:c r="B658" s="51" t="str">
        <x:v>Shipping identity, flags and chokepoints</x:v>
      </x:c>
      <x:c r="C658" s="51" t="str">
        <x:v>ACT-SHIPOWNERS</x:v>
      </x:c>
      <x:c r="D658" s="51" t="str">
        <x:v>Shipowners</x:v>
      </x:c>
      <x:c r="E658" s="51" t="str">
        <x:v>ACT-SHIPCHARTERERS</x:v>
      </x:c>
      <x:c r="F658" s="51" t="str">
        <x:v>Ship charterers</x:v>
      </x:c>
      <x:c r="G658" s="51" t="str">
        <x:v>Owner → commercial user</x:v>
      </x:c>
      <x:c r="H658" s="51" t="str">
        <x:v>Voyage or period</x:v>
      </x:c>
      <x:c r="I658" s="51" t="str">
        <x:v>Voyage charter, time charter or bareboat charter</x:v>
      </x:c>
      <x:c r="J658" s="51" t="str"/>
      <x:c r="K658" s="51" t="str">
        <x:v>Vessel-specific</x:v>
      </x:c>
      <x:c r="L658" s="51" t="str">
        <x:v>Vessel capacity and operating terms</x:v>
      </x:c>
      <x:c r="M658" s="51" t="str">
        <x:v>Transport service and freight claim</x:v>
      </x:c>
      <x:c r="N658" s="51" t="str">
        <x:v>Chartering separates vessel ownership from commercial control of a cargo movement</x:v>
      </x:c>
      <x:c r="O658" s="51" t="str">
        <x:v>Ownership; relational; financial</x:v>
      </x:c>
      <x:c r="P658" s="51" t="str">
        <x:v>S1</x:v>
      </x:c>
      <x:c r="Q658" s="51" t="str">
        <x:v>High</x:v>
      </x:c>
      <x:c r="R658" s="51" t="str">
        <x:v>SRC-362</x:v>
      </x:c>
      <x:c r="S658" s="51" t="str">
        <x:v>The world shipping system relies on owned and chartered vessel capacity.</x:v>
      </x:c>
      <x:c r="T658" s="51" t="str">
        <x:v>Transfer of title under every charter or identical risk allocation.</x:v>
      </x:c>
      <x:c r="U658" s="51" t="str">
        <x:v>Charter form determines fuel, route, crew and liability allocation.</x:v>
      </x:c>
      <x:c r="V658" s="51" t="str">
        <x:v>Active</x:v>
      </x:c>
      <x:c r="W658" s="51" t="str">
        <x:v>36;57</x:v>
      </x:c>
      <x:c r="X658" s="51" t="str">
        <x:v>2026-07-27</x:v>
      </x:c>
    </x:row>
    <x:row r="659">
      <x:c r="A659" s="51" t="str">
        <x:v>SHIP-004</x:v>
      </x:c>
      <x:c r="B659" s="51" t="str">
        <x:v>Shipping identity, flags and chokepoints</x:v>
      </x:c>
      <x:c r="C659" s="51" t="str">
        <x:v>ACT-SHIPCHARTERERS</x:v>
      </x:c>
      <x:c r="D659" s="51" t="str">
        <x:v>Ship charterers</x:v>
      </x:c>
      <x:c r="E659" s="51" t="str">
        <x:v>ACT-STRAITOFHORMUZ</x:v>
      </x:c>
      <x:c r="F659" s="51" t="str">
        <x:v>Strait of Hormuz</x:v>
      </x:c>
      <x:c r="G659" s="51" t="str">
        <x:v>Cargo route → chokepoint</x:v>
      </x:c>
      <x:c r="H659" s="51" t="str">
        <x:v>Voyage-specific</x:v>
      </x:c>
      <x:c r="I659" s="51" t="str">
        <x:v>Transit route</x:v>
      </x:c>
      <x:c r="J659" s="51" t="str">
        <x:v>INS-206</x:v>
      </x:c>
      <x:c r="K659" s="51" t="str">
        <x:v>20.4–20.7 million barrels/day oil flows during much of 2025 before lower 1Q26 flows in EIA tables</x:v>
      </x:c>
      <x:c r="L659" s="51" t="str">
        <x:v>Oil and LNG cargoes</x:v>
      </x:c>
      <x:c r="M659" s="51" t="str">
        <x:v>Passage into global markets</x:v>
      </x:c>
      <x:c r="N659" s="51" t="str">
        <x:v>Geography concentrates multiple producers' exports into a route with limited replacement capacity</x:v>
      </x:c>
      <x:c r="O659" s="51" t="str">
        <x:v>Material; geopolitical; enforcement</x:v>
      </x:c>
      <x:c r="P659" s="51" t="str">
        <x:v>E1</x:v>
      </x:c>
      <x:c r="Q659" s="51" t="str">
        <x:v>Very high</x:v>
      </x:c>
      <x:c r="R659" s="51" t="str">
        <x:v>SRC-366; SRC-367</x:v>
      </x:c>
      <x:c r="S659" s="51" t="str">
        <x:v>EIA identifies Hormuz as a major oil transit chokepoint with limited alternatives.</x:v>
      </x:c>
      <x:c r="T659" s="51" t="str">
        <x:v>Permanent closure or exact future flow under conflict.</x:v>
      </x:c>
      <x:c r="U659" s="51" t="str">
        <x:v>Flows change with outages, bypass pipelines and market conditions.</x:v>
      </x:c>
      <x:c r="V659" s="51" t="str">
        <x:v>Active / disruption-sensitive</x:v>
      </x:c>
      <x:c r="W659" s="51" t="str">
        <x:v>36;57</x:v>
      </x:c>
      <x:c r="X659" s="51" t="str">
        <x:v>2026-07-27</x:v>
      </x:c>
    </x:row>
    <x:row r="660">
      <x:c r="A660" s="51" t="str">
        <x:v>SHIP-005</x:v>
      </x:c>
      <x:c r="B660" s="51" t="str">
        <x:v>Shipping identity, flags and chokepoints</x:v>
      </x:c>
      <x:c r="C660" s="51" t="str">
        <x:v>ACT-SHIPCHARTERERS</x:v>
      </x:c>
      <x:c r="D660" s="51" t="str">
        <x:v>Ship charterers</x:v>
      </x:c>
      <x:c r="E660" s="51" t="str">
        <x:v>ACT-STRAITOFMALACCA</x:v>
      </x:c>
      <x:c r="F660" s="51" t="str">
        <x:v>Strait of Malacca</x:v>
      </x:c>
      <x:c r="G660" s="51" t="str">
        <x:v>Cargo route → chokepoint</x:v>
      </x:c>
      <x:c r="H660" s="51" t="str">
        <x:v>Voyage-specific</x:v>
      </x:c>
      <x:c r="I660" s="51" t="str">
        <x:v>Transit route</x:v>
      </x:c>
      <x:c r="J660" s="51" t="str">
        <x:v>INS-206</x:v>
      </x:c>
      <x:c r="K660" s="51" t="str">
        <x:v>Up to 24 million barrels/day total oil flow in late 2025 EIA data</x:v>
      </x:c>
      <x:c r="L660" s="51" t="str">
        <x:v>Oil and LNG cargoes</x:v>
      </x:c>
      <x:c r="M660" s="51" t="str">
        <x:v>Passage to Asian import markets</x:v>
      </x:c>
      <x:c r="N660" s="51" t="str">
        <x:v>A narrow route links Middle Eastern and Atlantic supply with major Asian demand centres</x:v>
      </x:c>
      <x:c r="O660" s="51" t="str">
        <x:v>Material; geopolitical</x:v>
      </x:c>
      <x:c r="P660" s="51" t="str">
        <x:v>E1</x:v>
      </x:c>
      <x:c r="Q660" s="51" t="str">
        <x:v>Very high</x:v>
      </x:c>
      <x:c r="R660" s="51" t="str">
        <x:v>SRC-366; SRC-367</x:v>
      </x:c>
      <x:c r="S660" s="51" t="str">
        <x:v>EIA reports very large oil flows through Malacca.</x:v>
      </x:c>
      <x:c r="T660" s="51" t="str">
        <x:v>Absence of alternative routes or uniform destination.</x:v>
      </x:c>
      <x:c r="U660" s="51" t="str">
        <x:v>Sunda, Lombok and pipelines provide partial alternatives at higher cost.</x:v>
      </x:c>
      <x:c r="V660" s="51" t="str">
        <x:v>Active</x:v>
      </x:c>
      <x:c r="W660" s="51" t="str">
        <x:v>36;57</x:v>
      </x:c>
      <x:c r="X660" s="51" t="str">
        <x:v>2026-07-27</x:v>
      </x:c>
    </x:row>
    <x:row r="661">
      <x:c r="A661" s="51" t="str">
        <x:v>SHIP-006</x:v>
      </x:c>
      <x:c r="B661" s="51" t="str">
        <x:v>Shipping identity, flags and chokepoints</x:v>
      </x:c>
      <x:c r="C661" s="51" t="str">
        <x:v>ACT-SHIPCHARTERERS</x:v>
      </x:c>
      <x:c r="D661" s="51" t="str">
        <x:v>Ship charterers</x:v>
      </x:c>
      <x:c r="E661" s="51" t="str">
        <x:v>ACT-SUEZCANALANDSUMEDSYSTEM</x:v>
      </x:c>
      <x:c r="F661" s="51" t="str">
        <x:v>Suez Canal and SUMED system</x:v>
      </x:c>
      <x:c r="G661" s="51" t="str">
        <x:v>Cargo route → chokepoint</x:v>
      </x:c>
      <x:c r="H661" s="51" t="str">
        <x:v>Voyage-specific</x:v>
      </x:c>
      <x:c r="I661" s="51" t="str">
        <x:v>Canal and pipeline transit</x:v>
      </x:c>
      <x:c r="J661" s="51" t="str">
        <x:v>INS-206</x:v>
      </x:c>
      <x:c r="K661" s="51" t="str">
        <x:v>Route-specific</x:v>
      </x:c>
      <x:c r="L661" s="51" t="str">
        <x:v>Oil, LNG and container cargo</x:v>
      </x:c>
      <x:c r="M661" s="51" t="str">
        <x:v>Shortened Europe–Asia transit</x:v>
      </x:c>
      <x:c r="N661" s="51" t="str">
        <x:v>Canal access and pipeline capacity convert geography into time, freight and inventory advantage</x:v>
      </x:c>
      <x:c r="O661" s="51" t="str">
        <x:v>Material; financial; geopolitical</x:v>
      </x:c>
      <x:c r="P661" s="51" t="str">
        <x:v>E1</x:v>
      </x:c>
      <x:c r="Q661" s="51" t="str">
        <x:v>High</x:v>
      </x:c>
      <x:c r="R661" s="51" t="str">
        <x:v>SRC-366</x:v>
      </x:c>
      <x:c r="S661" s="51" t="str">
        <x:v>EIA treats Suez and SUMED as critical energy transit infrastructure.</x:v>
      </x:c>
      <x:c r="T661" s="51" t="str">
        <x:v>A single operator controlling all Europe–Asia trade.</x:v>
      </x:c>
      <x:c r="U661" s="51" t="str">
        <x:v>Cape routing remains a costly substitute.</x:v>
      </x:c>
      <x:c r="V661" s="51" t="str">
        <x:v>Active / disruption-sensitive</x:v>
      </x:c>
      <x:c r="W661" s="51" t="str">
        <x:v>36;57</x:v>
      </x:c>
      <x:c r="X661" s="51" t="str">
        <x:v>2026-07-27</x:v>
      </x:c>
    </x:row>
    <x:row r="662">
      <x:c r="A662" s="51" t="str">
        <x:v>SHIP-007</x:v>
      </x:c>
      <x:c r="B662" s="51" t="str">
        <x:v>Shipping identity, flags and chokepoints</x:v>
      </x:c>
      <x:c r="C662" s="51" t="str">
        <x:v>ACT-PORTSTATESANDMARITIMEAUT</x:v>
      </x:c>
      <x:c r="D662" s="51" t="str">
        <x:v>Port states and maritime authorities</x:v>
      </x:c>
      <x:c r="E662" s="51" t="str">
        <x:v>ACT-SHIPOWNERS</x:v>
      </x:c>
      <x:c r="F662" s="51" t="str">
        <x:v>Shipowners</x:v>
      </x:c>
      <x:c r="G662" s="51" t="str">
        <x:v>Authority → vessel</x:v>
      </x:c>
      <x:c r="H662" s="51" t="str">
        <x:v>Port call</x:v>
      </x:c>
      <x:c r="I662" s="51" t="str">
        <x:v>Inspection, detention and access control</x:v>
      </x:c>
      <x:c r="J662" s="51" t="str">
        <x:v>INS-204; INS-205</x:v>
      </x:c>
      <x:c r="K662" s="51" t="str">
        <x:v>Vessel-specific</x:v>
      </x:c>
      <x:c r="L662" s="51" t="str">
        <x:v>Certificates, condition and compliance record</x:v>
      </x:c>
      <x:c r="M662" s="51" t="str">
        <x:v>Permission to enter, trade or continue voyage</x:v>
      </x:c>
      <x:c r="N662" s="51" t="str">
        <x:v>Port-state control converts international standards into local operational consequences</x:v>
      </x:c>
      <x:c r="O662" s="51" t="str">
        <x:v>Institutional; enforcement; material</x:v>
      </x:c>
      <x:c r="P662" s="51" t="str">
        <x:v>S1</x:v>
      </x:c>
      <x:c r="Q662" s="51" t="str">
        <x:v>High</x:v>
      </x:c>
      <x:c r="R662" s="51" t="str">
        <x:v>SRC-363; SRC-364</x:v>
      </x:c>
      <x:c r="S662" s="51" t="str">
        <x:v>IMO standards rely on flag and port-state implementation.</x:v>
      </x:c>
      <x:c r="T662" s="51" t="str">
        <x:v>Uniform enforcement or absence of political discretion.</x:v>
      </x:c>
      <x:c r="U662" s="51" t="str">
        <x:v>Capacity and legal powers vary by state.</x:v>
      </x:c>
      <x:c r="V662" s="51" t="str">
        <x:v>Active</x:v>
      </x:c>
      <x:c r="W662" s="51" t="str">
        <x:v>36;57</x:v>
      </x:c>
      <x:c r="X662" s="51" t="str">
        <x:v>2026-07-27</x:v>
      </x:c>
    </x:row>
    <x:row r="663">
      <x:c r="A663" s="51" t="str">
        <x:v>SOV-001</x:v>
      </x:c>
      <x:c r="B663" s="51" t="str">
        <x:v>Sovereign debt restructuring</x:v>
      </x:c>
      <x:c r="C663" s="51" t="str">
        <x:v>ACT-PARISCLUBCREDITORGOVERNM</x:v>
      </x:c>
      <x:c r="D663" s="51" t="str">
        <x:v>Paris Club creditor governments</x:v>
      </x:c>
      <x:c r="E663" s="51" t="str">
        <x:v>ACT-PARISCLUB</x:v>
      </x:c>
      <x:c r="F663" s="51" t="str">
        <x:v>Paris Club</x:v>
      </x:c>
      <x:c r="G663" s="51" t="str">
        <x:v>Member creditors → coordination group</x:v>
      </x:c>
      <x:c r="H663" s="51" t="str">
        <x:v>Ongoing</x:v>
      </x:c>
      <x:c r="I663" s="51" t="str">
        <x:v>Official bilateral creditor coordination</x:v>
      </x:c>
      <x:c r="J663" s="51" t="str">
        <x:v>INS-127; INS-129</x:v>
      </x:c>
      <x:c r="K663" s="51" t="str">
        <x:v>$344.9bn claims at end-2025</x:v>
      </x:c>
      <x:c r="L663" s="51" t="str">
        <x:v>Sovereign bilateral claims and policy positions</x:v>
      </x:c>
      <x:c r="M663" s="51" t="str">
        <x:v>Coordinated negotiation terms and debt treatments</x:v>
      </x:c>
      <x:c r="N663" s="51" t="str">
        <x:v>Creditor governments pool bargaining and information through a non-treaty coordination institution</x:v>
      </x:c>
      <x:c r="O663" s="51" t="str">
        <x:v>Financial; institutional; relational</x:v>
      </x:c>
      <x:c r="P663" s="51" t="str">
        <x:v>E1</x:v>
      </x:c>
      <x:c r="Q663" s="51" t="str">
        <x:v>Very high</x:v>
      </x:c>
      <x:c r="R663" s="51" t="str">
        <x:v>SRC-242; SRC-243</x:v>
      </x:c>
      <x:c r="S663" s="51" t="str">
        <x:v>Paris Club members publish claims and coordinate debt treatments.</x:v>
      </x:c>
      <x:c r="T663" s="51" t="str">
        <x:v>One legal creditor entity or automatic participation by all sovereign lenders.</x:v>
      </x:c>
      <x:c r="U663" s="51" t="str">
        <x:v>Non-Paris Club creditors may participate separately or through the Common Framework.</x:v>
      </x:c>
      <x:c r="V663" s="51" t="str">
        <x:v>Active</x:v>
      </x:c>
      <x:c r="W663" s="51" t="str">
        <x:v>47;57</x:v>
      </x:c>
      <x:c r="X663" s="51" t="str">
        <x:v>2026-07-27</x:v>
      </x:c>
    </x:row>
    <x:row r="664">
      <x:c r="A664" s="51" t="str">
        <x:v>SOV-002</x:v>
      </x:c>
      <x:c r="B664" s="51" t="str">
        <x:v>Sovereign debt restructuring</x:v>
      </x:c>
      <x:c r="C664" s="51" t="str">
        <x:v>ACT-DEBTORSOVEREIGNS</x:v>
      </x:c>
      <x:c r="D664" s="51" t="str">
        <x:v>Debtor sovereigns</x:v>
      </x:c>
      <x:c r="E664" s="51" t="str">
        <x:v>ACT-PARISCLUB</x:v>
      </x:c>
      <x:c r="F664" s="51" t="str">
        <x:v>Paris Club</x:v>
      </x:c>
      <x:c r="G664" s="51" t="str">
        <x:v>Borrower → creditor group</x:v>
      </x:c>
      <x:c r="H664" s="51" t="str">
        <x:v>Distress episodes</x:v>
      </x:c>
      <x:c r="I664" s="51" t="str">
        <x:v>Request for debt treatment</x:v>
      </x:c>
      <x:c r="J664" s="51" t="str">
        <x:v>INS-127; INS-129</x:v>
      </x:c>
      <x:c r="K664" s="51" t="str">
        <x:v>Country-specific</x:v>
      </x:c>
      <x:c r="L664" s="51" t="str">
        <x:v>Debt distress, financing gap and IMF-supported analysis</x:v>
      </x:c>
      <x:c r="M664" s="51" t="str">
        <x:v>Negotiated rescheduling, reprofiling or relief</x:v>
      </x:c>
      <x:c r="N664" s="51" t="str">
        <x:v>A sovereign enters a creditor-controlled coordination process to regain sustainability and programme financing</x:v>
      </x:c>
      <x:c r="O664" s="51" t="str">
        <x:v>Financial; institutional; relational</x:v>
      </x:c>
      <x:c r="P664" s="51" t="str">
        <x:v>E1</x:v>
      </x:c>
      <x:c r="Q664" s="51" t="str">
        <x:v>High</x:v>
      </x:c>
      <x:c r="R664" s="51" t="str">
        <x:v>SRC-242; SRC-244</x:v>
      </x:c>
      <x:c r="S664" s="51" t="str">
        <x:v>The Paris Club negotiates treatments with borrowing countries.</x:v>
      </x:c>
      <x:c r="T664" s="51" t="str">
        <x:v>Guaranteed relief, equal treatment of all claims or absence of domestic policy conditions.</x:v>
      </x:c>
      <x:c r="U664" s="51" t="str">
        <x:v>Outcomes depend on creditors, IMF analysis and comparability negotiations.</x:v>
      </x:c>
      <x:c r="V664" s="51" t="str">
        <x:v>Case-specific</x:v>
      </x:c>
      <x:c r="W664" s="51" t="str">
        <x:v>47;57</x:v>
      </x:c>
      <x:c r="X664" s="51" t="str">
        <x:v>2026-07-27</x:v>
      </x:c>
    </x:row>
    <x:row r="665">
      <x:c r="A665" s="51" t="str">
        <x:v>SOV-003</x:v>
      </x:c>
      <x:c r="B665" s="51" t="str">
        <x:v>Sovereign debt restructuring</x:v>
      </x:c>
      <x:c r="C665" s="51" t="str">
        <x:v>ACT-COLLECTIVEACTIONCLAUSES</x:v>
      </x:c>
      <x:c r="D665" s="51" t="str">
        <x:v>Collective action clauses</x:v>
      </x:c>
      <x:c r="E665" s="51" t="str">
        <x:v>ACT-PRIVATESOVEREIGNBONDHOLD</x:v>
      </x:c>
      <x:c r="F665" s="51" t="str">
        <x:v>Private sovereign bondholders</x:v>
      </x:c>
      <x:c r="G665" s="51" t="str">
        <x:v>Contract mechanism → bondholders</x:v>
      </x:c>
      <x:c r="H665" s="51" t="str">
        <x:v>Restructuring offer</x:v>
      </x:c>
      <x:c r="I665" s="51" t="str">
        <x:v>Supermajority voting and minority binding</x:v>
      </x:c>
      <x:c r="J665" s="51" t="str">
        <x:v>INS-128</x:v>
      </x:c>
      <x:c r="K665" s="51" t="str">
        <x:v>Bond-specific thresholds</x:v>
      </x:c>
      <x:c r="L665" s="51" t="str">
        <x:v>Bondholder votes</x:v>
      </x:c>
      <x:c r="M665" s="51" t="str">
        <x:v>Amended payment terms binding the series or aggregated pool</x:v>
      </x:c>
      <x:c r="N665" s="51" t="str">
        <x:v>Contract design lowers holdout power by replacing unanimity with qualified majority action</x:v>
      </x:c>
      <x:c r="O665" s="51" t="str">
        <x:v>Financial; institutional; enforcement</x:v>
      </x:c>
      <x:c r="P665" s="51" t="str">
        <x:v>E1</x:v>
      </x:c>
      <x:c r="Q665" s="51" t="str">
        <x:v>High</x:v>
      </x:c>
      <x:c r="R665" s="51" t="str">
        <x:v>SRC-240; SRC-241</x:v>
      </x:c>
      <x:c r="S665" s="51" t="str">
        <x:v>CACs are widely used to coordinate bonded debt restructurings.</x:v>
      </x:c>
      <x:c r="T665" s="51" t="str">
        <x:v>Elimination of litigation, automatic creditor support or coverage of bank loans.</x:v>
      </x:c>
      <x:c r="U665" s="51" t="str">
        <x:v>Thresholds and aggregation structures vary by bond.</x:v>
      </x:c>
      <x:c r="V665" s="51" t="str">
        <x:v>Active mechanism</x:v>
      </x:c>
      <x:c r="W665" s="51" t="str">
        <x:v>47;57</x:v>
      </x:c>
      <x:c r="X665" s="51" t="str">
        <x:v>2026-07-27</x:v>
      </x:c>
    </x:row>
    <x:row r="666">
      <x:c r="A666" s="51" t="str">
        <x:v>SOV-004</x:v>
      </x:c>
      <x:c r="B666" s="51" t="str">
        <x:v>Sovereign debt restructuring</x:v>
      </x:c>
      <x:c r="C666" s="51" t="str">
        <x:v>ACT-G20COMMONFRAMEWORK</x:v>
      </x:c>
      <x:c r="D666" s="51" t="str">
        <x:v>G20 Common Framework</x:v>
      </x:c>
      <x:c r="E666" s="51" t="str">
        <x:v>ACT-DEBTORSOVEREIGNS</x:v>
      </x:c>
      <x:c r="F666" s="51" t="str">
        <x:v>Debtor sovereigns</x:v>
      </x:c>
      <x:c r="G666" s="51" t="str">
        <x:v>Framework → borrowers</x:v>
      </x:c>
      <x:c r="H666" s="51" t="str">
        <x:v>2020–present</x:v>
      </x:c>
      <x:c r="I666" s="51" t="str">
        <x:v>Official creditor treatment process</x:v>
      </x:c>
      <x:c r="J666" s="51" t="str">
        <x:v>INS-129</x:v>
      </x:c>
      <x:c r="K666" s="51" t="str">
        <x:v>Eligible cases</x:v>
      </x:c>
      <x:c r="L666" s="51" t="str">
        <x:v>Debt-treatment request and IMF programme context</x:v>
      </x:c>
      <x:c r="M666" s="51" t="str">
        <x:v>Official creditor committee and memorandum terms</x:v>
      </x:c>
      <x:c r="N666" s="51" t="str">
        <x:v>A multilateral framework coordinates Paris Club and non-Paris Club sovereign creditors</x:v>
      </x:c>
      <x:c r="O666" s="51" t="str">
        <x:v>Financial; institutional; relational</x:v>
      </x:c>
      <x:c r="P666" s="51" t="str">
        <x:v>E1</x:v>
      </x:c>
      <x:c r="Q666" s="51" t="str">
        <x:v>High</x:v>
      </x:c>
      <x:c r="R666" s="51" t="str">
        <x:v>SRC-240; SRC-241; SRC-242</x:v>
      </x:c>
      <x:c r="S666" s="51" t="str">
        <x:v>The framework structures official creditor coordination beyond the DSSI.</x:v>
      </x:c>
      <x:c r="T666" s="51" t="str">
        <x:v>Fast resolution, universal creditor participation or legally binding global bankruptcy.</x:v>
      </x:c>
      <x:c r="U666" s="51" t="str">
        <x:v>Recent cases have remained complex and sequential.</x:v>
      </x:c>
      <x:c r="V666" s="51" t="str">
        <x:v>Active / evolving</x:v>
      </x:c>
      <x:c r="W666" s="51" t="str">
        <x:v>47;57</x:v>
      </x:c>
      <x:c r="X666" s="51" t="str">
        <x:v>2026-07-27</x:v>
      </x:c>
    </x:row>
    <x:row r="667">
      <x:c r="A667" s="51" t="str">
        <x:v>SOV-005</x:v>
      </x:c>
      <x:c r="B667" s="51" t="str">
        <x:v>Sovereign debt restructuring</x:v>
      </x:c>
      <x:c r="C667" s="51" t="str">
        <x:v>ACT-COMPARABILITYOFTREATMENT</x:v>
      </x:c>
      <x:c r="D667" s="51" t="str">
        <x:v>Comparability of treatment principle</x:v>
      </x:c>
      <x:c r="E667" s="51" t="str">
        <x:v>ACT-PRIVATESOVEREIGNBONDHOLD</x:v>
      </x:c>
      <x:c r="F667" s="51" t="str">
        <x:v>Private sovereign bondholders</x:v>
      </x:c>
      <x:c r="G667" s="51" t="str">
        <x:v>Coordination principle → creditors</x:v>
      </x:c>
      <x:c r="H667" s="51" t="str">
        <x:v>Restructuring</x:v>
      </x:c>
      <x:c r="I667" s="51" t="str">
        <x:v>Burden-sharing constraint</x:v>
      </x:c>
      <x:c r="J667" s="51" t="str">
        <x:v>INS-129</x:v>
      </x:c>
      <x:c r="K667" s="51" t="str">
        <x:v>Case-specific</x:v>
      </x:c>
      <x:c r="L667" s="51" t="str">
        <x:v>Official creditor relief parameters</x:v>
      </x:c>
      <x:c r="M667" s="51" t="str">
        <x:v>Expected private creditor treatment</x:v>
      </x:c>
      <x:c r="N667" s="51" t="str">
        <x:v>Comparability seeks to prevent official relief from merely financing better private recoveries</x:v>
      </x:c>
      <x:c r="O667" s="51" t="str">
        <x:v>Financial; institutional; distributional</x:v>
      </x:c>
      <x:c r="P667" s="51" t="str">
        <x:v>S1</x:v>
      </x:c>
      <x:c r="Q667" s="51" t="str">
        <x:v>High</x:v>
      </x:c>
      <x:c r="R667" s="51" t="str">
        <x:v>SRC-240; SRC-241; SRC-244</x:v>
      </x:c>
      <x:c r="S667" s="51" t="str">
        <x:v>Official frameworks use comparability concepts across creditor groups.</x:v>
      </x:c>
      <x:c r="T667" s="51" t="str">
        <x:v>A mathematically identical reduction or an automatically enforceable private obligation.</x:v>
      </x:c>
      <x:c r="U667" s="51" t="str">
        <x:v>Measurement uses case-specific NPV, debt-service and maturity parameters.</x:v>
      </x:c>
      <x:c r="V667" s="51" t="str">
        <x:v>Active principle</x:v>
      </x:c>
      <x:c r="W667" s="51" t="str">
        <x:v>47;57</x:v>
      </x:c>
      <x:c r="X667" s="51" t="str">
        <x:v>2026-07-27</x:v>
      </x:c>
    </x:row>
    <x:row r="668">
      <x:c r="A668" s="51" t="str">
        <x:v>SOV-006</x:v>
      </x:c>
      <x:c r="B668" s="51" t="str">
        <x:v>Sovereign debt restructuring</x:v>
      </x:c>
      <x:c r="C668" s="51" t="str">
        <x:v>ACT-GLOBALSOVEREIGNDEBTROUND</x:v>
      </x:c>
      <x:c r="D668" s="51" t="str">
        <x:v>Global Sovereign Debt Roundtable</x:v>
      </x:c>
      <x:c r="E668" s="51" t="str">
        <x:v>ACT-DEBTORSOVEREIGNS</x:v>
      </x:c>
      <x:c r="F668" s="51" t="str">
        <x:v>Debtor sovereigns</x:v>
      </x:c>
      <x:c r="G668" s="51" t="str">
        <x:v>Forum → borrowers</x:v>
      </x:c>
      <x:c r="H668" s="51" t="str">
        <x:v>2023–present</x:v>
      </x:c>
      <x:c r="I668" s="51" t="str">
        <x:v>Process coordination and transparency guidance</x:v>
      </x:c>
      <x:c r="J668" s="51" t="str">
        <x:v>INS-129</x:v>
      </x:c>
      <x:c r="K668" s="51" t="str">
        <x:v>Global</x:v>
      </x:c>
      <x:c r="L668" s="51" t="str">
        <x:v>Experiences and case information</x:v>
      </x:c>
      <x:c r="M668" s="51" t="str">
        <x:v>Common understandings and process improvements</x:v>
      </x:c>
      <x:c r="N668" s="51" t="str">
        <x:v>A forum reduces coordination failures by aligning institutions before individual negotiations harden</x:v>
      </x:c>
      <x:c r="O668" s="51" t="str">
        <x:v>Institutional; informational; relational</x:v>
      </x:c>
      <x:c r="P668" s="51" t="str">
        <x:v>E1</x:v>
      </x:c>
      <x:c r="Q668" s="51" t="str">
        <x:v>High</x:v>
      </x:c>
      <x:c r="R668" s="51" t="str">
        <x:v>SRC-241; SRC-244</x:v>
      </x:c>
      <x:c r="S668" s="51" t="str">
        <x:v>The GSDR brings debtors, creditors and international institutions together on technical issues.</x:v>
      </x:c>
      <x:c r="T668" s="51" t="str">
        <x:v>Binding authority or power to impose restructuring terms.</x:v>
      </x:c>
      <x:c r="U668" s="51" t="str">
        <x:v>Implementation remains voluntary and case-driven.</x:v>
      </x:c>
      <x:c r="V668" s="51" t="str">
        <x:v>Active</x:v>
      </x:c>
      <x:c r="W668" s="51" t="str">
        <x:v>47;57</x:v>
      </x:c>
      <x:c r="X668" s="51" t="str">
        <x:v>2026-07-27</x:v>
      </x:c>
    </x:row>
    <x:row r="669">
      <x:c r="A669" s="51" t="str">
        <x:v>SOV-007</x:v>
      </x:c>
      <x:c r="B669" s="51" t="str">
        <x:v>Sovereign debt restructuring</x:v>
      </x:c>
      <x:c r="C669" s="51" t="str">
        <x:v>ACT-IMF</x:v>
      </x:c>
      <x:c r="D669" s="51" t="str">
        <x:v>IMF</x:v>
      </x:c>
      <x:c r="E669" s="51" t="str">
        <x:v>ACT-DEBTORSOVEREIGNS</x:v>
      </x:c>
      <x:c r="F669" s="51" t="str">
        <x:v>Debtor sovereigns</x:v>
      </x:c>
      <x:c r="G669" s="51" t="str">
        <x:v>Institution → borrower</x:v>
      </x:c>
      <x:c r="H669" s="51" t="str">
        <x:v>Debt crisis</x:v>
      </x:c>
      <x:c r="I669" s="51" t="str">
        <x:v>Debt-sustainability analysis and financing assurances</x:v>
      </x:c>
      <x:c r="J669" s="51" t="str">
        <x:v>INS-129</x:v>
      </x:c>
      <x:c r="K669" s="51" t="str">
        <x:v>Programme-specific</x:v>
      </x:c>
      <x:c r="L669" s="51" t="str">
        <x:v>Macroeconomic data and financing gap</x:v>
      </x:c>
      <x:c r="M669" s="51" t="str">
        <x:v>Debt targets and programme financing conditions</x:v>
      </x:c>
      <x:c r="N669" s="51" t="str">
        <x:v>IMF analysis establishes the envelope within which creditors negotiate sustainable relief</x:v>
      </x:c>
      <x:c r="O669" s="51" t="str">
        <x:v>Financial; informational; institutional</x:v>
      </x:c>
      <x:c r="P669" s="51" t="str">
        <x:v>E1</x:v>
      </x:c>
      <x:c r="Q669" s="51" t="str">
        <x:v>High</x:v>
      </x:c>
      <x:c r="R669" s="51" t="str">
        <x:v>SRC-240; SRC-241</x:v>
      </x:c>
      <x:c r="S669" s="51" t="str">
        <x:v>IMF policies and analyses are central to recent restructuring architecture.</x:v>
      </x:c>
      <x:c r="T669" s="51" t="str">
        <x:v>Direct power to rewrite private contracts or dictate every creditor term.</x:v>
      </x:c>
      <x:c r="U669" s="51" t="str">
        <x:v>Creditor negotiations and domestic choices remain distinct.</x:v>
      </x:c>
      <x:c r="V669" s="51" t="str">
        <x:v>Case-specific</x:v>
      </x:c>
      <x:c r="W669" s="51" t="str">
        <x:v>47;57</x:v>
      </x:c>
      <x:c r="X669" s="51" t="str">
        <x:v>2026-07-27</x:v>
      </x:c>
    </x:row>
    <x:row r="670">
      <x:c r="A670" s="51" t="str">
        <x:v>STB-001</x:v>
      </x:c>
      <x:c r="B670" s="51" t="str">
        <x:v>Stablecoin monetary infrastructure</x:v>
      </x:c>
      <x:c r="C670" s="51" t="str">
        <x:v>ACT-CIRCLEINTERNETGROUP</x:v>
      </x:c>
      <x:c r="D670" s="51" t="str">
        <x:v>Circle Internet Group</x:v>
      </x:c>
      <x:c r="E670" s="51" t="str">
        <x:v>ACT-USDC</x:v>
      </x:c>
      <x:c r="F670" s="51" t="str">
        <x:v>USDC</x:v>
      </x:c>
      <x:c r="G670" s="51" t="str">
        <x:v>Issuer → instrument</x:v>
      </x:c>
      <x:c r="H670" s="51" t="str">
        <x:v>2018–present</x:v>
      </x:c>
      <x:c r="I670" s="51" t="str">
        <x:v>Stablecoin issuance and redemption</x:v>
      </x:c>
      <x:c r="J670" s="51" t="str">
        <x:v>INS-055</x:v>
      </x:c>
      <x:c r="K670" s="51" t="str">
        <x:v>$75.3bn circulation at end-2025 stated in filing</x:v>
      </x:c>
      <x:c r="L670" s="51" t="str">
        <x:v>Cash and Treasury-backed reserves</x:v>
      </x:c>
      <x:c r="M670" s="51" t="str">
        <x:v>Transferable blockchain dollar claim</x:v>
      </x:c>
      <x:c r="N670" s="51" t="str">
        <x:v>A private issuer converts segregated traditional assets into 24/7 programmable dollar liabilities</x:v>
      </x:c>
      <x:c r="O670" s="51" t="str">
        <x:v>Financial; informational; enforcement</x:v>
      </x:c>
      <x:c r="P670" s="51" t="str">
        <x:v>E1</x:v>
      </x:c>
      <x:c r="Q670" s="51" t="str">
        <x:v>Very high</x:v>
      </x:c>
      <x:c r="R670" s="51" t="str">
        <x:v>SRC-114; SRC-115</x:v>
      </x:c>
      <x:c r="S670" s="51" t="str">
        <x:v>Circle issues USDC and maintains disclosed reserves.</x:v>
      </x:c>
      <x:c r="T670" s="51" t="str">
        <x:v>Central-bank money status, deposit insurance or absence of issuer/technology risk.</x:v>
      </x:c>
      <x:c r="U670" s="51" t="str">
        <x:v>Redemption and reserve access depend on legal, banking and technical infrastructure.</x:v>
      </x:c>
      <x:c r="V670" s="51" t="str">
        <x:v>Active</x:v>
      </x:c>
      <x:c r="W670" s="51" t="str">
        <x:v>36;57;73</x:v>
      </x:c>
      <x:c r="X670" s="51" t="str">
        <x:v>2026-07-27</x:v>
      </x:c>
    </x:row>
    <x:row r="671">
      <x:c r="A671" s="51" t="str">
        <x:v>STB-002</x:v>
      </x:c>
      <x:c r="B671" s="51" t="str">
        <x:v>Stablecoin monetary infrastructure</x:v>
      </x:c>
      <x:c r="C671" s="51" t="str">
        <x:v>ACT-CIRCLEINTERNETGROUP</x:v>
      </x:c>
      <x:c r="D671" s="51" t="str">
        <x:v>Circle Internet Group</x:v>
      </x:c>
      <x:c r="E671" s="51" t="str">
        <x:v>ACT-CIRCLERESERVEFUND</x:v>
      </x:c>
      <x:c r="F671" s="51" t="str">
        <x:v>Circle Reserve Fund</x:v>
      </x:c>
      <x:c r="G671" s="51" t="str">
        <x:v>Issuer → reserve vehicle</x:v>
      </x:c>
      <x:c r="H671" s="51" t="str">
        <x:v>2025–present</x:v>
      </x:c>
      <x:c r="I671" s="51" t="str">
        <x:v>Reserve investment arrangement</x:v>
      </x:c>
      <x:c r="J671" s="51" t="str">
        <x:v>INS-055</x:v>
      </x:c>
      <x:c r="K671" s="51" t="str">
        <x:v>Approximately 88% of reserves at end-2025</x:v>
      </x:c>
      <x:c r="L671" s="51" t="str">
        <x:v>Stablecoin-holder funds</x:v>
      </x:c>
      <x:c r="M671" s="51" t="str">
        <x:v>Government money-market-fund shares</x:v>
      </x:c>
      <x:c r="N671" s="51" t="str">
        <x:v>Stablecoin demand is converted into demand for Treasury and repo assets through a dedicated fund</x:v>
      </x:c>
      <x:c r="O671" s="51" t="str">
        <x:v>Financial; ownership</x:v>
      </x:c>
      <x:c r="P671" s="51" t="str">
        <x:v>E1</x:v>
      </x:c>
      <x:c r="Q671" s="51" t="str">
        <x:v>Very high</x:v>
      </x:c>
      <x:c r="R671" s="51" t="str">
        <x:v>SRC-114</x:v>
      </x:c>
      <x:c r="S671" s="51" t="str">
        <x:v>Circle reported that most USDC reserves were held in the Circle Reserve Fund.</x:v>
      </x:c>
      <x:c r="T671" s="51" t="str">
        <x:v>Circle beneficial ownership of the reserves for its own account.</x:v>
      </x:c>
      <x:c r="U671" s="51" t="str">
        <x:v>Reserve segregation and holder rights remain legal claims rather than direct token-holder custody.</x:v>
      </x:c>
      <x:c r="V671" s="51" t="str">
        <x:v>Active</x:v>
      </x:c>
      <x:c r="W671" s="51" t="str">
        <x:v>36;57</x:v>
      </x:c>
      <x:c r="X671" s="51" t="str">
        <x:v>2026-07-27</x:v>
      </x:c>
    </x:row>
    <x:row r="672">
      <x:c r="A672" s="51" t="str">
        <x:v>STB-003</x:v>
      </x:c>
      <x:c r="B672" s="51" t="str">
        <x:v>Stablecoin monetary infrastructure</x:v>
      </x:c>
      <x:c r="C672" s="51" t="str">
        <x:v>ACT-BLACKROCK</x:v>
      </x:c>
      <x:c r="D672" s="51" t="str">
        <x:v>BlackRock</x:v>
      </x:c>
      <x:c r="E672" s="51" t="str">
        <x:v>ACT-CIRCLERESERVEFUND</x:v>
      </x:c>
      <x:c r="F672" s="51" t="str">
        <x:v>Circle Reserve Fund</x:v>
      </x:c>
      <x:c r="G672" s="51" t="str">
        <x:v>Manager → reserve vehicle</x:v>
      </x:c>
      <x:c r="H672" s="51" t="str">
        <x:v>Ongoing</x:v>
      </x:c>
      <x:c r="I672" s="51" t="str">
        <x:v>Investment-management relationship</x:v>
      </x:c>
      <x:c r="J672" s="51" t="str">
        <x:v>INS-055</x:v>
      </x:c>
      <x:c r="K672" s="51" t="str">
        <x:v>Majority of USDC reserve pool</x:v>
      </x:c>
      <x:c r="L672" s="51" t="str">
        <x:v>Government securities, repo and cash-management expertise</x:v>
      </x:c>
      <x:c r="M672" s="51" t="str">
        <x:v>Managed reserve portfolio</x:v>
      </x:c>
      <x:c r="N672" s="51" t="str">
        <x:v>An asset manager becomes an infrastructure layer in a private digital-dollar system</x:v>
      </x:c>
      <x:c r="O672" s="51" t="str">
        <x:v>Financial; informational; relational</x:v>
      </x:c>
      <x:c r="P672" s="51" t="str">
        <x:v>E1</x:v>
      </x:c>
      <x:c r="Q672" s="51" t="str">
        <x:v>Very high</x:v>
      </x:c>
      <x:c r="R672" s="51" t="str">
        <x:v>SRC-114</x:v>
      </x:c>
      <x:c r="S672" s="51" t="str">
        <x:v>Circle filing identifies BlackRock as manager of the reserve fund.</x:v>
      </x:c>
      <x:c r="T672" s="51" t="str">
        <x:v>BlackRock ownership of USDC liabilities or unilateral authority over redemptions.</x:v>
      </x:c>
      <x:c r="U672" s="51" t="str">
        <x:v>Circle, custodians, banks and regulators retain separate roles.</x:v>
      </x:c>
      <x:c r="V672" s="51" t="str">
        <x:v>Active</x:v>
      </x:c>
      <x:c r="W672" s="51" t="str">
        <x:v>57;73</x:v>
      </x:c>
      <x:c r="X672" s="51" t="str">
        <x:v>2026-07-27</x:v>
      </x:c>
    </x:row>
    <x:row r="673">
      <x:c r="A673" s="51" t="str">
        <x:v>STB-004</x:v>
      </x:c>
      <x:c r="B673" s="51" t="str">
        <x:v>Stablecoin monetary infrastructure</x:v>
      </x:c>
      <x:c r="C673" s="51" t="str">
        <x:v>ACT-USTREASURY</x:v>
      </x:c>
      <x:c r="D673" s="51" t="str">
        <x:v>US Treasury</x:v>
      </x:c>
      <x:c r="E673" s="51" t="str">
        <x:v>ACT-GENIUSACTSTABLECOINREGIM</x:v>
      </x:c>
      <x:c r="F673" s="51" t="str">
        <x:v>GENIUS Act stablecoin regime</x:v>
      </x:c>
      <x:c r="G673" s="51" t="str">
        <x:v>Authority → regulatory framework</x:v>
      </x:c>
      <x:c r="H673" s="51" t="str">
        <x:v>2025–2026</x:v>
      </x:c>
      <x:c r="I673" s="51" t="str">
        <x:v>Rulemaking and supervision design</x:v>
      </x:c>
      <x:c r="J673" s="51" t="str">
        <x:v>INS-054</x:v>
      </x:c>
      <x:c r="K673" s="51" t="str">
        <x:v>System-wide</x:v>
      </x:c>
      <x:c r="L673" s="51" t="str">
        <x:v>Legislative mandate and financial-regulatory authority</x:v>
      </x:c>
      <x:c r="M673" s="51" t="str">
        <x:v>Reserve, AML and sanctions obligations</x:v>
      </x:c>
      <x:c r="N673" s="51" t="str">
        <x:v>The state converts private token issuers into supervised financial institutions and sanctions enforcers</x:v>
      </x:c>
      <x:c r="O673" s="51" t="str">
        <x:v>Institutional; financial; enforcement</x:v>
      </x:c>
      <x:c r="P673" s="51" t="str">
        <x:v>E1</x:v>
      </x:c>
      <x:c r="Q673" s="51" t="str">
        <x:v>Very high</x:v>
      </x:c>
      <x:c r="R673" s="51" t="str">
        <x:v>SRC-113</x:v>
      </x:c>
      <x:c r="S673" s="51" t="str">
        <x:v>Treasury is implementing the federal stablecoin framework.</x:v>
      </x:c>
      <x:c r="T673" s="51" t="str">
        <x:v>Government guarantee of token value or complete elimination of illicit finance.</x:v>
      </x:c>
      <x:c r="U673" s="51" t="str">
        <x:v>Final rules, state regimes and issuer structures will determine practical effects.</x:v>
      </x:c>
      <x:c r="V673" s="51" t="str">
        <x:v>Implementation</x:v>
      </x:c>
      <x:c r="W673" s="51" t="str">
        <x:v>36;57;73</x:v>
      </x:c>
      <x:c r="X673" s="51" t="str">
        <x:v>2026-07-27</x:v>
      </x:c>
    </x:row>
    <x:row r="674">
      <x:c r="A674" s="51" t="str">
        <x:v>STB-005</x:v>
      </x:c>
      <x:c r="B674" s="51" t="str">
        <x:v>Stablecoin monetary infrastructure</x:v>
      </x:c>
      <x:c r="C674" s="51" t="str">
        <x:v>ACT-TETHER</x:v>
      </x:c>
      <x:c r="D674" s="51" t="str">
        <x:v>Tether</x:v>
      </x:c>
      <x:c r="E674" s="51" t="str">
        <x:v>ACT-USDT</x:v>
      </x:c>
      <x:c r="F674" s="51" t="str">
        <x:v>USDT</x:v>
      </x:c>
      <x:c r="G674" s="51" t="str">
        <x:v>Issuer → instrument</x:v>
      </x:c>
      <x:c r="H674" s="51" t="str">
        <x:v>Ongoing</x:v>
      </x:c>
      <x:c r="I674" s="51" t="str">
        <x:v>Stablecoin issuance and freeze authority</x:v>
      </x:c>
      <x:c r="J674" s="51" t="str">
        <x:v>INS-056</x:v>
      </x:c>
      <x:c r="K674" s="51" t="str">
        <x:v>Global-scale private dollar token</x:v>
      </x:c>
      <x:c r="L674" s="51" t="str">
        <x:v>Reserve assets and issuer systems</x:v>
      </x:c>
      <x:c r="M674" s="51" t="str">
        <x:v>Transferable token with blacklist functionality</x:v>
      </x:c>
      <x:c r="N674" s="51" t="str">
        <x:v>A private issuer supplies cross-border dollar liquidity while retaining administrative control over token movement</x:v>
      </x:c>
      <x:c r="O674" s="51" t="str">
        <x:v>Financial; informational; enforcement</x:v>
      </x:c>
      <x:c r="P674" s="51" t="str">
        <x:v>E1</x:v>
      </x:c>
      <x:c r="Q674" s="51" t="str">
        <x:v>High</x:v>
      </x:c>
      <x:c r="R674" s="51" t="str">
        <x:v>SRC-116; SRC-117</x:v>
      </x:c>
      <x:c r="S674" s="51" t="str">
        <x:v>Tether issues USDT and publicly coordinates freezes with authorities.</x:v>
      </x:c>
      <x:c r="T674" s="51" t="str">
        <x:v>Decentralised censorship resistance or sovereign deposit protection.</x:v>
      </x:c>
      <x:c r="U674" s="51" t="str">
        <x:v>Reserve transparency, jurisdiction and blockchain execution differ from USDC.</x:v>
      </x:c>
      <x:c r="V674" s="51" t="str">
        <x:v>Active</x:v>
      </x:c>
      <x:c r="W674" s="51" t="str">
        <x:v>36;57;73</x:v>
      </x:c>
      <x:c r="X674" s="51" t="str">
        <x:v>2026-07-27</x:v>
      </x:c>
    </x:row>
    <x:row r="675">
      <x:c r="A675" s="51" t="str">
        <x:v>STB-006</x:v>
      </x:c>
      <x:c r="B675" s="51" t="str">
        <x:v>Stablecoin monetary infrastructure</x:v>
      </x:c>
      <x:c r="C675" s="51" t="str">
        <x:v>ACT-OFFICEOFFOREIGNASSETSCON</x:v>
      </x:c>
      <x:c r="D675" s="51" t="str">
        <x:v>Office of Foreign Assets Control</x:v>
      </x:c>
      <x:c r="E675" s="51" t="str">
        <x:v>ACT-TETHER</x:v>
      </x:c>
      <x:c r="F675" s="51" t="str">
        <x:v>Tether</x:v>
      </x:c>
      <x:c r="G675" s="51" t="str">
        <x:v>Authority → private issuer</x:v>
      </x:c>
      <x:c r="H675" s="51" t="str">
        <x:v>2026</x:v>
      </x:c>
      <x:c r="I675" s="51" t="str">
        <x:v>Sanctions and law-enforcement coordination</x:v>
      </x:c>
      <x:c r="J675" s="51" t="str">
        <x:v>INS-056</x:v>
      </x:c>
      <x:c r="K675" s="51" t="str">
        <x:v>$344m freeze action</x:v>
      </x:c>
      <x:c r="L675" s="51" t="str">
        <x:v>Designated addresses and legal requests</x:v>
      </x:c>
      <x:c r="M675" s="51" t="str">
        <x:v>Issuer-enforced token immobilisation</x:v>
      </x:c>
      <x:c r="N675" s="51" t="str">
        <x:v>State sanctions are converted into on-chain consequences through a private issuer administrative key</x:v>
      </x:c>
      <x:c r="O675" s="51" t="str">
        <x:v>Enforcement; financial; informational</x:v>
      </x:c>
      <x:c r="P675" s="51" t="str">
        <x:v>E1</x:v>
      </x:c>
      <x:c r="Q675" s="51" t="str">
        <x:v>Very high</x:v>
      </x:c>
      <x:c r="R675" s="51" t="str">
        <x:v>SRC-116</x:v>
      </x:c>
      <x:c r="S675" s="51" t="str">
        <x:v>Tether coordinated with OFAC and US law enforcement on a major freeze.</x:v>
      </x:c>
      <x:c r="T675" s="51" t="str">
        <x:v>OFAC unilateral technical control of the blockchain or every USDT transaction.</x:v>
      </x:c>
      <x:c r="U675" s="51" t="str">
        <x:v>Effective enforcement depends on issuer cooperation, timing and chain architecture.</x:v>
      </x:c>
      <x:c r="V675" s="51" t="str">
        <x:v>Executed / recurring capability</x:v>
      </x:c>
      <x:c r="W675" s="51" t="str">
        <x:v>57;73</x:v>
      </x:c>
      <x:c r="X675" s="51" t="str">
        <x:v>2026-07-27</x:v>
      </x:c>
    </x:row>
    <x:row r="676">
      <x:c r="A676" s="51" t="str">
        <x:v>STB-007</x:v>
      </x:c>
      <x:c r="B676" s="51" t="str">
        <x:v>Stablecoin monetary infrastructure</x:v>
      </x:c>
      <x:c r="C676" s="51" t="str">
        <x:v>ACT-USMARSHALSSERVICE</x:v>
      </x:c>
      <x:c r="D676" s="51" t="str">
        <x:v>US Marshals Service</x:v>
      </x:c>
      <x:c r="E676" s="51" t="str">
        <x:v>ACT-GOVERNINGINSTITUTIONALNE</x:v>
      </x:c>
      <x:c r="F676" s="51" t="str">
        <x:v>Governing institutional networks</x:v>
      </x:c>
      <x:c r="G676" s="51" t="str">
        <x:v>Agency → private service market</x:v>
      </x:c>
      <x:c r="H676" s="51" t="str">
        <x:v>2024 onward</x:v>
      </x:c>
      <x:c r="I676" s="51" t="str">
        <x:v>Procurement of custody, management and liquidation services</x:v>
      </x:c>
      <x:c r="J676" s="51" t="str">
        <x:v>INS-057</x:v>
      </x:c>
      <x:c r="K676" s="51" t="str">
        <x:v>Contract-specific</x:v>
      </x:c>
      <x:c r="L676" s="51" t="str">
        <x:v>Seized digital assets</x:v>
      </x:c>
      <x:c r="M676" s="51" t="str">
        <x:v>Managed government crypto portfolio and liquidation</x:v>
      </x:c>
      <x:c r="N676" s="51" t="str">
        <x:v>The state relies on private technical infrastructure to administer seized blockchain assets</x:v>
      </x:c>
      <x:c r="O676" s="51" t="str">
        <x:v>Financial; institutional; enforcement</x:v>
      </x:c>
      <x:c r="P676" s="51" t="str">
        <x:v>E1</x:v>
      </x:c>
      <x:c r="Q676" s="51" t="str">
        <x:v>High</x:v>
      </x:c>
      <x:c r="R676" s="51" t="str">
        <x:v>SRC-119</x:v>
      </x:c>
      <x:c r="S676" s="51" t="str">
        <x:v>The government issued a procurement for cryptocurrency managed services.</x:v>
      </x:c>
      <x:c r="T676" s="51" t="str">
        <x:v>The identity of the current contractor, Coinbase control of seizure decisions or coverage of all government crypto.</x:v>
      </x:c>
      <x:c r="U676" s="51" t="str">
        <x:v>Contractor and task orders require direct procurement verification.</x:v>
      </x:c>
      <x:c r="V676" s="51" t="str">
        <x:v>Active / verify contractor</x:v>
      </x:c>
      <x:c r="W676" s="51" t="str">
        <x:v>57;73</x:v>
      </x:c>
      <x:c r="X676" s="51" t="str">
        <x:v>2026-07-27</x:v>
      </x:c>
    </x:row>
    <x:row r="677">
      <x:c r="A677" s="51" t="str">
        <x:v>STD-001</x:v>
      </x:c>
      <x:c r="B677" s="51" t="str">
        <x:v>Standards, certification and conformity</x:v>
      </x:c>
      <x:c r="C677" s="51" t="str">
        <x:v>ACT-ISO</x:v>
      </x:c>
      <x:c r="D677" s="51" t="str">
        <x:v>ISO</x:v>
      </x:c>
      <x:c r="E677" s="51" t="str">
        <x:v>ACT-ISOIECJTC1SC42</x:v>
      </x:c>
      <x:c r="F677" s="51" t="str">
        <x:v>ISO/IEC JTC 1/SC 42</x:v>
      </x:c>
      <x:c r="G677" s="51" t="str">
        <x:v>Standards organisation → committee</x:v>
      </x:c>
      <x:c r="H677" s="51" t="str">
        <x:v>Ongoing</x:v>
      </x:c>
      <x:c r="I677" s="51" t="str">
        <x:v>Committee governance</x:v>
      </x:c>
      <x:c r="J677" s="51" t="str">
        <x:v>INS-098</x:v>
      </x:c>
      <x:c r="K677" s="51" t="str">
        <x:v>International</x:v>
      </x:c>
      <x:c r="L677" s="51" t="str">
        <x:v>National-body participation and expert proposals</x:v>
      </x:c>
      <x:c r="M677" s="51" t="str">
        <x:v>AI standards work programme</x:v>
      </x:c>
      <x:c r="N677" s="51" t="str">
        <x:v>International organisations convert national and expert participation into reusable technical and governance standards</x:v>
      </x:c>
      <x:c r="O677" s="51" t="str">
        <x:v>Institutional; informational</x:v>
      </x:c>
      <x:c r="P677" s="51" t="str">
        <x:v>E1</x:v>
      </x:c>
      <x:c r="Q677" s="51" t="str">
        <x:v>Very high</x:v>
      </x:c>
      <x:c r="R677" s="51" t="str">
        <x:v>SRC-194</x:v>
      </x:c>
      <x:c r="S677" s="51" t="str">
        <x:v>SC 42 is the ISO/IEC focus committee for AI standardisation.</x:v>
      </x:c>
      <x:c r="T677" s="51" t="str">
        <x:v>Binding law or universal adoption of every standard.</x:v>
      </x:c>
      <x:c r="U677" s="51" t="str">
        <x:v>Standards become consequential through procurement, regulation and certification.</x:v>
      </x:c>
      <x:c r="V677" s="51" t="str">
        <x:v>Active</x:v>
      </x:c>
      <x:c r="W677" s="51" t="str">
        <x:v>57;74</x:v>
      </x:c>
      <x:c r="X677" s="51" t="str">
        <x:v>2026-07-27</x:v>
      </x:c>
    </x:row>
    <x:row r="678">
      <x:c r="A678" s="51" t="str">
        <x:v>STD-002</x:v>
      </x:c>
      <x:c r="B678" s="51" t="str">
        <x:v>Standards, certification and conformity</x:v>
      </x:c>
      <x:c r="C678" s="51" t="str">
        <x:v>ACT-IEC</x:v>
      </x:c>
      <x:c r="D678" s="51" t="str">
        <x:v>IEC</x:v>
      </x:c>
      <x:c r="E678" s="51" t="str">
        <x:v>ACT-ISOIECJTC1SC42</x:v>
      </x:c>
      <x:c r="F678" s="51" t="str">
        <x:v>ISO/IEC JTC 1/SC 42</x:v>
      </x:c>
      <x:c r="G678" s="51" t="str">
        <x:v>Standards organisation → committee</x:v>
      </x:c>
      <x:c r="H678" s="51" t="str">
        <x:v>Ongoing</x:v>
      </x:c>
      <x:c r="I678" s="51" t="str">
        <x:v>Joint committee governance</x:v>
      </x:c>
      <x:c r="J678" s="51" t="str">
        <x:v>INS-098</x:v>
      </x:c>
      <x:c r="K678" s="51" t="str">
        <x:v>International</x:v>
      </x:c>
      <x:c r="L678" s="51" t="str">
        <x:v>Electrotechnical standards participation</x:v>
      </x:c>
      <x:c r="M678" s="51" t="str">
        <x:v>Joint AI standardisation</x:v>
      </x:c>
      <x:c r="N678" s="51" t="str">
        <x:v>Cross-organisational governance combines information-technology and electrotechnical authority</x:v>
      </x:c>
      <x:c r="O678" s="51" t="str">
        <x:v>Institutional; informational</x:v>
      </x:c>
      <x:c r="P678" s="51" t="str">
        <x:v>E1</x:v>
      </x:c>
      <x:c r="Q678" s="51" t="str">
        <x:v>Very high</x:v>
      </x:c>
      <x:c r="R678" s="51" t="str">
        <x:v>SRC-194</x:v>
      </x:c>
      <x:c r="S678" s="51" t="str">
        <x:v>SC 42 is jointly organised under ISO and IEC.</x:v>
      </x:c>
      <x:c r="T678" s="51" t="str">
        <x:v>Control by one country or company.</x:v>
      </x:c>
      <x:c r="U678" s="51" t="str">
        <x:v>National standards bodies formally represent countries.</x:v>
      </x:c>
      <x:c r="V678" s="51" t="str">
        <x:v>Active</x:v>
      </x:c>
      <x:c r="W678" s="51" t="str">
        <x:v>57;74</x:v>
      </x:c>
      <x:c r="X678" s="51" t="str">
        <x:v>2026-07-27</x:v>
      </x:c>
    </x:row>
    <x:row r="679">
      <x:c r="A679" s="51" t="str">
        <x:v>STD-003</x:v>
      </x:c>
      <x:c r="B679" s="51" t="str">
        <x:v>Standards, certification and conformity</x:v>
      </x:c>
      <x:c r="C679" s="51" t="str">
        <x:v>ACT-NATIONALINSTITUTEOFSTAND</x:v>
      </x:c>
      <x:c r="D679" s="51" t="str">
        <x:v>National Institute of Standards and Technology</x:v>
      </x:c>
      <x:c r="E679" s="51" t="str">
        <x:v>ACT-NISTAIRISKMANAGEMENTFRAM</x:v>
      </x:c>
      <x:c r="F679" s="51" t="str">
        <x:v>NIST AI Risk Management Framework</x:v>
      </x:c>
      <x:c r="G679" s="51" t="str">
        <x:v>Agency → framework</x:v>
      </x:c>
      <x:c r="H679" s="51" t="str">
        <x:v>2023–present</x:v>
      </x:c>
      <x:c r="I679" s="51" t="str">
        <x:v>Development and maintenance</x:v>
      </x:c>
      <x:c r="J679" s="51" t="str">
        <x:v>INS-099</x:v>
      </x:c>
      <x:c r="K679" s="51" t="str">
        <x:v>Cross-sectoral</x:v>
      </x:c>
      <x:c r="L679" s="51" t="str">
        <x:v>Measurement expertise and stakeholder consultation</x:v>
      </x:c>
      <x:c r="M679" s="51" t="str">
        <x:v>Voluntary AI governance framework</x:v>
      </x:c>
      <x:c r="N679" s="51" t="str">
        <x:v>A measurement agency converts technical expertise into a widely reusable governance vocabulary</x:v>
      </x:c>
      <x:c r="O679" s="51" t="str">
        <x:v>Institutional; informational</x:v>
      </x:c>
      <x:c r="P679" s="51" t="str">
        <x:v>E1</x:v>
      </x:c>
      <x:c r="Q679" s="51" t="str">
        <x:v>Very high</x:v>
      </x:c>
      <x:c r="R679" s="51" t="str">
        <x:v>SRC-195; SRC-196</x:v>
      </x:c>
      <x:c r="S679" s="51" t="str">
        <x:v>NIST developed and maintains the AI RMF.</x:v>
      </x:c>
      <x:c r="T679" s="51" t="str">
        <x:v>Mandatory compliance for all private firms or certification of any specific model.</x:v>
      </x:c>
      <x:c r="U679" s="51" t="str">
        <x:v>Adoption is voluntary unless incorporated into contracts or rules.</x:v>
      </x:c>
      <x:c r="V679" s="51" t="str">
        <x:v>Active</x:v>
      </x:c>
      <x:c r="W679" s="51" t="str">
        <x:v>57;74</x:v>
      </x:c>
      <x:c r="X679" s="51" t="str">
        <x:v>2026-07-27</x:v>
      </x:c>
    </x:row>
    <x:row r="680">
      <x:c r="A680" s="51" t="str">
        <x:v>STD-004</x:v>
      </x:c>
      <x:c r="B680" s="51" t="str">
        <x:v>Standards, certification and conformity</x:v>
      </x:c>
      <x:c r="C680" s="51" t="str">
        <x:v>ACT-NISTAIRISKMANAGEMENTFRAM</x:v>
      </x:c>
      <x:c r="D680" s="51" t="str">
        <x:v>NIST AI Risk Management Framework</x:v>
      </x:c>
      <x:c r="E680" s="51" t="str">
        <x:v>ACT-GOVERNINGINSTITUTIONALNE</x:v>
      </x:c>
      <x:c r="F680" s="51" t="str">
        <x:v>Governing institutional networks</x:v>
      </x:c>
      <x:c r="G680" s="51" t="str">
        <x:v>Framework → organisations</x:v>
      </x:c>
      <x:c r="H680" s="51" t="str">
        <x:v>Ongoing</x:v>
      </x:c>
      <x:c r="I680" s="51" t="str">
        <x:v>Voluntary adoption and contractual reference</x:v>
      </x:c>
      <x:c r="J680" s="51" t="str">
        <x:v>INS-099</x:v>
      </x:c>
      <x:c r="K680" s="51" t="str">
        <x:v>Cross-sectoral</x:v>
      </x:c>
      <x:c r="L680" s="51" t="str">
        <x:v>Risk taxonomy and management practices</x:v>
      </x:c>
      <x:c r="M680" s="51" t="str">
        <x:v>Internal controls, assessments and procurement requirements</x:v>
      </x:c>
      <x:c r="N680" s="51" t="str">
        <x:v>A voluntary framework becomes power when organisations or public buyers incorporate it into eligibility and oversight</x:v>
      </x:c>
      <x:c r="O680" s="51" t="str">
        <x:v>Informational; institutional</x:v>
      </x:c>
      <x:c r="P680" s="51" t="str">
        <x:v>S1</x:v>
      </x:c>
      <x:c r="Q680" s="51" t="str">
        <x:v>High</x:v>
      </x:c>
      <x:c r="R680" s="51" t="str">
        <x:v>SRC-195; SRC-196</x:v>
      </x:c>
      <x:c r="S680" s="51" t="str">
        <x:v>The framework is designed for broad organisational use.</x:v>
      </x:c>
      <x:c r="T680" s="51" t="str">
        <x:v>Uniform implementation or a legal safe harbour.</x:v>
      </x:c>
      <x:c r="U680" s="51" t="str">
        <x:v>Practical effect depends on adoption and verification.</x:v>
      </x:c>
      <x:c r="V680" s="51" t="str">
        <x:v>Active / adoption-specific</x:v>
      </x:c>
      <x:c r="W680" s="51" t="str">
        <x:v>57;74</x:v>
      </x:c>
      <x:c r="X680" s="51" t="str">
        <x:v>2026-07-27</x:v>
      </x:c>
    </x:row>
    <x:row r="681">
      <x:c r="A681" s="51" t="str">
        <x:v>STD-005</x:v>
      </x:c>
      <x:c r="B681" s="51" t="str">
        <x:v>Standards, certification and conformity</x:v>
      </x:c>
      <x:c r="C681" s="51" t="str">
        <x:v>ACT-IEEESTANDARDSASSOCIATION</x:v>
      </x:c>
      <x:c r="D681" s="51" t="str">
        <x:v>IEEE Standards Association</x:v>
      </x:c>
      <x:c r="E681" s="51" t="str">
        <x:v>ACT-IEEE7000SERIES</x:v>
      </x:c>
      <x:c r="F681" s="51" t="str">
        <x:v>IEEE 7000 series</x:v>
      </x:c>
      <x:c r="G681" s="51" t="str">
        <x:v>Standards body → standards set</x:v>
      </x:c>
      <x:c r="H681" s="51" t="str">
        <x:v>Ongoing</x:v>
      </x:c>
      <x:c r="I681" s="51" t="str">
        <x:v>Standards development and publication</x:v>
      </x:c>
      <x:c r="J681" s="51" t="str">
        <x:v>INS-100</x:v>
      </x:c>
      <x:c r="K681" s="51" t="str">
        <x:v>100+ AI-related standards portfolio stated</x:v>
      </x:c>
      <x:c r="L681" s="51" t="str">
        <x:v>Expert working groups and ethical requirements</x:v>
      </x:c>
      <x:c r="M681" s="51" t="str">
        <x:v>System-engineering standards</x:v>
      </x:c>
      <x:c r="N681" s="51" t="str">
        <x:v>Ethical principles are converted into design requirements and process controls</x:v>
      </x:c>
      <x:c r="O681" s="51" t="str">
        <x:v>Institutional; informational; normative</x:v>
      </x:c>
      <x:c r="P681" s="51" t="str">
        <x:v>E1</x:v>
      </x:c>
      <x:c r="Q681" s="51" t="str">
        <x:v>High</x:v>
      </x:c>
      <x:c r="R681" s="51" t="str">
        <x:v>SRC-198</x:v>
      </x:c>
      <x:c r="S681" s="51" t="str">
        <x:v>IEEE publishes the 7000 series addressing ethical and societal considerations.</x:v>
      </x:c>
      <x:c r="T681" s="51" t="str">
        <x:v>Binding law or proof that compliant products are harmless.</x:v>
      </x:c>
      <x:c r="U681" s="51" t="str">
        <x:v>Application and verification remain organisation-specific.</x:v>
      </x:c>
      <x:c r="V681" s="51" t="str">
        <x:v>Active</x:v>
      </x:c>
      <x:c r="W681" s="51" t="str">
        <x:v>57;74</x:v>
      </x:c>
      <x:c r="X681" s="51" t="str">
        <x:v>2026-07-27</x:v>
      </x:c>
    </x:row>
    <x:row r="682">
      <x:c r="A682" s="51" t="str">
        <x:v>STD-006</x:v>
      </x:c>
      <x:c r="B682" s="51" t="str">
        <x:v>Standards, certification and conformity</x:v>
      </x:c>
      <x:c r="C682" s="51" t="str">
        <x:v>ACT-IEEESTANDARDSASSOCIATION</x:v>
      </x:c>
      <x:c r="D682" s="51" t="str">
        <x:v>IEEE Standards Association</x:v>
      </x:c>
      <x:c r="E682" s="51" t="str">
        <x:v>ACT-IEEECERTIFAIED</x:v>
      </x:c>
      <x:c r="F682" s="51" t="str">
        <x:v>IEEE CertifAIEd</x:v>
      </x:c>
      <x:c r="G682" s="51" t="str">
        <x:v>Standards body → certification programme</x:v>
      </x:c>
      <x:c r="H682" s="51" t="str">
        <x:v>Ongoing</x:v>
      </x:c>
      <x:c r="I682" s="51" t="str">
        <x:v>Assessment framework and certification</x:v>
      </x:c>
      <x:c r="J682" s="51" t="str">
        <x:v>INS-100</x:v>
      </x:c>
      <x:c r="K682" s="51" t="str">
        <x:v>Programme scale</x:v>
      </x:c>
      <x:c r="L682" s="51" t="str">
        <x:v>Ethical and governance criteria</x:v>
      </x:c>
      <x:c r="M682" s="51" t="str">
        <x:v>Certification mark and assessment result</x:v>
      </x:c>
      <x:c r="N682" s="51" t="str">
        <x:v>A standards organisation converts governance criteria into a market-facing trust signal</x:v>
      </x:c>
      <x:c r="O682" s="51" t="str">
        <x:v>Institutional; informational; financial</x:v>
      </x:c>
      <x:c r="P682" s="51" t="str">
        <x:v>E1</x:v>
      </x:c>
      <x:c r="Q682" s="51" t="str">
        <x:v>High</x:v>
      </x:c>
      <x:c r="R682" s="51" t="str">
        <x:v>SRC-199</x:v>
      </x:c>
      <x:c r="S682" s="51" t="str">
        <x:v>IEEE operates the CertifAIEd programme.</x:v>
      </x:c>
      <x:c r="T682" s="51" t="str">
        <x:v>Regulatory approval, zero risk or universal market acceptance.</x:v>
      </x:c>
      <x:c r="U682" s="51" t="str">
        <x:v>Certification scope, assessor independence and renewal matter.</x:v>
      </x:c>
      <x:c r="V682" s="51" t="str">
        <x:v>Active</x:v>
      </x:c>
      <x:c r="W682" s="51" t="str">
        <x:v>57;74</x:v>
      </x:c>
      <x:c r="X682" s="51" t="str">
        <x:v>2026-07-27</x:v>
      </x:c>
    </x:row>
    <x:row r="683">
      <x:c r="A683" s="51" t="str">
        <x:v>STD-007</x:v>
      </x:c>
      <x:c r="B683" s="51" t="str">
        <x:v>Standards, certification and conformity</x:v>
      </x:c>
      <x:c r="C683" s="51" t="str">
        <x:v>ACT-ETSI</x:v>
      </x:c>
      <x:c r="D683" s="51" t="str">
        <x:v>ETSI</x:v>
      </x:c>
      <x:c r="E683" s="51" t="str">
        <x:v>ACT-ETSISECURINGAISTANDARDS</x:v>
      </x:c>
      <x:c r="F683" s="51" t="str">
        <x:v>ETSI Securing AI standards</x:v>
      </x:c>
      <x:c r="G683" s="51" t="str">
        <x:v>Standards body → standards set</x:v>
      </x:c>
      <x:c r="H683" s="51" t="str">
        <x:v>2025–2026</x:v>
      </x:c>
      <x:c r="I683" s="51" t="str">
        <x:v>Technical standards publication</x:v>
      </x:c>
      <x:c r="J683" s="51" t="str">
        <x:v>INS-101</x:v>
      </x:c>
      <x:c r="K683" s="51" t="str">
        <x:v>Multiple standards</x:v>
      </x:c>
      <x:c r="L683" s="51" t="str">
        <x:v>Cybersecurity expertise and stakeholder consensus</x:v>
      </x:c>
      <x:c r="M683" s="51" t="str">
        <x:v>Lifecycle, platform and compliance requirements</x:v>
      </x:c>
      <x:c r="N683" s="51" t="str">
        <x:v>A telecom and cybersecurity standards body extends into the operational security of AI systems</x:v>
      </x:c>
      <x:c r="O683" s="51" t="str">
        <x:v>Institutional; informational; technological</x:v>
      </x:c>
      <x:c r="P683" s="51" t="str">
        <x:v>E1</x:v>
      </x:c>
      <x:c r="Q683" s="51" t="str">
        <x:v>Very high</x:v>
      </x:c>
      <x:c r="R683" s="51" t="str">
        <x:v>SRC-200; SRC-201; SRC-202</x:v>
      </x:c>
      <x:c r="S683" s="51" t="str">
        <x:v>ETSI published multiple AI security and compliance standards.</x:v>
      </x:c>
      <x:c r="T683" s="51" t="str">
        <x:v>Mandatory compliance outside adopting contracts or regulation.</x:v>
      </x:c>
      <x:c r="U683" s="51" t="str">
        <x:v>Standards overlap with ISO, NIST, EU law and sector-specific rules.</x:v>
      </x:c>
      <x:c r="V683" s="51" t="str">
        <x:v>Active</x:v>
      </x:c>
      <x:c r="W683" s="51" t="str">
        <x:v>57;74</x:v>
      </x:c>
      <x:c r="X683" s="51" t="str">
        <x:v>2026-07-27</x:v>
      </x:c>
    </x:row>
    <x:row r="684">
      <x:c r="A684" s="51" t="str">
        <x:v>STD-008</x:v>
      </x:c>
      <x:c r="B684" s="51" t="str">
        <x:v>Standards, certification and conformity</x:v>
      </x:c>
      <x:c r="C684" s="51" t="str">
        <x:v>ACT-3GPP</x:v>
      </x:c>
      <x:c r="D684" s="51" t="str">
        <x:v>3GPP</x:v>
      </x:c>
      <x:c r="E684" s="51" t="str">
        <x:v>ACT-3GPPRELEASE21</x:v>
      </x:c>
      <x:c r="F684" s="51" t="str">
        <x:v>3GPP Release 21</x:v>
      </x:c>
      <x:c r="G684" s="51" t="str">
        <x:v>Partnership → standards release</x:v>
      </x:c>
      <x:c r="H684" s="51" t="str">
        <x:v>2026 onward</x:v>
      </x:c>
      <x:c r="I684" s="51" t="str">
        <x:v>Specification governance</x:v>
      </x:c>
      <x:c r="J684" s="51" t="str">
        <x:v>INS-102</x:v>
      </x:c>
      <x:c r="K684" s="51" t="str">
        <x:v>First normative 6G release</x:v>
      </x:c>
      <x:c r="L684" s="51" t="str">
        <x:v>Operator, vendor and standards-partner contributions</x:v>
      </x:c>
      <x:c r="M684" s="51" t="str">
        <x:v>Common 6G specifications</x:v>
      </x:c>
      <x:c r="N684" s="51" t="str">
        <x:v>Consensus specifications coordinate global investment before networks are fully deployed</x:v>
      </x:c>
      <x:c r="O684" s="51" t="str">
        <x:v>Institutional; informational; technological</x:v>
      </x:c>
      <x:c r="P684" s="51" t="str">
        <x:v>E1</x:v>
      </x:c>
      <x:c r="Q684" s="51" t="str">
        <x:v>Very high</x:v>
      </x:c>
      <x:c r="R684" s="51" t="str">
        <x:v>SRC-203; SRC-204</x:v>
      </x:c>
      <x:c r="S684" s="51" t="str">
        <x:v>3GPP set Release 21 as the first normative 6G release and approved initial studies.</x:v>
      </x:c>
      <x:c r="T684" s="51" t="str">
        <x:v>Final commercial 6G products, universal spectrum allocation or deployment timing.</x:v>
      </x:c>
      <x:c r="U684" s="51" t="str">
        <x:v>Standards evolve through subsequent technical work and national regulation.</x:v>
      </x:c>
      <x:c r="V684" s="51" t="str">
        <x:v>Development</x:v>
      </x:c>
      <x:c r="W684" s="51" t="str">
        <x:v>57;74</x:v>
      </x:c>
      <x:c r="X684" s="51" t="str">
        <x:v>2026-07-27</x:v>
      </x:c>
    </x:row>
    <x:row r="685">
      <x:c r="A685" s="51" t="str">
        <x:v>STD-009</x:v>
      </x:c>
      <x:c r="B685" s="51" t="str">
        <x:v>Standards, certification and conformity</x:v>
      </x:c>
      <x:c r="C685" s="51" t="str">
        <x:v>ACT-3GPPRELEASE21</x:v>
      </x:c>
      <x:c r="D685" s="51" t="str">
        <x:v>3GPP Release 21</x:v>
      </x:c>
      <x:c r="E685" s="51" t="str">
        <x:v>ACT-MOBILENETWORKOPERATORSAN</x:v>
      </x:c>
      <x:c r="F685" s="51" t="str">
        <x:v>Mobile network operators and vendors</x:v>
      </x:c>
      <x:c r="G685" s="51" t="str">
        <x:v>Standard → implementers</x:v>
      </x:c>
      <x:c r="H685" s="51" t="str">
        <x:v>Future deployment</x:v>
      </x:c>
      <x:c r="I685" s="51" t="str">
        <x:v>Interoperability and procurement reference</x:v>
      </x:c>
      <x:c r="J685" s="51" t="str">
        <x:v>INS-102</x:v>
      </x:c>
      <x:c r="K685" s="51" t="str">
        <x:v>Global industry</x:v>
      </x:c>
      <x:c r="L685" s="51" t="str">
        <x:v>Ratified specifications</x:v>
      </x:c>
      <x:c r="M685" s="51" t="str">
        <x:v>Compatible networks, devices and equipment markets</x:v>
      </x:c>
      <x:c r="N685" s="51" t="str">
        <x:v>A common standard lowers coordination costs while concentrating influence in the specification process</x:v>
      </x:c>
      <x:c r="O685" s="51" t="str">
        <x:v>Informational; technological; financial</x:v>
      </x:c>
      <x:c r="P685" s="51" t="str">
        <x:v>S1</x:v>
      </x:c>
      <x:c r="Q685" s="51" t="str">
        <x:v>High</x:v>
      </x:c>
      <x:c r="R685" s="51" t="str">
        <x:v>SRC-203; SRC-204</x:v>
      </x:c>
      <x:c r="S685" s="51" t="str">
        <x:v>3GPP specifications are intended for global implementation by operators and vendors.</x:v>
      </x:c>
      <x:c r="T685" s="51" t="str">
        <x:v>Identical deployment or equal influence among participants.</x:v>
      </x:c>
      <x:c r="U685" s="51" t="str">
        <x:v>Spectrum, equipment choices and national policy remain local.</x:v>
      </x:c>
      <x:c r="V685" s="51" t="str">
        <x:v>Development</x:v>
      </x:c>
      <x:c r="W685" s="51" t="str">
        <x:v>57;74</x:v>
      </x:c>
      <x:c r="X685" s="51" t="str">
        <x:v>2026-07-27</x:v>
      </x:c>
    </x:row>
    <x:row r="686">
      <x:c r="A686" s="51" t="str">
        <x:v>SUB-001</x:v>
      </x:c>
      <x:c r="B686" s="51" t="str">
        <x:v>Industrial subsidies and tax expenditures</x:v>
      </x:c>
      <x:c r="C686" s="51" t="str">
        <x:v>ACT-USDEPARTMENTOFCOMMERCE</x:v>
      </x:c>
      <x:c r="D686" s="51" t="str">
        <x:v>US Department of Commerce</x:v>
      </x:c>
      <x:c r="E686" s="51" t="str">
        <x:v>ACT-CHIPSPROGRAMOFFICE</x:v>
      </x:c>
      <x:c r="F686" s="51" t="str">
        <x:v>CHIPS Program Office</x:v>
      </x:c>
      <x:c r="G686" s="51" t="str">
        <x:v>Department → programme office</x:v>
      </x:c>
      <x:c r="H686" s="51" t="str">
        <x:v>2022–present</x:v>
      </x:c>
      <x:c r="I686" s="51" t="str">
        <x:v>Delegated industrial policy administration</x:v>
      </x:c>
      <x:c r="J686" s="51" t="str">
        <x:v>INS-141</x:v>
      </x:c>
      <x:c r="K686" s="51" t="str">
        <x:v>$39 billion incentives programme</x:v>
      </x:c>
      <x:c r="L686" s="51" t="str">
        <x:v>Statutory appropriation and industrial policy objectives</x:v>
      </x:c>
      <x:c r="M686" s="51" t="str">
        <x:v>Manufacturing awards and conditions</x:v>
      </x:c>
      <x:c r="N686" s="51" t="str">
        <x:v>Congressional funding is converted into negotiated firm-level investment support</x:v>
      </x:c>
      <x:c r="O686" s="51" t="str">
        <x:v>Financial; institutional; material</x:v>
      </x:c>
      <x:c r="P686" s="51" t="str">
        <x:v>E1</x:v>
      </x:c>
      <x:c r="Q686" s="51" t="str">
        <x:v>Very high</x:v>
      </x:c>
      <x:c r="R686" s="51" t="str">
        <x:v>SRC-266</x:v>
      </x:c>
      <x:c r="S686" s="51" t="str">
        <x:v>CHIPS for America assigns $39 billion to manufacturing incentives.</x:v>
      </x:c>
      <x:c r="T686" s="51" t="str">
        <x:v>Full disbursement or guaranteed domestic capacity outcomes.</x:v>
      </x:c>
      <x:c r="U686" s="51" t="str">
        <x:v>Awards include milestones, conditions and later payment decisions.</x:v>
      </x:c>
      <x:c r="V686" s="51" t="str">
        <x:v>Active</x:v>
      </x:c>
      <x:c r="W686" s="51" t="str">
        <x:v>43;57</x:v>
      </x:c>
      <x:c r="X686" s="51" t="str">
        <x:v>2026-07-27</x:v>
      </x:c>
    </x:row>
    <x:row r="687">
      <x:c r="A687" s="51" t="str">
        <x:v>SUB-002</x:v>
      </x:c>
      <x:c r="B687" s="51" t="str">
        <x:v>Industrial subsidies and tax expenditures</x:v>
      </x:c>
      <x:c r="C687" s="51" t="str">
        <x:v>ACT-USDEPARTMENTOFCOMMERCE</x:v>
      </x:c>
      <x:c r="D687" s="51" t="str">
        <x:v>US Department of Commerce</x:v>
      </x:c>
      <x:c r="E687" s="51" t="str">
        <x:v>ACT-CHIPSRESEARCHANDDEVELOPM</x:v>
      </x:c>
      <x:c r="F687" s="51" t="str">
        <x:v>CHIPS Research and Development Office</x:v>
      </x:c>
      <x:c r="G687" s="51" t="str">
        <x:v>Department → programme office</x:v>
      </x:c>
      <x:c r="H687" s="51" t="str">
        <x:v>2022–present</x:v>
      </x:c>
      <x:c r="I687" s="51" t="str">
        <x:v>Delegated R&amp;D programme administration</x:v>
      </x:c>
      <x:c r="J687" s="51" t="str">
        <x:v>INS-141</x:v>
      </x:c>
      <x:c r="K687" s="51" t="str">
        <x:v>$11 billion R&amp;D programme</x:v>
      </x:c>
      <x:c r="L687" s="51" t="str">
        <x:v>Statutory funding and research objectives</x:v>
      </x:c>
      <x:c r="M687" s="51" t="str">
        <x:v>Shared infrastructure, research awards and technical programmes</x:v>
      </x:c>
      <x:c r="N687" s="51" t="str">
        <x:v>Public R&amp;D funding attempts to create capabilities that individual firms may underinvest in</x:v>
      </x:c>
      <x:c r="O687" s="51" t="str">
        <x:v>Financial; institutional; technological</x:v>
      </x:c>
      <x:c r="P687" s="51" t="str">
        <x:v>E1</x:v>
      </x:c>
      <x:c r="Q687" s="51" t="str">
        <x:v>Very high</x:v>
      </x:c>
      <x:c r="R687" s="51" t="str">
        <x:v>SRC-266</x:v>
      </x:c>
      <x:c r="S687" s="51" t="str">
        <x:v>CHIPS allocates $11 billion to semiconductor R&amp;D programmes.</x:v>
      </x:c>
      <x:c r="T687" s="51" t="str">
        <x:v>Commercial success of every research award.</x:v>
      </x:c>
      <x:c r="U687" s="51" t="str">
        <x:v>Research outputs and spillovers remain uncertain.</x:v>
      </x:c>
      <x:c r="V687" s="51" t="str">
        <x:v>Active</x:v>
      </x:c>
      <x:c r="W687" s="51" t="str">
        <x:v>43;57</x:v>
      </x:c>
      <x:c r="X687" s="51" t="str">
        <x:v>2026-07-27</x:v>
      </x:c>
    </x:row>
    <x:row r="688">
      <x:c r="A688" s="51" t="str">
        <x:v>SUB-003</x:v>
      </x:c>
      <x:c r="B688" s="51" t="str">
        <x:v>Industrial subsidies and tax expenditures</x:v>
      </x:c>
      <x:c r="C688" s="51" t="str">
        <x:v>ACT-CHIPSPROGRAMOFFICE</x:v>
      </x:c>
      <x:c r="D688" s="51" t="str">
        <x:v>CHIPS Program Office</x:v>
      </x:c>
      <x:c r="E688" s="51" t="str">
        <x:v>ACT-ROBERTBOSCHSEMICONDUCTOR</x:v>
      </x:c>
      <x:c r="F688" s="51" t="str">
        <x:v>Robert Bosch Semiconductor LLC</x:v>
      </x:c>
      <x:c r="G688" s="51" t="str">
        <x:v>Programme → recipient</x:v>
      </x:c>
      <x:c r="H688" s="51" t="str">
        <x:v>2026-07-13</x:v>
      </x:c>
      <x:c r="I688" s="51" t="str">
        <x:v>Direct funding agreement</x:v>
      </x:c>
      <x:c r="J688" s="51" t="str">
        <x:v>INS-142</x:v>
      </x:c>
      <x:c r="K688" s="51" t="str">
        <x:v>$225 million</x:v>
      </x:c>
      <x:c r="L688" s="51" t="str">
        <x:v>Public grant authority and project commitments</x:v>
      </x:c>
      <x:c r="M688" s="51" t="str">
        <x:v>Conditional manufacturing support</x:v>
      </x:c>
      <x:c r="N688" s="51" t="str">
        <x:v>A negotiated grant shares project cost and attaches public conditions to private investment</x:v>
      </x:c>
      <x:c r="O688" s="51" t="str">
        <x:v>Financial; material; institutional</x:v>
      </x:c>
      <x:c r="P688" s="51" t="str">
        <x:v>E1</x:v>
      </x:c>
      <x:c r="Q688" s="51" t="str">
        <x:v>Very high</x:v>
      </x:c>
      <x:c r="R688" s="51" t="str">
        <x:v>SRC-266</x:v>
      </x:c>
      <x:c r="S688" s="51" t="str">
        <x:v>Commerce announced a signed $225 million direct funding agreement.</x:v>
      </x:c>
      <x:c r="T688" s="51" t="str">
        <x:v>Immediate full cash payment or guaranteed project completion.</x:v>
      </x:c>
      <x:c r="U688" s="51" t="str">
        <x:v>Disbursement depends on agreement terms and milestones.</x:v>
      </x:c>
      <x:c r="V688" s="51" t="str">
        <x:v>Signed agreement</x:v>
      </x:c>
      <x:c r="W688" s="51" t="str">
        <x:v>43;57</x:v>
      </x:c>
      <x:c r="X688" s="51" t="str">
        <x:v>2026-07-27</x:v>
      </x:c>
    </x:row>
    <x:row r="689">
      <x:c r="A689" s="51" t="str">
        <x:v>SUB-004</x:v>
      </x:c>
      <x:c r="B689" s="51" t="str">
        <x:v>Industrial subsidies and tax expenditures</x:v>
      </x:c>
      <x:c r="C689" s="51" t="str">
        <x:v>ACT-CHIPSRESEARCHANDDEVELOPM</x:v>
      </x:c>
      <x:c r="D689" s="51" t="str">
        <x:v>CHIPS Research and Development Office</x:v>
      </x:c>
      <x:c r="E689" s="51" t="str">
        <x:v>ACT-IPULSE</x:v>
      </x:c>
      <x:c r="F689" s="51" t="str">
        <x:v>I-Pulse</x:v>
      </x:c>
      <x:c r="G689" s="51" t="str">
        <x:v>Programme → recipient</x:v>
      </x:c>
      <x:c r="H689" s="51" t="str">
        <x:v>2026-06-25</x:v>
      </x:c>
      <x:c r="I689" s="51" t="str">
        <x:v>Definitive R&amp;D award agreement</x:v>
      </x:c>
      <x:c r="J689" s="51" t="str">
        <x:v>INS-143</x:v>
      </x:c>
      <x:c r="K689" s="51" t="str">
        <x:v>$250 million</x:v>
      </x:c>
      <x:c r="L689" s="51" t="str">
        <x:v>Public R&amp;D budget and technical proposal</x:v>
      </x:c>
      <x:c r="M689" s="51" t="str">
        <x:v>Funded silicon-carbide research capability</x:v>
      </x:c>
      <x:c r="N689" s="51" t="str">
        <x:v>A public award moves early-stage technical risk from one firm toward a shared public-private portfolio</x:v>
      </x:c>
      <x:c r="O689" s="51" t="str">
        <x:v>Financial; technological; institutional</x:v>
      </x:c>
      <x:c r="P689" s="51" t="str">
        <x:v>E1</x:v>
      </x:c>
      <x:c r="Q689" s="51" t="str">
        <x:v>Very high</x:v>
      </x:c>
      <x:c r="R689" s="51" t="str">
        <x:v>SRC-266</x:v>
      </x:c>
      <x:c r="S689" s="51" t="str">
        <x:v>Commerce announced a definitive $250 million award agreement.</x:v>
      </x:c>
      <x:c r="T689" s="51" t="str">
        <x:v>Successful commercialisation or absence of private co-investment.</x:v>
      </x:c>
      <x:c r="U689" s="51" t="str">
        <x:v>R&amp;D outcomes remain uncertain.</x:v>
      </x:c>
      <x:c r="V689" s="51" t="str">
        <x:v>Definitive agreement</x:v>
      </x:c>
      <x:c r="W689" s="51" t="str">
        <x:v>43;57</x:v>
      </x:c>
      <x:c r="X689" s="51" t="str">
        <x:v>2026-07-27</x:v>
      </x:c>
    </x:row>
    <x:row r="690">
      <x:c r="A690" s="51" t="str">
        <x:v>SUB-005</x:v>
      </x:c>
      <x:c r="B690" s="51" t="str">
        <x:v>Industrial subsidies and tax expenditures</x:v>
      </x:c>
      <x:c r="C690" s="51" t="str">
        <x:v>ACT-CHIPSRESEARCHANDDEVELOPM</x:v>
      </x:c>
      <x:c r="D690" s="51" t="str">
        <x:v>CHIPS Research and Development Office</x:v>
      </x:c>
      <x:c r="E690" s="51" t="str">
        <x:v>ACT-SANDBOXAQ</x:v>
      </x:c>
      <x:c r="F690" s="51" t="str">
        <x:v>SandboxAQ</x:v>
      </x:c>
      <x:c r="G690" s="51" t="str">
        <x:v>Programme → recipient</x:v>
      </x:c>
      <x:c r="H690" s="51" t="str">
        <x:v>2026-06-17</x:v>
      </x:c>
      <x:c r="I690" s="51" t="str">
        <x:v>Definitive R&amp;D award agreement</x:v>
      </x:c>
      <x:c r="J690" s="51" t="str">
        <x:v>INS-144</x:v>
      </x:c>
      <x:c r="K690" s="51" t="str">
        <x:v>$500 million</x:v>
      </x:c>
      <x:c r="L690" s="51" t="str">
        <x:v>AI research proposal and public programme funds</x:v>
      </x:c>
      <x:c r="M690" s="51" t="str">
        <x:v>Semiconductor materials discovery programme</x:v>
      </x:c>
      <x:c r="N690" s="51" t="str">
        <x:v>Industrial policy can finance AI applications upstream of fabrication rather than only factories</x:v>
      </x:c>
      <x:c r="O690" s="51" t="str">
        <x:v>Financial; technological; informational</x:v>
      </x:c>
      <x:c r="P690" s="51" t="str">
        <x:v>E1</x:v>
      </x:c>
      <x:c r="Q690" s="51" t="str">
        <x:v>Very high</x:v>
      </x:c>
      <x:c r="R690" s="51" t="str">
        <x:v>SRC-266</x:v>
      </x:c>
      <x:c r="S690" s="51" t="str">
        <x:v>Commerce announced a $500 million definitive agreement with SandboxAQ.</x:v>
      </x:c>
      <x:c r="T690" s="51" t="str">
        <x:v>A completed discovery pipeline or exclusive ownership of resulting technology by the government.</x:v>
      </x:c>
      <x:c r="U690" s="51" t="str">
        <x:v>IP and performance terms require the agreement itself.</x:v>
      </x:c>
      <x:c r="V690" s="51" t="str">
        <x:v>Definitive agreement</x:v>
      </x:c>
      <x:c r="W690" s="51" t="str">
        <x:v>43;57</x:v>
      </x:c>
      <x:c r="X690" s="51" t="str">
        <x:v>2026-07-27</x:v>
      </x:c>
    </x:row>
    <x:row r="691">
      <x:c r="A691" s="51" t="str">
        <x:v>SUB-006</x:v>
      </x:c>
      <x:c r="B691" s="51" t="str">
        <x:v>Industrial subsidies and tax expenditures</x:v>
      </x:c>
      <x:c r="C691" s="51" t="str">
        <x:v>ACT-INTERNALREVENUESERVICE</x:v>
      </x:c>
      <x:c r="D691" s="51" t="str">
        <x:v>Internal Revenue Service</x:v>
      </x:c>
      <x:c r="E691" s="51" t="str">
        <x:v>ACT-SECTION48DADVANCEDMANUFA</x:v>
      </x:c>
      <x:c r="F691" s="51" t="str">
        <x:v>Section 48D Advanced Manufacturing Investment Credit</x:v>
      </x:c>
      <x:c r="G691" s="51" t="str">
        <x:v>Authority → tax expenditure</x:v>
      </x:c>
      <x:c r="H691" s="51" t="str">
        <x:v>Current</x:v>
      </x:c>
      <x:c r="I691" s="51" t="str">
        <x:v>Tax credit administration</x:v>
      </x:c>
      <x:c r="J691" s="51" t="str">
        <x:v>INS-145</x:v>
      </x:c>
      <x:c r="K691" s="51" t="str">
        <x:v>25% of qualified investment under cited guidance</x:v>
      </x:c>
      <x:c r="L691" s="51" t="str">
        <x:v>Qualified semiconductor property and tax filing</x:v>
      </x:c>
      <x:c r="M691" s="51" t="str">
        <x:v>Reduction in tax or elective payment</x:v>
      </x:c>
      <x:c r="N691" s="51" t="str">
        <x:v>A formula-based tax credit subsidises investment without a discretionary grant negotiation for each dollar</x:v>
      </x:c>
      <x:c r="O691" s="51" t="str">
        <x:v>Financial; institutional; material</x:v>
      </x:c>
      <x:c r="P691" s="51" t="str">
        <x:v>E1</x:v>
      </x:c>
      <x:c r="Q691" s="51" t="str">
        <x:v>Very high</x:v>
      </x:c>
      <x:c r="R691" s="51" t="str">
        <x:v>SRC-267</x:v>
      </x:c>
      <x:c r="S691" s="51" t="str">
        <x:v>IRS guidance states the credit rate and eligible facility purpose.</x:v>
      </x:c>
      <x:c r="T691" s="51" t="str">
        <x:v>Automatic eligibility for every semiconductor project.</x:v>
      </x:c>
      <x:c r="U691" s="51" t="str">
        <x:v>Qualified property, construction and recapture rules apply.</x:v>
      </x:c>
      <x:c r="V691" s="51" t="str">
        <x:v>Active</x:v>
      </x:c>
      <x:c r="W691" s="51" t="str">
        <x:v>43;57</x:v>
      </x:c>
      <x:c r="X691" s="51" t="str">
        <x:v>2026-07-27</x:v>
      </x:c>
    </x:row>
    <x:row r="692">
      <x:c r="A692" s="51" t="str">
        <x:v>SUB-007</x:v>
      </x:c>
      <x:c r="B692" s="51" t="str">
        <x:v>Industrial subsidies and tax expenditures</x:v>
      </x:c>
      <x:c r="C692" s="51" t="str">
        <x:v>ACT-SECTION48DADVANCEDMANUFA</x:v>
      </x:c>
      <x:c r="D692" s="51" t="str">
        <x:v>Section 48D Advanced Manufacturing Investment Credit</x:v>
      </x:c>
      <x:c r="E692" s="51" t="str">
        <x:v>ACT-ELIGIBLEADVANCEDMANUFACT</x:v>
      </x:c>
      <x:c r="F692" s="51" t="str">
        <x:v>Eligible advanced manufacturing taxpayers</x:v>
      </x:c>
      <x:c r="G692" s="51" t="str">
        <x:v>Credit → taxpayers</x:v>
      </x:c>
      <x:c r="H692" s="51" t="str">
        <x:v>Current</x:v>
      </x:c>
      <x:c r="I692" s="51" t="str">
        <x:v>Investment tax credit</x:v>
      </x:c>
      <x:c r="J692" s="51" t="str">
        <x:v>INS-145</x:v>
      </x:c>
      <x:c r="K692" s="51" t="str">
        <x:v>Taxpayer-specific</x:v>
      </x:c>
      <x:c r="L692" s="51" t="str">
        <x:v>Qualified investment basis</x:v>
      </x:c>
      <x:c r="M692" s="51" t="str">
        <x:v>Tax benefit linked to investment placement in service</x:v>
      </x:c>
      <x:c r="N692" s="51" t="str">
        <x:v>The tax system shares a percentage of eligible capital cost while the private investor retains project ownership</x:v>
      </x:c>
      <x:c r="O692" s="51" t="str">
        <x:v>Financial; material; ownership</x:v>
      </x:c>
      <x:c r="P692" s="51" t="str">
        <x:v>E1</x:v>
      </x:c>
      <x:c r="Q692" s="51" t="str">
        <x:v>High</x:v>
      </x:c>
      <x:c r="R692" s="51" t="str">
        <x:v>SRC-267</x:v>
      </x:c>
      <x:c r="S692" s="51" t="str">
        <x:v>Eligible taxpayers can claim the credit for qualified investment.</x:v>
      </x:c>
      <x:c r="T692" s="51" t="str">
        <x:v>Government equity ownership or guaranteed project profitability.</x:v>
      </x:c>
      <x:c r="U692" s="51" t="str">
        <x:v>Tax benefits depend on compliance and taxable position or elective payment rules.</x:v>
      </x:c>
      <x:c r="V692" s="51" t="str">
        <x:v>Active</x:v>
      </x:c>
      <x:c r="W692" s="51" t="str">
        <x:v>43;57</x:v>
      </x:c>
      <x:c r="X692" s="51" t="str">
        <x:v>2026-07-27</x:v>
      </x:c>
    </x:row>
    <x:row r="693">
      <x:c r="A693" s="51" t="str">
        <x:v>SUB-008</x:v>
      </x:c>
      <x:c r="B693" s="51" t="str">
        <x:v>Industrial subsidies and tax expenditures</x:v>
      </x:c>
      <x:c r="C693" s="51" t="str">
        <x:v>ACT-SECTION45XADVANCEDMANUFA</x:v>
      </x:c>
      <x:c r="D693" s="51" t="str">
        <x:v>Section 45X Advanced Manufacturing Production Credit</x:v>
      </x:c>
      <x:c r="E693" s="51" t="str">
        <x:v>ACT-ELIGIBLEADVANCEDMANUFACT</x:v>
      </x:c>
      <x:c r="F693" s="51" t="str">
        <x:v>Eligible advanced manufacturing taxpayers</x:v>
      </x:c>
      <x:c r="G693" s="51" t="str">
        <x:v>Credit → manufacturers</x:v>
      </x:c>
      <x:c r="H693" s="51" t="str">
        <x:v>Current</x:v>
      </x:c>
      <x:c r="I693" s="51" t="str">
        <x:v>Production-linked tax credit</x:v>
      </x:c>
      <x:c r="J693" s="51" t="str">
        <x:v>INS-146</x:v>
      </x:c>
      <x:c r="K693" s="51" t="str">
        <x:v>Component-specific</x:v>
      </x:c>
      <x:c r="L693" s="51" t="str">
        <x:v>Domestic production and eligible sale</x:v>
      </x:c>
      <x:c r="M693" s="51" t="str">
        <x:v>Tax benefit tied to output</x:v>
      </x:c>
      <x:c r="N693" s="51" t="str">
        <x:v>Production credits reward realised domestic output rather than only construction spending</x:v>
      </x:c>
      <x:c r="O693" s="51" t="str">
        <x:v>Financial; material; institutional</x:v>
      </x:c>
      <x:c r="P693" s="51" t="str">
        <x:v>E1</x:v>
      </x:c>
      <x:c r="Q693" s="51" t="str">
        <x:v>High</x:v>
      </x:c>
      <x:c r="R693" s="51" t="str">
        <x:v>SRC-268</x:v>
      </x:c>
      <x:c r="S693" s="51" t="str">
        <x:v>IRS defines eligible components and claim requirements.</x:v>
      </x:c>
      <x:c r="T693" s="51" t="str">
        <x:v>Eligibility for all manufacturing output or permanent subsidy rates.</x:v>
      </x:c>
      <x:c r="U693" s="51" t="str">
        <x:v>Phase-downs, definitions and related-party rules apply.</x:v>
      </x:c>
      <x:c r="V693" s="51" t="str">
        <x:v>Active</x:v>
      </x:c>
      <x:c r="W693" s="51" t="str">
        <x:v>43;57</x:v>
      </x:c>
      <x:c r="X693" s="51" t="str">
        <x:v>2026-07-27</x:v>
      </x:c>
    </x:row>
    <x:row r="694">
      <x:c r="A694" s="51" t="str">
        <x:v>SUB-009</x:v>
      </x:c>
      <x:c r="B694" s="51" t="str">
        <x:v>Industrial subsidies and tax expenditures</x:v>
      </x:c>
      <x:c r="C694" s="51" t="str">
        <x:v>ACT-ELIGIBLEADVANCEDMANUFACT</x:v>
      </x:c>
      <x:c r="D694" s="51" t="str">
        <x:v>Eligible advanced manufacturing taxpayers</x:v>
      </x:c>
      <x:c r="E694" s="51" t="str">
        <x:v>ACT-TAXCREDITTRANSFEREES</x:v>
      </x:c>
      <x:c r="F694" s="51" t="str">
        <x:v>Tax credit transferees</x:v>
      </x:c>
      <x:c r="G694" s="51" t="str">
        <x:v>Seller → buyer</x:v>
      </x:c>
      <x:c r="H694" s="51" t="str">
        <x:v>Current</x:v>
      </x:c>
      <x:c r="I694" s="51" t="str">
        <x:v>Cash transfer of eligible credit</x:v>
      </x:c>
      <x:c r="J694" s="51" t="str">
        <x:v>INS-147</x:v>
      </x:c>
      <x:c r="K694" s="51" t="str">
        <x:v>Credit-specific</x:v>
      </x:c>
      <x:c r="L694" s="51" t="str">
        <x:v>Transferable tax credit</x:v>
      </x:c>
      <x:c r="M694" s="51" t="str">
        <x:v>Cash proceeds to project sponsor and tax reduction to buyer</x:v>
      </x:c>
      <x:c r="N694" s="51" t="str">
        <x:v>Transferability creates a secondary market that converts future tax benefits into present project finance</x:v>
      </x:c>
      <x:c r="O694" s="51" t="str">
        <x:v>Financial; relational; informational</x:v>
      </x:c>
      <x:c r="P694" s="51" t="str">
        <x:v>E1</x:v>
      </x:c>
      <x:c r="Q694" s="51" t="str">
        <x:v>High</x:v>
      </x:c>
      <x:c r="R694" s="51" t="str">
        <x:v>SRC-269</x:v>
      </x:c>
      <x:c r="S694" s="51" t="str">
        <x:v>IRS permits transfers for eligible credits under defined registration and filing rules.</x:v>
      </x:c>
      <x:c r="T694" s="51" t="str">
        <x:v>Risk-free value or transferability of every credit.</x:v>
      </x:c>
      <x:c r="U694" s="51" t="str">
        <x:v>Pricing, indemnities and recapture allocation are privately negotiated.</x:v>
      </x:c>
      <x:c r="V694" s="51" t="str">
        <x:v>Active</x:v>
      </x:c>
      <x:c r="W694" s="51" t="str">
        <x:v>43;57</x:v>
      </x:c>
      <x:c r="X694" s="51" t="str">
        <x:v>2026-07-27</x:v>
      </x:c>
    </x:row>
    <x:row r="695">
      <x:c r="A695" s="51" t="str">
        <x:v>SUB-010</x:v>
      </x:c>
      <x:c r="B695" s="51" t="str">
        <x:v>Industrial subsidies and tax expenditures</x:v>
      </x:c>
      <x:c r="C695" s="51" t="str">
        <x:v>ACT-PUBLICTAXPAYERSANDBUDGET</x:v>
      </x:c>
      <x:c r="D695" s="51" t="str">
        <x:v>Public taxpayers and budget</x:v>
      </x:c>
      <x:c r="E695" s="51" t="str">
        <x:v>ACT-ELIGIBLEADVANCEDMANUFACT</x:v>
      </x:c>
      <x:c r="F695" s="51" t="str">
        <x:v>Eligible advanced manufacturing taxpayers</x:v>
      </x:c>
      <x:c r="G695" s="51" t="str">
        <x:v>Public balance sheet → firms</x:v>
      </x:c>
      <x:c r="H695" s="51" t="str">
        <x:v>Multi-year</x:v>
      </x:c>
      <x:c r="I695" s="51" t="str">
        <x:v>Tax expenditure and industrial subsidy</x:v>
      </x:c>
      <x:c r="J695" s="51" t="str">
        <x:v>INS-141; INS-145; INS-146</x:v>
      </x:c>
      <x:c r="K695" s="51" t="str">
        <x:v>Programme-specific</x:v>
      </x:c>
      <x:c r="L695" s="51" t="str">
        <x:v>Foregone revenue and appropriated funds</x:v>
      </x:c>
      <x:c r="M695" s="51" t="str">
        <x:v>Private investment incentives and domestic capacity</x:v>
      </x:c>
      <x:c r="N695" s="51" t="str">
        <x:v>Industrial policy converts public fiscal capacity into lower private project cost in exchange for location, production or research commitments</x:v>
      </x:c>
      <x:c r="O695" s="51" t="str">
        <x:v>Financial; material; distributional</x:v>
      </x:c>
      <x:c r="P695" s="51" t="str">
        <x:v>S1</x:v>
      </x:c>
      <x:c r="Q695" s="51" t="str">
        <x:v>High</x:v>
      </x:c>
      <x:c r="R695" s="51" t="str">
        <x:v>SRC-266; SRC-267; SRC-268</x:v>
      </x:c>
      <x:c r="S695" s="51" t="str">
        <x:v>CHIPS grants and manufacturing tax credits reduce qualifying private costs.</x:v>
      </x:c>
      <x:c r="T695" s="51" t="str">
        <x:v>Net social benefit, additionality or absence of subsidy competition.</x:v>
      </x:c>
      <x:c r="U695" s="51" t="str">
        <x:v>Counterfactual investment and long-run spillovers must be measured.</x:v>
      </x:c>
      <x:c r="V695" s="51" t="str">
        <x:v>Active mechanism</x:v>
      </x:c>
      <x:c r="W695" s="51" t="str">
        <x:v>43;57</x:v>
      </x:c>
      <x:c r="X695" s="51" t="str">
        <x:v>2026-07-27</x:v>
      </x:c>
    </x:row>
    <x:row r="696">
      <x:c r="A696" s="51" t="str">
        <x:v>TAL-001</x:v>
      </x:c>
      <x:c r="B696" s="51" t="str">
        <x:v>Talent mobility and credential access</x:v>
      </x:c>
      <x:c r="C696" s="51" t="str">
        <x:v>ACT-USCITIZENSHIPANDIMMIGRAT</x:v>
      </x:c>
      <x:c r="D696" s="51" t="str">
        <x:v>US Citizenship and Immigration Services</x:v>
      </x:c>
      <x:c r="E696" s="51" t="str">
        <x:v>ACT-H1BPROGRAMME</x:v>
      </x:c>
      <x:c r="F696" s="51" t="str">
        <x:v>H-1B programme</x:v>
      </x:c>
      <x:c r="G696" s="51" t="str">
        <x:v>Authority → visa framework</x:v>
      </x:c>
      <x:c r="H696" s="51" t="str">
        <x:v>Ongoing</x:v>
      </x:c>
      <x:c r="I696" s="51" t="str">
        <x:v>Administration and adjudication</x:v>
      </x:c>
      <x:c r="J696" s="51" t="str">
        <x:v>INS-105</x:v>
      </x:c>
      <x:c r="K696" s="51" t="str">
        <x:v>Statutory cap and exemptions</x:v>
      </x:c>
      <x:c r="L696" s="51" t="str">
        <x:v>Employer petitions and worker qualifications</x:v>
      </x:c>
      <x:c r="M696" s="51" t="str">
        <x:v>Temporary specialty-occupation work status</x:v>
      </x:c>
      <x:c r="N696" s="51" t="str">
        <x:v>Immigration administration converts credentials and employer sponsorship into labour-market access</x:v>
      </x:c>
      <x:c r="O696" s="51" t="str">
        <x:v>Institutional; relational; financial</x:v>
      </x:c>
      <x:c r="P696" s="51" t="str">
        <x:v>E1</x:v>
      </x:c>
      <x:c r="Q696" s="51" t="str">
        <x:v>Very high</x:v>
      </x:c>
      <x:c r="R696" s="51" t="str">
        <x:v>SRC-210</x:v>
      </x:c>
      <x:c r="S696" s="51" t="str">
        <x:v>USCIS administers H-1B specialty-occupation status.</x:v>
      </x:c>
      <x:c r="T696" s="51" t="str">
        <x:v>Permanent residence, free worker mobility or guaranteed selection.</x:v>
      </x:c>
      <x:c r="U696" s="51" t="str">
        <x:v>Status is employer-linked and subject to caps, rules and adjudication.</x:v>
      </x:c>
      <x:c r="V696" s="51" t="str">
        <x:v>Active</x:v>
      </x:c>
      <x:c r="W696" s="51" t="str">
        <x:v>13;57</x:v>
      </x:c>
      <x:c r="X696" s="51" t="str">
        <x:v>2026-07-27</x:v>
      </x:c>
    </x:row>
    <x:row r="697">
      <x:c r="A697" s="51" t="str">
        <x:v>TAL-002</x:v>
      </x:c>
      <x:c r="B697" s="51" t="str">
        <x:v>Talent mobility and credential access</x:v>
      </x:c>
      <x:c r="C697" s="51" t="str">
        <x:v>ACT-H1BPROGRAMME</x:v>
      </x:c>
      <x:c r="D697" s="51" t="str">
        <x:v>H-1B programme</x:v>
      </x:c>
      <x:c r="E697" s="51" t="str">
        <x:v>ACT-FOREIGNAIANDSEMICONDUCTO</x:v>
      </x:c>
      <x:c r="F697" s="51" t="str">
        <x:v>Foreign AI and semiconductor talent</x:v>
      </x:c>
      <x:c r="G697" s="51" t="str">
        <x:v>Framework → workers</x:v>
      </x:c>
      <x:c r="H697" s="51" t="str">
        <x:v>Ongoing</x:v>
      </x:c>
      <x:c r="I697" s="51" t="str">
        <x:v>Employer-sponsored work permission</x:v>
      </x:c>
      <x:c r="J697" s="51" t="str">
        <x:v>INS-105</x:v>
      </x:c>
      <x:c r="K697" s="51" t="str">
        <x:v>Programme-specific</x:v>
      </x:c>
      <x:c r="L697" s="51" t="str">
        <x:v>Specialty credentials and job offer</x:v>
      </x:c>
      <x:c r="M697" s="51" t="str">
        <x:v>Temporary legal access to US employment</x:v>
      </x:c>
      <x:c r="N697" s="51" t="str">
        <x:v>A visa programme converts global human capital into firm-specific productive capacity</x:v>
      </x:c>
      <x:c r="O697" s="51" t="str">
        <x:v>Relational; institutional; financial</x:v>
      </x:c>
      <x:c r="P697" s="51" t="str">
        <x:v>S1</x:v>
      </x:c>
      <x:c r="Q697" s="51" t="str">
        <x:v>High</x:v>
      </x:c>
      <x:c r="R697" s="51" t="str">
        <x:v>SRC-210</x:v>
      </x:c>
      <x:c r="S697" s="51" t="str">
        <x:v>H-1B permits qualifying specialty workers to work for petitioning employers.</x:v>
      </x:c>
      <x:c r="T697" s="51" t="str">
        <x:v>A programme limited to AI or semiconductor workers, or unrestricted job mobility.</x:v>
      </x:c>
      <x:c r="U697" s="51" t="str">
        <x:v>Universities and some employers may use cap-exempt pathways.</x:v>
      </x:c>
      <x:c r="V697" s="51" t="str">
        <x:v>Active</x:v>
      </x:c>
      <x:c r="W697" s="51" t="str">
        <x:v>13;57</x:v>
      </x:c>
      <x:c r="X697" s="51" t="str">
        <x:v>2026-07-27</x:v>
      </x:c>
    </x:row>
    <x:row r="698">
      <x:c r="A698" s="51" t="str">
        <x:v>TAL-003</x:v>
      </x:c>
      <x:c r="B698" s="51" t="str">
        <x:v>Talent mobility and credential access</x:v>
      </x:c>
      <x:c r="C698" s="51" t="str">
        <x:v>ACT-F1STEMOPT</x:v>
      </x:c>
      <x:c r="D698" s="51" t="str">
        <x:v>F-1 STEM OPT</x:v>
      </x:c>
      <x:c r="E698" s="51" t="str">
        <x:v>ACT-FOREIGNAIANDSEMICONDUCTO</x:v>
      </x:c>
      <x:c r="F698" s="51" t="str">
        <x:v>Foreign AI and semiconductor talent</x:v>
      </x:c>
      <x:c r="G698" s="51" t="str">
        <x:v>Framework → graduates</x:v>
      </x:c>
      <x:c r="H698" s="51" t="str">
        <x:v>Ongoing</x:v>
      </x:c>
      <x:c r="I698" s="51" t="str">
        <x:v>Post-study employment authorisation</x:v>
      </x:c>
      <x:c r="J698" s="51" t="str">
        <x:v>INS-105</x:v>
      </x:c>
      <x:c r="K698" s="51" t="str">
        <x:v>Up to 24-month STEM extension in addition to standard OPT where eligible</x:v>
      </x:c>
      <x:c r="L698" s="51" t="str">
        <x:v>US STEM degree and employer training plan</x:v>
      </x:c>
      <x:c r="M698" s="51" t="str">
        <x:v>Temporary practical training and labour-market entry</x:v>
      </x:c>
      <x:c r="N698" s="51" t="str">
        <x:v>University admission can become a pathway into strategic-industry employment</x:v>
      </x:c>
      <x:c r="O698" s="51" t="str">
        <x:v>Institutional; relational; financial</x:v>
      </x:c>
      <x:c r="P698" s="51" t="str">
        <x:v>E1</x:v>
      </x:c>
      <x:c r="Q698" s="51" t="str">
        <x:v>High</x:v>
      </x:c>
      <x:c r="R698" s="51" t="str">
        <x:v>SRC-211</x:v>
      </x:c>
      <x:c r="S698" s="51" t="str">
        <x:v>Eligible F-1 STEM graduates may obtain an extension under defined conditions.</x:v>
      </x:c>
      <x:c r="T698" s="51" t="str">
        <x:v>Permanent immigration status or eligibility for every degree/employer.</x:v>
      </x:c>
      <x:c r="U698" s="51" t="str">
        <x:v>Employer, reporting and programme requirements constrain access.</x:v>
      </x:c>
      <x:c r="V698" s="51" t="str">
        <x:v>Active</x:v>
      </x:c>
      <x:c r="W698" s="51" t="str">
        <x:v>13;57</x:v>
      </x:c>
      <x:c r="X698" s="51" t="str">
        <x:v>2026-07-27</x:v>
      </x:c>
    </x:row>
    <x:row r="699">
      <x:c r="A699" s="51" t="str">
        <x:v>TAL-004</x:v>
      </x:c>
      <x:c r="B699" s="51" t="str">
        <x:v>Talent mobility and credential access</x:v>
      </x:c>
      <x:c r="C699" s="51" t="str">
        <x:v>ACT-O1AEXTRAORDINARYABILITYP</x:v>
      </x:c>
      <x:c r="D699" s="51" t="str">
        <x:v>O-1A extraordinary ability pathway</x:v>
      </x:c>
      <x:c r="E699" s="51" t="str">
        <x:v>ACT-FOREIGNAIANDSEMICONDUCTO</x:v>
      </x:c>
      <x:c r="F699" s="51" t="str">
        <x:v>Foreign AI and semiconductor talent</x:v>
      </x:c>
      <x:c r="G699" s="51" t="str">
        <x:v>Framework → high-achievement workers</x:v>
      </x:c>
      <x:c r="H699" s="51" t="str">
        <x:v>Ongoing</x:v>
      </x:c>
      <x:c r="I699" s="51" t="str">
        <x:v>Extraordinary-ability work status</x:v>
      </x:c>
      <x:c r="J699" s="51" t="str">
        <x:v>INS-105</x:v>
      </x:c>
      <x:c r="K699" s="51" t="str">
        <x:v>Evidence-based individual adjudication</x:v>
      </x:c>
      <x:c r="L699" s="51" t="str">
        <x:v>Awards, publications, contributions and professional recognition</x:v>
      </x:c>
      <x:c r="M699" s="51" t="str">
        <x:v>Temporary work access without the H-1B cap structure</x:v>
      </x:c>
      <x:c r="N699" s="51" t="str">
        <x:v>Reputational and scientific signals are converted into immigration eligibility</x:v>
      </x:c>
      <x:c r="O699" s="51" t="str">
        <x:v>Institutional; relational</x:v>
      </x:c>
      <x:c r="P699" s="51" t="str">
        <x:v>E1</x:v>
      </x:c>
      <x:c r="Q699" s="51" t="str">
        <x:v>High</x:v>
      </x:c>
      <x:c r="R699" s="51" t="str">
        <x:v>SRC-212</x:v>
      </x:c>
      <x:c r="S699" s="51" t="str">
        <x:v>USCIS provides O-1A guidance including STEM evidence.</x:v>
      </x:c>
      <x:c r="T699" s="51" t="str">
        <x:v>Automatic approval for prominent individuals or permanent residence.</x:v>
      </x:c>
      <x:c r="U699" s="51" t="str">
        <x:v>Petition-specific evidence and work arrangements remain necessary.</x:v>
      </x:c>
      <x:c r="V699" s="51" t="str">
        <x:v>Active</x:v>
      </x:c>
      <x:c r="W699" s="51" t="str">
        <x:v>13;57</x:v>
      </x:c>
      <x:c r="X699" s="51" t="str">
        <x:v>2026-07-27</x:v>
      </x:c>
    </x:row>
    <x:row r="700">
      <x:c r="A700" s="51" t="str">
        <x:v>TAL-005</x:v>
      </x:c>
      <x:c r="B700" s="51" t="str">
        <x:v>Talent mobility and credential access</x:v>
      </x:c>
      <x:c r="C700" s="51" t="str">
        <x:v>ACT-INTERNATIONALENTREPRENEU</x:v>
      </x:c>
      <x:c r="D700" s="51" t="str">
        <x:v>International Entrepreneur Parole</x:v>
      </x:c>
      <x:c r="E700" s="51" t="str">
        <x:v>ACT-FOREIGNAIANDSEMICONDUCTO</x:v>
      </x:c>
      <x:c r="F700" s="51" t="str">
        <x:v>Foreign AI and semiconductor talent</x:v>
      </x:c>
      <x:c r="G700" s="51" t="str">
        <x:v>Framework → founders</x:v>
      </x:c>
      <x:c r="H700" s="51" t="str">
        <x:v>Ongoing</x:v>
      </x:c>
      <x:c r="I700" s="51" t="str">
        <x:v>Discretionary parole based on startup criteria</x:v>
      </x:c>
      <x:c r="J700" s="51" t="str">
        <x:v>INS-105</x:v>
      </x:c>
      <x:c r="K700" s="51" t="str">
        <x:v>Startup-specific</x:v>
      </x:c>
      <x:c r="L700" s="51" t="str">
        <x:v>Founder ownership, investment and growth evidence</x:v>
      </x:c>
      <x:c r="M700" s="51" t="str">
        <x:v>Temporary entry and employment authorisation pathway</x:v>
      </x:c>
      <x:c r="N700" s="51" t="str">
        <x:v>The state converts investor and growth signals into conditional founder mobility</x:v>
      </x:c>
      <x:c r="O700" s="51" t="str">
        <x:v>Institutional; financial; relational</x:v>
      </x:c>
      <x:c r="P700" s="51" t="str">
        <x:v>E1</x:v>
      </x:c>
      <x:c r="Q700" s="51" t="str">
        <x:v>High</x:v>
      </x:c>
      <x:c r="R700" s="51" t="str">
        <x:v>SRC-213</x:v>
      </x:c>
      <x:c r="S700" s="51" t="str">
        <x:v>The programme permits qualifying founders to request parole based on significant public benefit.</x:v>
      </x:c>
      <x:c r="T700" s="51" t="str">
        <x:v>A visa, permanent residence or approval for every funded startup.</x:v>
      </x:c>
      <x:c r="U700" s="51" t="str">
        <x:v>Parole is discretionary and criteria are specific.</x:v>
      </x:c>
      <x:c r="V700" s="51" t="str">
        <x:v>Active</x:v>
      </x:c>
      <x:c r="W700" s="51" t="str">
        <x:v>13;57</x:v>
      </x:c>
      <x:c r="X700" s="51" t="str">
        <x:v>2026-07-27</x:v>
      </x:c>
    </x:row>
    <x:row r="701">
      <x:c r="A701" s="51" t="str">
        <x:v>TAL-006</x:v>
      </x:c>
      <x:c r="B701" s="51" t="str">
        <x:v>Talent mobility and credential access</x:v>
      </x:c>
      <x:c r="C701" s="51" t="str">
        <x:v>ACT-TECHNOLOGYCOMPANIES</x:v>
      </x:c>
      <x:c r="D701" s="51" t="str">
        <x:v>Technology companies</x:v>
      </x:c>
      <x:c r="E701" s="51" t="str">
        <x:v>ACT-H1BPROGRAMME</x:v>
      </x:c>
      <x:c r="F701" s="51" t="str">
        <x:v>H-1B programme</x:v>
      </x:c>
      <x:c r="G701" s="51" t="str">
        <x:v>Employers → visa framework</x:v>
      </x:c>
      <x:c r="H701" s="51" t="str">
        <x:v>Ongoing</x:v>
      </x:c>
      <x:c r="I701" s="51" t="str">
        <x:v>Petition and sponsorship relationship</x:v>
      </x:c>
      <x:c r="J701" s="51" t="str">
        <x:v>INS-105</x:v>
      </x:c>
      <x:c r="K701" s="51" t="str">
        <x:v>Employer-specific</x:v>
      </x:c>
      <x:c r="L701" s="51" t="str">
        <x:v>Job offers, wages and petitions</x:v>
      </x:c>
      <x:c r="M701" s="51" t="str">
        <x:v>Access to foreign specialty workers</x:v>
      </x:c>
      <x:c r="N701" s="51" t="str">
        <x:v>Employers acquire partial gatekeeping power over worker status through sponsorship</x:v>
      </x:c>
      <x:c r="O701" s="51" t="str">
        <x:v>Relational; financial; institutional</x:v>
      </x:c>
      <x:c r="P701" s="51" t="str">
        <x:v>S1</x:v>
      </x:c>
      <x:c r="Q701" s="51" t="str">
        <x:v>High</x:v>
      </x:c>
      <x:c r="R701" s="51" t="str">
        <x:v>SRC-210</x:v>
      </x:c>
      <x:c r="S701" s="51" t="str">
        <x:v>H-1B employment is tied to petitioning employers and qualifying jobs.</x:v>
      </x:c>
      <x:c r="T701" s="51" t="str">
        <x:v>Employer ownership of workers or impossibility of transfer.</x:v>
      </x:c>
      <x:c r="U701" s="51" t="str">
        <x:v>Portability and transfer rules exist but involve legal and timing constraints.</x:v>
      </x:c>
      <x:c r="V701" s="51" t="str">
        <x:v>Active</x:v>
      </x:c>
      <x:c r="W701" s="51" t="str">
        <x:v>13;57</x:v>
      </x:c>
      <x:c r="X701" s="51" t="str">
        <x:v>2026-07-27</x:v>
      </x:c>
    </x:row>
    <x:row r="702">
      <x:c r="A702" s="51" t="str">
        <x:v>TFIN-001</x:v>
      </x:c>
      <x:c r="B702" s="51" t="str">
        <x:v>Documentary trade finance and cargo control</x:v>
      </x:c>
      <x:c r="C702" s="51" t="str">
        <x:v>ACT-INTERNATIONALCHAMBEROFCO</x:v>
      </x:c>
      <x:c r="D702" s="51" t="str">
        <x:v>International Chamber of Commerce Banking Commission</x:v>
      </x:c>
      <x:c r="E702" s="51" t="str">
        <x:v>ACT-UCP600</x:v>
      </x:c>
      <x:c r="F702" s="51" t="str">
        <x:v>UCP 600</x:v>
      </x:c>
      <x:c r="G702" s="51" t="str">
        <x:v>Rulemaking body → rules</x:v>
      </x:c>
      <x:c r="H702" s="51" t="str">
        <x:v>Ongoing</x:v>
      </x:c>
      <x:c r="I702" s="51" t="str">
        <x:v>Publication and interpretation</x:v>
      </x:c>
      <x:c r="J702" s="51" t="str">
        <x:v>INS-210</x:v>
      </x:c>
      <x:c r="K702" s="51" t="str">
        <x:v>Global documentary credit market</x:v>
      </x:c>
      <x:c r="L702" s="51" t="str">
        <x:v>Banking practice and dispute experience</x:v>
      </x:c>
      <x:c r="M702" s="51" t="str">
        <x:v>Standard documentary credit obligations</x:v>
      </x:c>
      <x:c r="N702" s="51" t="str">
        <x:v>Private international rules reduce legal variation without becoming state law automatically</x:v>
      </x:c>
      <x:c r="O702" s="51" t="str">
        <x:v>Institutional; informational; relational</x:v>
      </x:c>
      <x:c r="P702" s="51" t="str">
        <x:v>E1</x:v>
      </x:c>
      <x:c r="Q702" s="51" t="str">
        <x:v>Very high</x:v>
      </x:c>
      <x:c r="R702" s="51" t="str">
        <x:v>SRC-373; SRC-374</x:v>
      </x:c>
      <x:c r="S702" s="51" t="str">
        <x:v>ICC created UCP 600 for documentary credit transactions.</x:v>
      </x:c>
      <x:c r="T702" s="51" t="str">
        <x:v>Mandatory application to every letter of credit.</x:v>
      </x:c>
      <x:c r="U702" s="51" t="str">
        <x:v>Parties incorporate the rules into the credit.</x:v>
      </x:c>
      <x:c r="V702" s="51" t="str">
        <x:v>Active</x:v>
      </x:c>
      <x:c r="W702" s="51" t="str">
        <x:v>34;57</x:v>
      </x:c>
      <x:c r="X702" s="51" t="str">
        <x:v>2026-07-27</x:v>
      </x:c>
    </x:row>
    <x:row r="703">
      <x:c r="A703" s="51" t="str">
        <x:v>TFIN-002</x:v>
      </x:c>
      <x:c r="B703" s="51" t="str">
        <x:v>Documentary trade finance and cargo control</x:v>
      </x:c>
      <x:c r="C703" s="51" t="str">
        <x:v>ACT-COMMODITYIMPORTERS</x:v>
      </x:c>
      <x:c r="D703" s="51" t="str">
        <x:v>Commodity importers</x:v>
      </x:c>
      <x:c r="E703" s="51" t="str">
        <x:v>ACT-ISSUINGBANKS</x:v>
      </x:c>
      <x:c r="F703" s="51" t="str">
        <x:v>Issuing banks</x:v>
      </x:c>
      <x:c r="G703" s="51" t="str">
        <x:v>Buyer → bank</x:v>
      </x:c>
      <x:c r="H703" s="51" t="str">
        <x:v>Trade transaction</x:v>
      </x:c>
      <x:c r="I703" s="51" t="str">
        <x:v>Application for documentary credit</x:v>
      </x:c>
      <x:c r="J703" s="51" t="str">
        <x:v>INS-210</x:v>
      </x:c>
      <x:c r="K703" s="51" t="str">
        <x:v>Transaction-specific</x:v>
      </x:c>
      <x:c r="L703" s="51" t="str">
        <x:v>Purchase contract, credit line and collateral</x:v>
      </x:c>
      <x:c r="M703" s="51" t="str">
        <x:v>Bank payment undertaking</x:v>
      </x:c>
      <x:c r="N703" s="51" t="str">
        <x:v>The importer substitutes bank credit for its own promise to pay the exporter</x:v>
      </x:c>
      <x:c r="O703" s="51" t="str">
        <x:v>Financial; relational; institutional</x:v>
      </x:c>
      <x:c r="P703" s="51" t="str">
        <x:v>E1</x:v>
      </x:c>
      <x:c r="Q703" s="51" t="str">
        <x:v>High</x:v>
      </x:c>
      <x:c r="R703" s="51" t="str">
        <x:v>SRC-373</x:v>
      </x:c>
      <x:c r="S703" s="51" t="str">
        <x:v>An issuing bank undertakes to honour a complying presentation under a documentary credit.</x:v>
      </x:c>
      <x:c r="T703" s="51" t="str">
        <x:v>Bank guarantee of goods quality or importer performance outside documents.</x:v>
      </x:c>
      <x:c r="U703" s="51" t="str">
        <x:v>Banks deal with documents rather than physical goods.</x:v>
      </x:c>
      <x:c r="V703" s="51" t="str">
        <x:v>Active</x:v>
      </x:c>
      <x:c r="W703" s="51" t="str">
        <x:v>34;57</x:v>
      </x:c>
      <x:c r="X703" s="51" t="str">
        <x:v>2026-07-27</x:v>
      </x:c>
    </x:row>
    <x:row r="704">
      <x:c r="A704" s="51" t="str">
        <x:v>TFIN-003</x:v>
      </x:c>
      <x:c r="B704" s="51" t="str">
        <x:v>Documentary trade finance and cargo control</x:v>
      </x:c>
      <x:c r="C704" s="51" t="str">
        <x:v>ACT-ISSUINGBANKS</x:v>
      </x:c>
      <x:c r="D704" s="51" t="str">
        <x:v>Issuing banks</x:v>
      </x:c>
      <x:c r="E704" s="51" t="str">
        <x:v>ACT-COMMODITYEXPORTERS</x:v>
      </x:c>
      <x:c r="F704" s="51" t="str">
        <x:v>Commodity exporters</x:v>
      </x:c>
      <x:c r="G704" s="51" t="str">
        <x:v>Bank → seller</x:v>
      </x:c>
      <x:c r="H704" s="51" t="str">
        <x:v>Trade transaction</x:v>
      </x:c>
      <x:c r="I704" s="51" t="str">
        <x:v>Irrevocable documentary credit</x:v>
      </x:c>
      <x:c r="J704" s="51" t="str">
        <x:v>INS-210</x:v>
      </x:c>
      <x:c r="K704" s="51" t="str">
        <x:v>Transaction-specific</x:v>
      </x:c>
      <x:c r="L704" s="51" t="str">
        <x:v>Importer credit and documentary conditions</x:v>
      </x:c>
      <x:c r="M704" s="51" t="str">
        <x:v>Conditional bank payment claim</x:v>
      </x:c>
      <x:c r="N704" s="51" t="str">
        <x:v>A bank transforms a distant buyer's payment risk into a document-conditioned obligation</x:v>
      </x:c>
      <x:c r="O704" s="51" t="str">
        <x:v>Financial; informational; relational</x:v>
      </x:c>
      <x:c r="P704" s="51" t="str">
        <x:v>E1</x:v>
      </x:c>
      <x:c r="Q704" s="51" t="str">
        <x:v>Very high</x:v>
      </x:c>
      <x:c r="R704" s="51" t="str">
        <x:v>SRC-373</x:v>
      </x:c>
      <x:c r="S704" s="51" t="str">
        <x:v>UCP 600 defines an issuing bank's irrevocable undertaking to honour a complying presentation.</x:v>
      </x:c>
      <x:c r="T704" s="51" t="str">
        <x:v>Payment without compliant documents or verification of actual cargo quality.</x:v>
      </x:c>
      <x:c r="U704" s="51" t="str">
        <x:v>Fraud, sanctions and document discrepancies remain.</x:v>
      </x:c>
      <x:c r="V704" s="51" t="str">
        <x:v>Active</x:v>
      </x:c>
      <x:c r="W704" s="51" t="str">
        <x:v>34;57</x:v>
      </x:c>
      <x:c r="X704" s="51" t="str">
        <x:v>2026-07-27</x:v>
      </x:c>
    </x:row>
    <x:row r="705">
      <x:c r="A705" s="51" t="str">
        <x:v>TFIN-004</x:v>
      </x:c>
      <x:c r="B705" s="51" t="str">
        <x:v>Documentary trade finance and cargo control</x:v>
      </x:c>
      <x:c r="C705" s="51" t="str">
        <x:v>ACT-CONFIRMINGBANKS</x:v>
      </x:c>
      <x:c r="D705" s="51" t="str">
        <x:v>Confirming banks</x:v>
      </x:c>
      <x:c r="E705" s="51" t="str">
        <x:v>ACT-COMMODITYEXPORTERS</x:v>
      </x:c>
      <x:c r="F705" s="51" t="str">
        <x:v>Commodity exporters</x:v>
      </x:c>
      <x:c r="G705" s="51" t="str">
        <x:v>Confirming bank → seller</x:v>
      </x:c>
      <x:c r="H705" s="51" t="str">
        <x:v>Trade transaction</x:v>
      </x:c>
      <x:c r="I705" s="51" t="str">
        <x:v>Independent confirmation</x:v>
      </x:c>
      <x:c r="J705" s="51" t="str">
        <x:v>INS-210</x:v>
      </x:c>
      <x:c r="K705" s="51" t="str">
        <x:v>Transaction-specific</x:v>
      </x:c>
      <x:c r="L705" s="51" t="str">
        <x:v>Issuing-bank authorisation and country/bank risk assessment</x:v>
      </x:c>
      <x:c r="M705" s="51" t="str">
        <x:v>Second independent payment undertaking</x:v>
      </x:c>
      <x:c r="N705" s="51" t="str">
        <x:v>Confirmation converts issuing-bank and country risk into exposure to a bank acceptable to the exporter</x:v>
      </x:c>
      <x:c r="O705" s="51" t="str">
        <x:v>Financial; geopolitical; relational</x:v>
      </x:c>
      <x:c r="P705" s="51" t="str">
        <x:v>E1</x:v>
      </x:c>
      <x:c r="Q705" s="51" t="str">
        <x:v>High</x:v>
      </x:c>
      <x:c r="R705" s="51" t="str">
        <x:v>SRC-373; SRC-374</x:v>
      </x:c>
      <x:c r="S705" s="51" t="str">
        <x:v>A confirming bank adds its own undertaking when it confirms a credit.</x:v>
      </x:c>
      <x:c r="T705" s="51" t="str">
        <x:v>Mandatory confirmation or elimination of sanctions and fraud risk.</x:v>
      </x:c>
      <x:c r="U705" s="51" t="str">
        <x:v>The confirming bank may decline and charges for the risk.</x:v>
      </x:c>
      <x:c r="V705" s="51" t="str">
        <x:v>Active</x:v>
      </x:c>
      <x:c r="W705" s="51" t="str">
        <x:v>34;57</x:v>
      </x:c>
      <x:c r="X705" s="51" t="str">
        <x:v>2026-07-27</x:v>
      </x:c>
    </x:row>
    <x:row r="706">
      <x:c r="A706" s="51" t="str">
        <x:v>TFIN-005</x:v>
      </x:c>
      <x:c r="B706" s="51" t="str">
        <x:v>Documentary trade finance and cargo control</x:v>
      </x:c>
      <x:c r="C706" s="51" t="str">
        <x:v>ACT-COMMODITYEXPORTERS</x:v>
      </x:c>
      <x:c r="D706" s="51" t="str">
        <x:v>Commodity exporters</x:v>
      </x:c>
      <x:c r="E706" s="51" t="str">
        <x:v>ACT-BILLSOFLADINGANDTRANSPOR</x:v>
      </x:c>
      <x:c r="F706" s="51" t="str">
        <x:v>Bills of lading and transport documents</x:v>
      </x:c>
      <x:c r="G706" s="51" t="str">
        <x:v>Seller → documents</x:v>
      </x:c>
      <x:c r="H706" s="51" t="str">
        <x:v>Shipment</x:v>
      </x:c>
      <x:c r="I706" s="51" t="str">
        <x:v>Document creation and endorsement</x:v>
      </x:c>
      <x:c r="J706" s="51" t="str">
        <x:v>INS-210</x:v>
      </x:c>
      <x:c r="K706" s="51" t="str">
        <x:v>Cargo-specific</x:v>
      </x:c>
      <x:c r="L706" s="51" t="str">
        <x:v>Loaded cargo and carrier receipt</x:v>
      </x:c>
      <x:c r="M706" s="51" t="str">
        <x:v>Evidence required for payment and control</x:v>
      </x:c>
      <x:c r="N706" s="51" t="str">
        <x:v>Transport documents connect physical shipment with bank-controlled documentary payment</x:v>
      </x:c>
      <x:c r="O706" s="51" t="str">
        <x:v>Informational; ownership; financial</x:v>
      </x:c>
      <x:c r="P706" s="51" t="str">
        <x:v>E1</x:v>
      </x:c>
      <x:c r="Q706" s="51" t="str">
        <x:v>High</x:v>
      </x:c>
      <x:c r="R706" s="51" t="str">
        <x:v>SRC-373</x:v>
      </x:c>
      <x:c r="S706" s="51" t="str">
        <x:v>UCP credits commonly require transport documents and banks examine them.</x:v>
      </x:c>
      <x:c r="T706" s="51" t="str">
        <x:v>That a bill of lading always proves good title or actual condition of goods.</x:v>
      </x:c>
      <x:c r="U706" s="51" t="str">
        <x:v>Document type and governing law determine functions.</x:v>
      </x:c>
      <x:c r="V706" s="51" t="str">
        <x:v>Active</x:v>
      </x:c>
      <x:c r="W706" s="51" t="str">
        <x:v>34;57</x:v>
      </x:c>
      <x:c r="X706" s="51" t="str">
        <x:v>2026-07-27</x:v>
      </x:c>
    </x:row>
    <x:row r="707">
      <x:c r="A707" s="51" t="str">
        <x:v>TFIN-006</x:v>
      </x:c>
      <x:c r="B707" s="51" t="str">
        <x:v>Documentary trade finance and cargo control</x:v>
      </x:c>
      <x:c r="C707" s="51" t="str">
        <x:v>ACT-INSPECTIONORIGINANDINSUR</x:v>
      </x:c>
      <x:c r="D707" s="51" t="str">
        <x:v>Inspection, origin and insurance certificates</x:v>
      </x:c>
      <x:c r="E707" s="51" t="str">
        <x:v>ACT-ISSUINGBANKS</x:v>
      </x:c>
      <x:c r="F707" s="51" t="str">
        <x:v>Issuing banks</x:v>
      </x:c>
      <x:c r="G707" s="51" t="str">
        <x:v>Documents → bank</x:v>
      </x:c>
      <x:c r="H707" s="51" t="str">
        <x:v>Presentation period</x:v>
      </x:c>
      <x:c r="I707" s="51" t="str">
        <x:v>Document examination</x:v>
      </x:c>
      <x:c r="J707" s="51" t="str">
        <x:v>INS-210</x:v>
      </x:c>
      <x:c r="K707" s="51" t="str">
        <x:v>Transaction-specific</x:v>
      </x:c>
      <x:c r="L707" s="51" t="str">
        <x:v>Certificates issued by specified parties</x:v>
      </x:c>
      <x:c r="M707" s="51" t="str">
        <x:v>Compliance or discrepancy determination</x:v>
      </x:c>
      <x:c r="N707" s="51" t="str">
        <x:v>Private certificates translate physical quality, origin and insurance into documentary facts a bank can process</x:v>
      </x:c>
      <x:c r="O707" s="51" t="str">
        <x:v>Informational; institutional; financial</x:v>
      </x:c>
      <x:c r="P707" s="51" t="str">
        <x:v>S1</x:v>
      </x:c>
      <x:c r="Q707" s="51" t="str">
        <x:v>High</x:v>
      </x:c>
      <x:c r="R707" s="51" t="str">
        <x:v>SRC-373</x:v>
      </x:c>
      <x:c r="S707" s="51" t="str">
        <x:v>Documentary credits can require specified certificates and banks examine apparent compliance.</x:v>
      </x:c>
      <x:c r="T707" s="51" t="str">
        <x:v>Independent verification of all underlying facts by the bank.</x:v>
      </x:c>
      <x:c r="U707" s="51" t="str">
        <x:v>Banks generally do not inspect the goods.</x:v>
      </x:c>
      <x:c r="V707" s="51" t="str">
        <x:v>Active mechanism</x:v>
      </x:c>
      <x:c r="W707" s="51" t="str">
        <x:v>34;57</x:v>
      </x:c>
      <x:c r="X707" s="51" t="str">
        <x:v>2026-07-27</x:v>
      </x:c>
    </x:row>
    <x:row r="708">
      <x:c r="A708" s="51" t="str">
        <x:v>TFIN-007</x:v>
      </x:c>
      <x:c r="B708" s="51" t="str">
        <x:v>Documentary trade finance and cargo control</x:v>
      </x:c>
      <x:c r="C708" s="51" t="str">
        <x:v>ACT-SWIFTTRADEFINANCEMESSAGI</x:v>
      </x:c>
      <x:c r="D708" s="51" t="str">
        <x:v>SWIFT trade finance messaging</x:v>
      </x:c>
      <x:c r="E708" s="51" t="str">
        <x:v>ACT-ISSUINGBANKS</x:v>
      </x:c>
      <x:c r="F708" s="51" t="str">
        <x:v>Issuing banks</x:v>
      </x:c>
      <x:c r="G708" s="51" t="str">
        <x:v>Messaging network → bank</x:v>
      </x:c>
      <x:c r="H708" s="51" t="str">
        <x:v>Ongoing</x:v>
      </x:c>
      <x:c r="I708" s="51" t="str">
        <x:v>Category 7 message standards</x:v>
      </x:c>
      <x:c r="J708" s="51" t="str">
        <x:v>INS-211</x:v>
      </x:c>
      <x:c r="K708" s="51" t="str">
        <x:v>Global banking network</x:v>
      </x:c>
      <x:c r="L708" s="51" t="str">
        <x:v>Structured message fields</x:v>
      </x:c>
      <x:c r="M708" s="51" t="str">
        <x:v>Authenticated credit issuance and amendment communication</x:v>
      </x:c>
      <x:c r="N708" s="51" t="str">
        <x:v>Standard messaging makes documentary obligations operational across thousands of institutions</x:v>
      </x:c>
      <x:c r="O708" s="51" t="str">
        <x:v>Technological; informational; financial</x:v>
      </x:c>
      <x:c r="P708" s="51" t="str">
        <x:v>E1</x:v>
      </x:c>
      <x:c r="Q708" s="51" t="str">
        <x:v>Very high</x:v>
      </x:c>
      <x:c r="R708" s="51" t="str">
        <x:v>SRC-375; SRC-376</x:v>
      </x:c>
      <x:c r="S708" s="51" t="str">
        <x:v>SWIFT Category 7 supports documentary credit and guarantee messages.</x:v>
      </x:c>
      <x:c r="T708" s="51" t="str">
        <x:v>SWIFT becoming the legal obligor or settlement bank.</x:v>
      </x:c>
      <x:c r="U708" s="51" t="str">
        <x:v>The underlying banks retain contractual liability.</x:v>
      </x:c>
      <x:c r="V708" s="51" t="str">
        <x:v>Active</x:v>
      </x:c>
      <x:c r="W708" s="51" t="str">
        <x:v>34;57</x:v>
      </x:c>
      <x:c r="X708" s="51" t="str">
        <x:v>2026-07-27</x:v>
      </x:c>
    </x:row>
    <x:row r="709">
      <x:c r="A709" s="51" t="str">
        <x:v>TFIN-008</x:v>
      </x:c>
      <x:c r="B709" s="51" t="str">
        <x:v>Documentary trade finance and cargo control</x:v>
      </x:c>
      <x:c r="C709" s="51" t="str">
        <x:v>ACT-ISSUINGBANKS</x:v>
      </x:c>
      <x:c r="D709" s="51" t="str">
        <x:v>Issuing banks</x:v>
      </x:c>
      <x:c r="E709" s="51" t="str">
        <x:v>ACT-SWIFTTRADEFINANCEMESSAGI</x:v>
      </x:c>
      <x:c r="F709" s="51" t="str">
        <x:v>SWIFT trade finance messaging</x:v>
      </x:c>
      <x:c r="G709" s="51" t="str">
        <x:v>Bank → network</x:v>
      </x:c>
      <x:c r="H709" s="51" t="str">
        <x:v>Transaction-specific</x:v>
      </x:c>
      <x:c r="I709" s="51" t="str">
        <x:v>MT 700-series and related messages</x:v>
      </x:c>
      <x:c r="J709" s="51" t="str">
        <x:v>INS-211</x:v>
      </x:c>
      <x:c r="K709" s="51" t="str">
        <x:v>Message-specific</x:v>
      </x:c>
      <x:c r="L709" s="51" t="str">
        <x:v>Credit terms, parties and documents</x:v>
      </x:c>
      <x:c r="M709" s="51" t="str">
        <x:v>Authenticated message to another bank</x:v>
      </x:c>
      <x:c r="N709" s="51" t="str">
        <x:v>A bank's legal undertaking is translated into structured machine-readable instructions</x:v>
      </x:c>
      <x:c r="O709" s="51" t="str">
        <x:v>Technological; informational; institutional</x:v>
      </x:c>
      <x:c r="P709" s="51" t="str">
        <x:v>E1</x:v>
      </x:c>
      <x:c r="Q709" s="51" t="str">
        <x:v>Very high</x:v>
      </x:c>
      <x:c r="R709" s="51" t="str">
        <x:v>SRC-375</x:v>
      </x:c>
      <x:c r="S709" s="51" t="str">
        <x:v>SWIFT standards carry documentary credit instructions between banks.</x:v>
      </x:c>
      <x:c r="T709" s="51" t="str">
        <x:v>Automatic legal validity in the absence of authority or correct authentication.</x:v>
      </x:c>
      <x:c r="U709" s="51" t="str">
        <x:v>Bank procedures and incorporated rules remain necessary.</x:v>
      </x:c>
      <x:c r="V709" s="51" t="str">
        <x:v>Active</x:v>
      </x:c>
      <x:c r="W709" s="51" t="str">
        <x:v>34;57</x:v>
      </x:c>
      <x:c r="X709" s="51" t="str">
        <x:v>2026-07-27</x:v>
      </x:c>
    </x:row>
    <x:row r="710">
      <x:c r="A710" s="51" t="str">
        <x:v>TFIN-009</x:v>
      </x:c>
      <x:c r="B710" s="51" t="str">
        <x:v>Documentary trade finance and cargo control</x:v>
      </x:c>
      <x:c r="C710" s="51" t="str">
        <x:v>ACT-ICCTRADEREGISTER</x:v>
      </x:c>
      <x:c r="D710" s="51" t="str">
        <x:v>ICC Trade Register</x:v>
      </x:c>
      <x:c r="E710" s="51" t="str">
        <x:v>ACT-COMMODITYTRADEFINANCEBAN</x:v>
      </x:c>
      <x:c r="F710" s="51" t="str">
        <x:v>Commodity-trade finance banks</x:v>
      </x:c>
      <x:c r="G710" s="51" t="str">
        <x:v>Risk database → banks</x:v>
      </x:c>
      <x:c r="H710" s="51" t="str">
        <x:v>Annual</x:v>
      </x:c>
      <x:c r="I710" s="51" t="str">
        <x:v>Aggregated default and loss benchmarks</x:v>
      </x:c>
      <x:c r="J710" s="51" t="str">
        <x:v>INS-212</x:v>
      </x:c>
      <x:c r="K710" s="51" t="str">
        <x:v>More than $25.7 trillion historical transaction dataset</x:v>
      </x:c>
      <x:c r="L710" s="51" t="str">
        <x:v>Anonymised trade finance performance data</x:v>
      </x:c>
      <x:c r="M710" s="51" t="str">
        <x:v>Risk calibration and policy evidence</x:v>
      </x:c>
      <x:c r="N710" s="51" t="str">
        <x:v>Shared performance data converts private bank experience into a collective risk model for trade assets</x:v>
      </x:c>
      <x:c r="O710" s="51" t="str">
        <x:v>Informational; financial; institutional</x:v>
      </x:c>
      <x:c r="P710" s="51" t="str">
        <x:v>E1</x:v>
      </x:c>
      <x:c r="Q710" s="51" t="str">
        <x:v>High</x:v>
      </x:c>
      <x:c r="R710" s="51" t="str">
        <x:v>SRC-377; SRC-378</x:v>
      </x:c>
      <x:c r="S710" s="51" t="str">
        <x:v>The Trade Register aggregates large-scale trade finance default and loss data.</x:v>
      </x:c>
      <x:c r="T710" s="51" t="str">
        <x:v>Public access to transaction-level identities or zero risk in every product.</x:v>
      </x:c>
      <x:c r="U710" s="51" t="str">
        <x:v>Country, bank and product risk still vary.</x:v>
      </x:c>
      <x:c r="V710" s="51" t="str">
        <x:v>Active</x:v>
      </x:c>
      <x:c r="W710" s="51" t="str">
        <x:v>34;57</x:v>
      </x:c>
      <x:c r="X710" s="51" t="str">
        <x:v>2026-07-27</x:v>
      </x:c>
    </x:row>
    <x:row r="711">
      <x:c r="A711" s="51" t="str">
        <x:v>TFIN-010</x:v>
      </x:c>
      <x:c r="B711" s="51" t="str">
        <x:v>Documentary trade finance and cargo control</x:v>
      </x:c>
      <x:c r="C711" s="51" t="str">
        <x:v>ACT-BILLSOFLADINGANDTRANSPOR</x:v>
      </x:c>
      <x:c r="D711" s="51" t="str">
        <x:v>Bills of lading and transport documents</x:v>
      </x:c>
      <x:c r="E711" s="51" t="str">
        <x:v>ACT-COMMODITYIMPORTERS</x:v>
      </x:c>
      <x:c r="F711" s="51" t="str">
        <x:v>Commodity importers</x:v>
      </x:c>
      <x:c r="G711" s="51" t="str">
        <x:v>Documents → buyer</x:v>
      </x:c>
      <x:c r="H711" s="51" t="str">
        <x:v>After payment or acceptance</x:v>
      </x:c>
      <x:c r="I711" s="51" t="str">
        <x:v>Document release and cargo control</x:v>
      </x:c>
      <x:c r="J711" s="51" t="str">
        <x:v>INS-210</x:v>
      </x:c>
      <x:c r="K711" s="51" t="str">
        <x:v>Cargo-specific</x:v>
      </x:c>
      <x:c r="L711" s="51" t="str">
        <x:v>Complying presentation and bank release</x:v>
      </x:c>
      <x:c r="M711" s="51" t="str">
        <x:v>Ability to claim or direct delivery of goods</x:v>
      </x:c>
      <x:c r="N711" s="51" t="str">
        <x:v>Documentary control aligns bank payment with transfer of practical control over the cargo</x:v>
      </x:c>
      <x:c r="O711" s="51" t="str">
        <x:v>Ownership; financial; informational</x:v>
      </x:c>
      <x:c r="P711" s="51" t="str">
        <x:v>S1</x:v>
      </x:c>
      <x:c r="Q711" s="51" t="str">
        <x:v>High</x:v>
      </x:c>
      <x:c r="R711" s="51" t="str">
        <x:v>SRC-373</x:v>
      </x:c>
      <x:c r="S711" s="51" t="str">
        <x:v>Trade documents can be released through banks after payment or acceptance.</x:v>
      </x:c>
      <x:c r="T711" s="51" t="str">
        <x:v>Universal negotiability or proof that goods match contract.</x:v>
      </x:c>
      <x:c r="U711" s="51" t="str">
        <x:v>Electronic records and non-negotiable documents use different legal mechanisms.</x:v>
      </x:c>
      <x:c r="V711" s="51" t="str">
        <x:v>Active mechanism</x:v>
      </x:c>
      <x:c r="W711" s="51" t="str">
        <x:v>34;57</x:v>
      </x:c>
      <x:c r="X711" s="51" t="str">
        <x:v>2026-07-27</x:v>
      </x:c>
    </x:row>
    <x:row r="712">
      <x:c r="A712" s="51" t="str">
        <x:v>TITLE-001</x:v>
      </x:c>
      <x:c r="B712" s="51" t="str">
        <x:v>Title, recording and transaction infrastructure</x:v>
      </x:c>
      <x:c r="C712" s="51" t="str">
        <x:v>ACT-PROPERTYOWNERSANDDEVELOP</x:v>
      </x:c>
      <x:c r="D712" s="51" t="str">
        <x:v>Property owners and developers</x:v>
      </x:c>
      <x:c r="E712" s="51" t="str">
        <x:v>ACT-COUNTYRECORDERSANDREGIST</x:v>
      </x:c>
      <x:c r="F712" s="51" t="str">
        <x:v>County recorders and registers of deeds</x:v>
      </x:c>
      <x:c r="G712" s="51" t="str">
        <x:v>Owner → registry</x:v>
      </x:c>
      <x:c r="H712" s="51" t="str">
        <x:v>Transaction-specific</x:v>
      </x:c>
      <x:c r="I712" s="51" t="str">
        <x:v>Deed, mortgage or lien recording</x:v>
      </x:c>
      <x:c r="J712" s="51" t="str">
        <x:v>INS-161</x:v>
      </x:c>
      <x:c r="K712" s="51" t="str">
        <x:v>Parcel-specific</x:v>
      </x:c>
      <x:c r="L712" s="51" t="str">
        <x:v>Executed legal instrument and recording fee</x:v>
      </x:c>
      <x:c r="M712" s="51" t="str">
        <x:v>Public chronological record and notice</x:v>
      </x:c>
      <x:c r="N712" s="51" t="str">
        <x:v>Recording converts a private property transaction into a publicly discoverable claim</x:v>
      </x:c>
      <x:c r="O712" s="51" t="str">
        <x:v>Ownership; informational; institutional</x:v>
      </x:c>
      <x:c r="P712" s="51" t="str">
        <x:v>S1</x:v>
      </x:c>
      <x:c r="Q712" s="51" t="str">
        <x:v>High</x:v>
      </x:c>
      <x:c r="R712" s="51" t="str">
        <x:v>SRC-319; SRC-328</x:v>
      </x:c>
      <x:c r="S712" s="51" t="str">
        <x:v>Property transfers and mortgage instruments are recorded in local systems.</x:v>
      </x:c>
      <x:c r="T712" s="51" t="str">
        <x:v>Conclusive proof of beneficial ownership or validity of every instrument.</x:v>
      </x:c>
      <x:c r="U712" s="51" t="str">
        <x:v>Recording rules and indexing quality vary.</x:v>
      </x:c>
      <x:c r="V712" s="51" t="str">
        <x:v>Active</x:v>
      </x:c>
      <x:c r="W712" s="51" t="str">
        <x:v>39;57</x:v>
      </x:c>
      <x:c r="X712" s="51" t="str">
        <x:v>2026-07-27</x:v>
      </x:c>
    </x:row>
    <x:row r="713">
      <x:c r="A713" s="51" t="str">
        <x:v>TITLE-002</x:v>
      </x:c>
      <x:c r="B713" s="51" t="str">
        <x:v>Title, recording and transaction infrastructure</x:v>
      </x:c>
      <x:c r="C713" s="51" t="str">
        <x:v>ACT-COUNTYRECORDERSANDREGIST</x:v>
      </x:c>
      <x:c r="D713" s="51" t="str">
        <x:v>County recorders and registers of deeds</x:v>
      </x:c>
      <x:c r="E713" s="51" t="str">
        <x:v>ACT-TITLEANDSETTLEMENTAGENTS</x:v>
      </x:c>
      <x:c r="F713" s="51" t="str">
        <x:v>Title and settlement agents</x:v>
      </x:c>
      <x:c r="G713" s="51" t="str">
        <x:v>Registry → professionals</x:v>
      </x:c>
      <x:c r="H713" s="51" t="str">
        <x:v>Transaction-specific</x:v>
      </x:c>
      <x:c r="I713" s="51" t="str">
        <x:v>Public-record search access</x:v>
      </x:c>
      <x:c r="J713" s="51" t="str">
        <x:v>INS-161</x:v>
      </x:c>
      <x:c r="K713" s="51" t="str">
        <x:v>Parcel-specific</x:v>
      </x:c>
      <x:c r="L713" s="51" t="str">
        <x:v>Recorded deeds, mortgages, judgments and liens</x:v>
      </x:c>
      <x:c r="M713" s="51" t="str">
        <x:v>Title search and closing file</x:v>
      </x:c>
      <x:c r="N713" s="51" t="str">
        <x:v>Public land records are converted into a private risk assessment for a transaction</x:v>
      </x:c>
      <x:c r="O713" s="51" t="str">
        <x:v>Informational; ownership; relational</x:v>
      </x:c>
      <x:c r="P713" s="51" t="str">
        <x:v>S1</x:v>
      </x:c>
      <x:c r="Q713" s="51" t="str">
        <x:v>High</x:v>
      </x:c>
      <x:c r="R713" s="51" t="str">
        <x:v>SRC-319; SRC-328</x:v>
      </x:c>
      <x:c r="S713" s="51" t="str">
        <x:v>Title services include public-record searches and closing work.</x:v>
      </x:c>
      <x:c r="T713" s="51" t="str">
        <x:v>Discovery of every defect, forgery or off-record claim.</x:v>
      </x:c>
      <x:c r="U713" s="51" t="str">
        <x:v>Some risks are outside recorded documents.</x:v>
      </x:c>
      <x:c r="V713" s="51" t="str">
        <x:v>Active</x:v>
      </x:c>
      <x:c r="W713" s="51" t="str">
        <x:v>39;57</x:v>
      </x:c>
      <x:c r="X713" s="51" t="str">
        <x:v>2026-07-27</x:v>
      </x:c>
    </x:row>
    <x:row r="714">
      <x:c r="A714" s="51" t="str">
        <x:v>TITLE-003</x:v>
      </x:c>
      <x:c r="B714" s="51" t="str">
        <x:v>Title, recording and transaction infrastructure</x:v>
      </x:c>
      <x:c r="C714" s="51" t="str">
        <x:v>ACT-TITLEANDSETTLEMENTAGENTS</x:v>
      </x:c>
      <x:c r="D714" s="51" t="str">
        <x:v>Title and settlement agents</x:v>
      </x:c>
      <x:c r="E714" s="51" t="str">
        <x:v>ACT-MORTGAGEBORROWERSANDHOME</x:v>
      </x:c>
      <x:c r="F714" s="51" t="str">
        <x:v>Mortgage borrowers and homebuyers</x:v>
      </x:c>
      <x:c r="G714" s="51" t="str">
        <x:v>Professional → buyer</x:v>
      </x:c>
      <x:c r="H714" s="51" t="str">
        <x:v>Closing</x:v>
      </x:c>
      <x:c r="I714" s="51" t="str">
        <x:v>Settlement and title transfer</x:v>
      </x:c>
      <x:c r="J714" s="51" t="str">
        <x:v>INS-162</x:v>
      </x:c>
      <x:c r="K714" s="51" t="str">
        <x:v>Transaction-specific</x:v>
      </x:c>
      <x:c r="L714" s="51" t="str">
        <x:v>Signed documents and funds</x:v>
      </x:c>
      <x:c r="M714" s="51" t="str">
        <x:v>Completed purchase, recorded deed and insurance policy</x:v>
      </x:c>
      <x:c r="N714" s="51" t="str">
        <x:v>Closing agents coordinate legal title, mortgage funding and cash transfer at one conversion point</x:v>
      </x:c>
      <x:c r="O714" s="51" t="str">
        <x:v>Ownership; financial; relational</x:v>
      </x:c>
      <x:c r="P714" s="51" t="str">
        <x:v>E1</x:v>
      </x:c>
      <x:c r="Q714" s="51" t="str">
        <x:v>High</x:v>
      </x:c>
      <x:c r="R714" s="51" t="str">
        <x:v>SRC-319; SRC-328</x:v>
      </x:c>
      <x:c r="S714" s="51" t="str">
        <x:v>Settlement agents facilitate closing and title transfer.</x:v>
      </x:c>
      <x:c r="T714" s="51" t="str">
        <x:v>Independent legal representation of every party.</x:v>
      </x:c>
      <x:c r="U714" s="51" t="str">
        <x:v>Roles differ by state and transaction.</x:v>
      </x:c>
      <x:c r="V714" s="51" t="str">
        <x:v>Active</x:v>
      </x:c>
      <x:c r="W714" s="51" t="str">
        <x:v>39;57</x:v>
      </x:c>
      <x:c r="X714" s="51" t="str">
        <x:v>2026-07-27</x:v>
      </x:c>
    </x:row>
    <x:row r="715">
      <x:c r="A715" s="51" t="str">
        <x:v>TITLE-004</x:v>
      </x:c>
      <x:c r="B715" s="51" t="str">
        <x:v>Title, recording and transaction infrastructure</x:v>
      </x:c>
      <x:c r="C715" s="51" t="str">
        <x:v>ACT-TITLEINSURERS</x:v>
      </x:c>
      <x:c r="D715" s="51" t="str">
        <x:v>Title insurers</x:v>
      </x:c>
      <x:c r="E715" s="51" t="str">
        <x:v>ACT-MORTGAGELENDERSANDAPPROV</x:v>
      </x:c>
      <x:c r="F715" s="51" t="str">
        <x:v>Mortgage lenders and approved issuers</x:v>
      </x:c>
      <x:c r="G715" s="51" t="str">
        <x:v>Insurer → lender</x:v>
      </x:c>
      <x:c r="H715" s="51" t="str">
        <x:v>Mortgage closing</x:v>
      </x:c>
      <x:c r="I715" s="51" t="str">
        <x:v>Lender title insurance</x:v>
      </x:c>
      <x:c r="J715" s="51" t="str">
        <x:v>INS-162</x:v>
      </x:c>
      <x:c r="K715" s="51" t="str">
        <x:v>Loan-specific</x:v>
      </x:c>
      <x:c r="L715" s="51" t="str">
        <x:v>Premium and title examination</x:v>
      </x:c>
      <x:c r="M715" s="51" t="str">
        <x:v>Indemnity against covered title defects affecting lien priority</x:v>
      </x:c>
      <x:c r="N715" s="51" t="str">
        <x:v>Title insurance makes uncertain historical ownership acceptable to a mortgage lender</x:v>
      </x:c>
      <x:c r="O715" s="51" t="str">
        <x:v>Financial; ownership; institutional</x:v>
      </x:c>
      <x:c r="P715" s="51" t="str">
        <x:v>E1</x:v>
      </x:c>
      <x:c r="Q715" s="51" t="str">
        <x:v>Very high</x:v>
      </x:c>
      <x:c r="R715" s="51" t="str">
        <x:v>SRC-319; SRC-332</x:v>
      </x:c>
      <x:c r="S715" s="51" t="str">
        <x:v>Lender title insurance protects the lender against covered title problems and is commonly required.</x:v>
      </x:c>
      <x:c r="T715" s="51" t="str">
        <x:v>Protection of homeowner equity or elimination of all title risk.</x:v>
      </x:c>
      <x:c r="U715" s="51" t="str">
        <x:v>Coverage exclusions and policy limits apply.</x:v>
      </x:c>
      <x:c r="V715" s="51" t="str">
        <x:v>Active</x:v>
      </x:c>
      <x:c r="W715" s="51" t="str">
        <x:v>39;57</x:v>
      </x:c>
      <x:c r="X715" s="51" t="str">
        <x:v>2026-07-27</x:v>
      </x:c>
    </x:row>
    <x:row r="716">
      <x:c r="A716" s="51" t="str">
        <x:v>TITLE-005</x:v>
      </x:c>
      <x:c r="B716" s="51" t="str">
        <x:v>Title, recording and transaction infrastructure</x:v>
      </x:c>
      <x:c r="C716" s="51" t="str">
        <x:v>ACT-FIDELITYNATIONALFINANCIA</x:v>
      </x:c>
      <x:c r="D716" s="51" t="str">
        <x:v>Fidelity National Financial</x:v>
      </x:c>
      <x:c r="E716" s="51" t="str">
        <x:v>ACT-TITLEANDSETTLEMENTAGENTS</x:v>
      </x:c>
      <x:c r="F716" s="51" t="str">
        <x:v>Title and settlement agents</x:v>
      </x:c>
      <x:c r="G716" s="51" t="str">
        <x:v>Underwriter → agency network</x:v>
      </x:c>
      <x:c r="H716" s="51" t="str">
        <x:v>Ongoing</x:v>
      </x:c>
      <x:c r="I716" s="51" t="str">
        <x:v>Underwriting and transaction-service network</x:v>
      </x:c>
      <x:c r="J716" s="51" t="str">
        <x:v>INS-162</x:v>
      </x:c>
      <x:c r="K716" s="51" t="str">
        <x:v>National title market</x:v>
      </x:c>
      <x:c r="L716" s="51" t="str">
        <x:v>Capital, policy forms and title systems</x:v>
      </x:c>
      <x:c r="M716" s="51" t="str">
        <x:v>Title policies and settlement services</x:v>
      </x:c>
      <x:c r="N716" s="51" t="str">
        <x:v>A national underwriter scales local property-record interpretation through affiliated and independent agents</x:v>
      </x:c>
      <x:c r="O716" s="51" t="str">
        <x:v>Financial; informational; relational</x:v>
      </x:c>
      <x:c r="P716" s="51" t="str">
        <x:v>E1</x:v>
      </x:c>
      <x:c r="Q716" s="51" t="str">
        <x:v>High</x:v>
      </x:c>
      <x:c r="R716" s="51" t="str">
        <x:v>SRC-320</x:v>
      </x:c>
      <x:c r="S716" s="51" t="str">
        <x:v>FNF operates major title underwriters and transaction businesses.</x:v>
      </x:c>
      <x:c r="T716" s="51" t="str">
        <x:v>Control of every local closing or national monopoly.</x:v>
      </x:c>
      <x:c r="U716" s="51" t="str">
        <x:v>State regulation and other underwriters remain important.</x:v>
      </x:c>
      <x:c r="V716" s="51" t="str">
        <x:v>Active</x:v>
      </x:c>
      <x:c r="W716" s="51" t="str">
        <x:v>39;57</x:v>
      </x:c>
      <x:c r="X716" s="51" t="str">
        <x:v>2026-07-27</x:v>
      </x:c>
    </x:row>
    <x:row r="717">
      <x:c r="A717" s="51" t="str">
        <x:v>TITLE-006</x:v>
      </x:c>
      <x:c r="B717" s="51" t="str">
        <x:v>Title, recording and transaction infrastructure</x:v>
      </x:c>
      <x:c r="C717" s="51" t="str">
        <x:v>ACT-FIRSTAMERICANFINANCIAL</x:v>
      </x:c>
      <x:c r="D717" s="51" t="str">
        <x:v>First American Financial</x:v>
      </x:c>
      <x:c r="E717" s="51" t="str">
        <x:v>ACT-TITLEANDSETTLEMENTAGENTS</x:v>
      </x:c>
      <x:c r="F717" s="51" t="str">
        <x:v>Title and settlement agents</x:v>
      </x:c>
      <x:c r="G717" s="51" t="str">
        <x:v>Underwriter → agency and data network</x:v>
      </x:c>
      <x:c r="H717" s="51" t="str">
        <x:v>Ongoing</x:v>
      </x:c>
      <x:c r="I717" s="51" t="str">
        <x:v>Title underwriting, settlement and property data</x:v>
      </x:c>
      <x:c r="J717" s="51" t="str">
        <x:v>INS-162</x:v>
      </x:c>
      <x:c r="K717" s="51" t="str">
        <x:v>National title market</x:v>
      </x:c>
      <x:c r="L717" s="51" t="str">
        <x:v>Insurance capital and property information</x:v>
      </x:c>
      <x:c r="M717" s="51" t="str">
        <x:v>Policies, data products and closing services</x:v>
      </x:c>
      <x:c r="N717" s="51" t="str">
        <x:v>Title companies combine risk underwriting with proprietary property-information systems</x:v>
      </x:c>
      <x:c r="O717" s="51" t="str">
        <x:v>Financial; informational; ownership</x:v>
      </x:c>
      <x:c r="P717" s="51" t="str">
        <x:v>E1</x:v>
      </x:c>
      <x:c r="Q717" s="51" t="str">
        <x:v>High</x:v>
      </x:c>
      <x:c r="R717" s="51" t="str">
        <x:v>SRC-321</x:v>
      </x:c>
      <x:c r="S717" s="51" t="str">
        <x:v>First American reports title insurance and settlement operations.</x:v>
      </x:c>
      <x:c r="T717" s="51" t="str">
        <x:v>Exclusive access to public records or control over county registries.</x:v>
      </x:c>
      <x:c r="U717" s="51" t="str">
        <x:v>Competitors and public records remain available.</x:v>
      </x:c>
      <x:c r="V717" s="51" t="str">
        <x:v>Active</x:v>
      </x:c>
      <x:c r="W717" s="51" t="str">
        <x:v>39;57</x:v>
      </x:c>
      <x:c r="X717" s="51" t="str">
        <x:v>2026-07-27</x:v>
      </x:c>
    </x:row>
    <x:row r="718">
      <x:c r="A718" s="51" t="str">
        <x:v>TRAD-001</x:v>
      </x:c>
      <x:c r="B718" s="51" t="str">
        <x:v>Commodity merchants and working-capital finance</x:v>
      </x:c>
      <x:c r="C718" s="51" t="str">
        <x:v>ACT-COMMODITYPRODUCERSANDSTA</x:v>
      </x:c>
      <x:c r="D718" s="51" t="str">
        <x:v>Commodity producers and state sellers</x:v>
      </x:c>
      <x:c r="E718" s="51" t="str">
        <x:v>ACT-VITOL</x:v>
      </x:c>
      <x:c r="F718" s="51" t="str">
        <x:v>Vitol</x:v>
      </x:c>
      <x:c r="G718" s="51" t="str">
        <x:v>Producer → merchant</x:v>
      </x:c>
      <x:c r="H718" s="51" t="str">
        <x:v>Ongoing</x:v>
      </x:c>
      <x:c r="I718" s="51" t="str">
        <x:v>Physical sale, offtake and supply contracts</x:v>
      </x:c>
      <x:c r="J718" s="51" t="str">
        <x:v>INS-199</x:v>
      </x:c>
      <x:c r="K718" s="51" t="str">
        <x:v>Millions of tonnes and barrels per day across platform</x:v>
      </x:c>
      <x:c r="L718" s="51" t="str">
        <x:v>Commodity title or delivery obligation</x:v>
      </x:c>
      <x:c r="M718" s="51" t="str">
        <x:v>Merchant inventory and resale position</x:v>
      </x:c>
      <x:c r="N718" s="51" t="str">
        <x:v>A merchant bridges producers and distant buyers by combining balance sheet, logistics and hedging</x:v>
      </x:c>
      <x:c r="O718" s="51" t="str">
        <x:v>Financial; material; relational</x:v>
      </x:c>
      <x:c r="P718" s="51" t="str">
        <x:v>S1</x:v>
      </x:c>
      <x:c r="Q718" s="51" t="str">
        <x:v>High</x:v>
      </x:c>
      <x:c r="R718" s="51" t="str">
        <x:v>SRC-354</x:v>
      </x:c>
      <x:c r="S718" s="51" t="str">
        <x:v>Vitol trades and delivers very large physical energy volumes.</x:v>
      </x:c>
      <x:c r="T718" s="51" t="str">
        <x:v>Ownership of all producing assets or exclusive access to every supplier.</x:v>
      </x:c>
      <x:c r="U718" s="51" t="str">
        <x:v>Contracts and counterparties change continuously.</x:v>
      </x:c>
      <x:c r="V718" s="51" t="str">
        <x:v>Active</x:v>
      </x:c>
      <x:c r="W718" s="51" t="str">
        <x:v>34;57</x:v>
      </x:c>
      <x:c r="X718" s="51" t="str">
        <x:v>2026-07-27</x:v>
      </x:c>
    </x:row>
    <x:row r="719">
      <x:c r="A719" s="51" t="str">
        <x:v>TRAD-002</x:v>
      </x:c>
      <x:c r="B719" s="51" t="str">
        <x:v>Commodity merchants and working-capital finance</x:v>
      </x:c>
      <x:c r="C719" s="51" t="str">
        <x:v>ACT-VITOL</x:v>
      </x:c>
      <x:c r="D719" s="51" t="str">
        <x:v>Vitol</x:v>
      </x:c>
      <x:c r="E719" s="51" t="str">
        <x:v>ACT-COMMODITYCONSUMERSREFINE</x:v>
      </x:c>
      <x:c r="F719" s="51" t="str">
        <x:v>Commodity consumers, refiners and utilities</x:v>
      </x:c>
      <x:c r="G719" s="51" t="str">
        <x:v>Merchant → buyers</x:v>
      </x:c>
      <x:c r="H719" s="51" t="str">
        <x:v>Ongoing</x:v>
      </x:c>
      <x:c r="I719" s="51" t="str">
        <x:v>Physical delivery and supply contract</x:v>
      </x:c>
      <x:c r="J719" s="51" t="str">
        <x:v>INS-199</x:v>
      </x:c>
      <x:c r="K719" s="51" t="str">
        <x:v>8 million barrels/day crude and products reported for 2025</x:v>
      </x:c>
      <x:c r="L719" s="51" t="str">
        <x:v>Inventory, transport and benchmark hedges</x:v>
      </x:c>
      <x:c r="M719" s="51" t="str">
        <x:v>Delivered commodity and payment receivable</x:v>
      </x:c>
      <x:c r="N719" s="51" t="str">
        <x:v>Merchant scale reduces matching and logistics costs while concentrating information about flows</x:v>
      </x:c>
      <x:c r="O719" s="51" t="str">
        <x:v>Material; informational; financial</x:v>
      </x:c>
      <x:c r="P719" s="51" t="str">
        <x:v>E1</x:v>
      </x:c>
      <x:c r="Q719" s="51" t="str">
        <x:v>High</x:v>
      </x:c>
      <x:c r="R719" s="51" t="str">
        <x:v>SRC-354</x:v>
      </x:c>
      <x:c r="S719" s="51" t="str">
        <x:v>Vitol reported large delivered energy and oil-product volumes.</x:v>
      </x:c>
      <x:c r="T719" s="51" t="str">
        <x:v>Control of global oil prices or public visibility into every private contract.</x:v>
      </x:c>
      <x:c r="U719" s="51" t="str">
        <x:v>The company competes with NOCs, majors and other merchants.</x:v>
      </x:c>
      <x:c r="V719" s="51" t="str">
        <x:v>Active</x:v>
      </x:c>
      <x:c r="W719" s="51" t="str">
        <x:v>34;57</x:v>
      </x:c>
      <x:c r="X719" s="51" t="str">
        <x:v>2026-07-27</x:v>
      </x:c>
    </x:row>
    <x:row r="720">
      <x:c r="A720" s="51" t="str">
        <x:v>TRAD-003</x:v>
      </x:c>
      <x:c r="B720" s="51" t="str">
        <x:v>Commodity merchants and working-capital finance</x:v>
      </x:c>
      <x:c r="C720" s="51" t="str">
        <x:v>ACT-COMMODITYPRODUCERSANDSTA</x:v>
      </x:c>
      <x:c r="D720" s="51" t="str">
        <x:v>Commodity producers and state sellers</x:v>
      </x:c>
      <x:c r="E720" s="51" t="str">
        <x:v>ACT-TRAFIGURA</x:v>
      </x:c>
      <x:c r="F720" s="51" t="str">
        <x:v>Trafigura</x:v>
      </x:c>
      <x:c r="G720" s="51" t="str">
        <x:v>Producer → merchant</x:v>
      </x:c>
      <x:c r="H720" s="51" t="str">
        <x:v>Ongoing</x:v>
      </x:c>
      <x:c r="I720" s="51" t="str">
        <x:v>Purchase, prepayment and offtake relationships</x:v>
      </x:c>
      <x:c r="J720" s="51" t="str">
        <x:v>INS-200</x:v>
      </x:c>
      <x:c r="K720" s="51" t="str">
        <x:v>358 million tonnes oil/products/gas/LNG in FY2025</x:v>
      </x:c>
      <x:c r="L720" s="51" t="str">
        <x:v>Physical commodity and receivable rights</x:v>
      </x:c>
      <x:c r="M720" s="51" t="str">
        <x:v>Trading inventory and logistics position</x:v>
      </x:c>
      <x:c r="N720" s="51" t="str">
        <x:v>Merchants can exchange early liquidity, market access or logistics for future commodity supply</x:v>
      </x:c>
      <x:c r="O720" s="51" t="str">
        <x:v>Financial; relational; material</x:v>
      </x:c>
      <x:c r="P720" s="51" t="str">
        <x:v>S1</x:v>
      </x:c>
      <x:c r="Q720" s="51" t="str">
        <x:v>High</x:v>
      </x:c>
      <x:c r="R720" s="51" t="str">
        <x:v>SRC-355; SRC-356; SRC-357</x:v>
      </x:c>
      <x:c r="S720" s="51" t="str">
        <x:v>Trafigura trades large commodity volumes and reports certain payments to governments and state sellers.</x:v>
      </x:c>
      <x:c r="T720" s="51" t="str">
        <x:v>A prepayment in every supply relationship or proof of corruption.</x:v>
      </x:c>
      <x:c r="U720" s="51" t="str">
        <x:v>Exact contract structures require deal-level records.</x:v>
      </x:c>
      <x:c r="V720" s="51" t="str">
        <x:v>Active</x:v>
      </x:c>
      <x:c r="W720" s="51" t="str">
        <x:v>34;57</x:v>
      </x:c>
      <x:c r="X720" s="51" t="str">
        <x:v>2026-07-27</x:v>
      </x:c>
    </x:row>
    <x:row r="721">
      <x:c r="A721" s="51" t="str">
        <x:v>TRAD-004</x:v>
      </x:c>
      <x:c r="B721" s="51" t="str">
        <x:v>Commodity merchants and working-capital finance</x:v>
      </x:c>
      <x:c r="C721" s="51" t="str">
        <x:v>ACT-TRAFIGURA</x:v>
      </x:c>
      <x:c r="D721" s="51" t="str">
        <x:v>Trafigura</x:v>
      </x:c>
      <x:c r="E721" s="51" t="str">
        <x:v>ACT-COMMODITYCONSUMERSREFINE</x:v>
      </x:c>
      <x:c r="F721" s="51" t="str">
        <x:v>Commodity consumers, refiners and utilities</x:v>
      </x:c>
      <x:c r="G721" s="51" t="str">
        <x:v>Merchant → buyers</x:v>
      </x:c>
      <x:c r="H721" s="51" t="str">
        <x:v>Ongoing</x:v>
      </x:c>
      <x:c r="I721" s="51" t="str">
        <x:v>Physical sale and supply-chain service</x:v>
      </x:c>
      <x:c r="J721" s="51" t="str">
        <x:v>INS-200</x:v>
      </x:c>
      <x:c r="K721" s="51" t="str">
        <x:v>7.6 million barrels/day oil, products, gas and LNG equivalent in FY2025</x:v>
      </x:c>
      <x:c r="L721" s="51" t="str">
        <x:v>Inventory, chartering and derivatives</x:v>
      </x:c>
      <x:c r="M721" s="51" t="str">
        <x:v>Delivered commodity and receivable</x:v>
      </x:c>
      <x:c r="N721" s="51" t="str">
        <x:v>The trader earns from timing, location, quality, logistics and risk transformation rather than simple directional speculation alone</x:v>
      </x:c>
      <x:c r="O721" s="51" t="str">
        <x:v>Financial; material; informational</x:v>
      </x:c>
      <x:c r="P721" s="51" t="str">
        <x:v>E1</x:v>
      </x:c>
      <x:c r="Q721" s="51" t="str">
        <x:v>High</x:v>
      </x:c>
      <x:c r="R721" s="51" t="str">
        <x:v>SRC-355; SRC-356</x:v>
      </x:c>
      <x:c r="S721" s="51" t="str">
        <x:v>Trafigura describes supply-chain and market-risk management across large physical volumes.</x:v>
      </x:c>
      <x:c r="T721" s="51" t="str">
        <x:v>Profit on every cargo or absence of speculative positions.</x:v>
      </x:c>
      <x:c r="U721" s="51" t="str">
        <x:v>Merchant earnings vary with volatility, execution and risk controls.</x:v>
      </x:c>
      <x:c r="V721" s="51" t="str">
        <x:v>Active</x:v>
      </x:c>
      <x:c r="W721" s="51" t="str">
        <x:v>34;57</x:v>
      </x:c>
      <x:c r="X721" s="51" t="str">
        <x:v>2026-07-27</x:v>
      </x:c>
    </x:row>
    <x:row r="722">
      <x:c r="A722" s="51" t="str">
        <x:v>TRAD-005</x:v>
      </x:c>
      <x:c r="B722" s="51" t="str">
        <x:v>Commodity merchants and working-capital finance</x:v>
      </x:c>
      <x:c r="C722" s="51" t="str">
        <x:v>ACT-GLENCORE</x:v>
      </x:c>
      <x:c r="D722" s="51" t="str">
        <x:v>Glencore</x:v>
      </x:c>
      <x:c r="E722" s="51" t="str">
        <x:v>ACT-COMMODITYCONSUMERSREFINE</x:v>
      </x:c>
      <x:c r="F722" s="51" t="str">
        <x:v>Commodity consumers, refiners and utilities</x:v>
      </x:c>
      <x:c r="G722" s="51" t="str">
        <x:v>Producer-marketer → buyers</x:v>
      </x:c>
      <x:c r="H722" s="51" t="str">
        <x:v>Ongoing</x:v>
      </x:c>
      <x:c r="I722" s="51" t="str">
        <x:v>Production and marketing contracts</x:v>
      </x:c>
      <x:c r="J722" s="51" t="str">
        <x:v>INS-201</x:v>
      </x:c>
      <x:c r="K722" s="51" t="str">
        <x:v>More than 60 commodities</x:v>
      </x:c>
      <x:c r="L722" s="51" t="str">
        <x:v>Owned production plus third-party supply</x:v>
      </x:c>
      <x:c r="M722" s="51" t="str">
        <x:v>Delivered commodities and marketing margin</x:v>
      </x:c>
      <x:c r="N722" s="51" t="str">
        <x:v>Integration allows one organisation to arbitrage between mine, processing, freight, storage and financial markets</x:v>
      </x:c>
      <x:c r="O722" s="51" t="str">
        <x:v>Material; financial; informational</x:v>
      </x:c>
      <x:c r="P722" s="51" t="str">
        <x:v>E1</x:v>
      </x:c>
      <x:c r="Q722" s="51" t="str">
        <x:v>High</x:v>
      </x:c>
      <x:c r="R722" s="51" t="str">
        <x:v>SRC-358; SRC-359</x:v>
      </x:c>
      <x:c r="S722" s="51" t="str">
        <x:v>Glencore combines industrial assets with global marketing activities.</x:v>
      </x:c>
      <x:c r="T722" s="51" t="str">
        <x:v>Monopoly over a commodity or unified control of all customer supply chains.</x:v>
      </x:c>
      <x:c r="U722" s="51" t="str">
        <x:v>Market share varies by commodity and region.</x:v>
      </x:c>
      <x:c r="V722" s="51" t="str">
        <x:v>Active</x:v>
      </x:c>
      <x:c r="W722" s="51" t="str">
        <x:v>34;57</x:v>
      </x:c>
      <x:c r="X722" s="51" t="str">
        <x:v>2026-07-27</x:v>
      </x:c>
    </x:row>
    <x:row r="723">
      <x:c r="A723" s="51" t="str">
        <x:v>TRAD-006</x:v>
      </x:c>
      <x:c r="B723" s="51" t="str">
        <x:v>Commodity merchants and working-capital finance</x:v>
      </x:c>
      <x:c r="C723" s="51" t="str">
        <x:v>ACT-GUNVORGROUP</x:v>
      </x:c>
      <x:c r="D723" s="51" t="str">
        <x:v>Gunvor Group</x:v>
      </x:c>
      <x:c r="E723" s="51" t="str">
        <x:v>ACT-COMMODITYCONSUMERSREFINE</x:v>
      </x:c>
      <x:c r="F723" s="51" t="str">
        <x:v>Commodity consumers, refiners and utilities</x:v>
      </x:c>
      <x:c r="G723" s="51" t="str">
        <x:v>Merchant → buyers</x:v>
      </x:c>
      <x:c r="H723" s="51" t="str">
        <x:v>Ongoing</x:v>
      </x:c>
      <x:c r="I723" s="51" t="str">
        <x:v>Physical energy supply</x:v>
      </x:c>
      <x:c r="J723" s="51" t="str">
        <x:v>INS-202</x:v>
      </x:c>
      <x:c r="K723" s="51" t="str">
        <x:v>253 million tonnes volume in 2025</x:v>
      </x:c>
      <x:c r="L723" s="51" t="str">
        <x:v>Purchased energy, shipping and storage</x:v>
      </x:c>
      <x:c r="M723" s="51" t="str">
        <x:v>Delivered commodity and receivable</x:v>
      </x:c>
      <x:c r="N723" s="51" t="str">
        <x:v>A merchant converts short-term funding and operational knowledge into reliable commodity delivery</x:v>
      </x:c>
      <x:c r="O723" s="51" t="str">
        <x:v>Financial; material; relational</x:v>
      </x:c>
      <x:c r="P723" s="51" t="str">
        <x:v>E1</x:v>
      </x:c>
      <x:c r="Q723" s="51" t="str">
        <x:v>High</x:v>
      </x:c>
      <x:c r="R723" s="51" t="str">
        <x:v>SRC-360</x:v>
      </x:c>
      <x:c r="S723" s="51" t="str">
        <x:v>Gunvor reported substantial 2025 commodity volumes and revenue.</x:v>
      </x:c>
      <x:c r="T723" s="51" t="str">
        <x:v>Control of the underlying reserves or certainty of future profit.</x:v>
      </x:c>
      <x:c r="U723" s="51" t="str">
        <x:v>Working capital and market risk remain material.</x:v>
      </x:c>
      <x:c r="V723" s="51" t="str">
        <x:v>Active</x:v>
      </x:c>
      <x:c r="W723" s="51" t="str">
        <x:v>34;57</x:v>
      </x:c>
      <x:c r="X723" s="51" t="str">
        <x:v>2026-07-27</x:v>
      </x:c>
    </x:row>
    <x:row r="724">
      <x:c r="A724" s="51" t="str">
        <x:v>TRAD-007</x:v>
      </x:c>
      <x:c r="B724" s="51" t="str">
        <x:v>Commodity merchants and working-capital finance</x:v>
      </x:c>
      <x:c r="C724" s="51" t="str">
        <x:v>ACT-COMMODITYTRADEFINANCEBAN</x:v>
      </x:c>
      <x:c r="D724" s="51" t="str">
        <x:v>Commodity-trade finance banks</x:v>
      </x:c>
      <x:c r="E724" s="51" t="str">
        <x:v>ACT-GUNVORGROUP</x:v>
      </x:c>
      <x:c r="F724" s="51" t="str">
        <x:v>Gunvor Group</x:v>
      </x:c>
      <x:c r="G724" s="51" t="str">
        <x:v>Banks → merchant</x:v>
      </x:c>
      <x:c r="H724" s="51" t="str">
        <x:v>2025</x:v>
      </x:c>
      <x:c r="I724" s="51" t="str">
        <x:v>Syndicated revolving credit</x:v>
      </x:c>
      <x:c r="J724" s="51" t="str">
        <x:v>INS-203</x:v>
      </x:c>
      <x:c r="K724" s="51" t="str">
        <x:v>$2.395 billion</x:v>
      </x:c>
      <x:c r="L724" s="51" t="str">
        <x:v>Bank commitments, collateral and covenants</x:v>
      </x:c>
      <x:c r="M724" s="51" t="str">
        <x:v>Working-capital liquidity</x:v>
      </x:c>
      <x:c r="N724" s="51" t="str">
        <x:v>A bank syndicate converts inventories and receivables into revolving liquidity for global trade</x:v>
      </x:c>
      <x:c r="O724" s="51" t="str">
        <x:v>Financial; relational; institutional</x:v>
      </x:c>
      <x:c r="P724" s="51" t="str">
        <x:v>E1</x:v>
      </x:c>
      <x:c r="Q724" s="51" t="str">
        <x:v>Very high</x:v>
      </x:c>
      <x:c r="R724" s="51" t="str">
        <x:v>SRC-361</x:v>
      </x:c>
      <x:c r="S724" s="51" t="str">
        <x:v>Gunvor signed a multi-currency sustainability-linked revolving credit facility.</x:v>
      </x:c>
      <x:c r="T724" s="51" t="str">
        <x:v>Public guarantee or unrestricted unsecured funding.</x:v>
      </x:c>
      <x:c r="U724" s="51" t="str">
        <x:v>Facility terms, collateral and financial covenants govern access.</x:v>
      </x:c>
      <x:c r="V724" s="51" t="str">
        <x:v>Signed</x:v>
      </x:c>
      <x:c r="W724" s="51" t="str">
        <x:v>34;57</x:v>
      </x:c>
      <x:c r="X724" s="51" t="str">
        <x:v>2026-07-27</x:v>
      </x:c>
    </x:row>
    <x:row r="725">
      <x:c r="A725" s="51" t="str">
        <x:v>TRAD-008</x:v>
      </x:c>
      <x:c r="B725" s="51" t="str">
        <x:v>Commodity merchants and working-capital finance</x:v>
      </x:c>
      <x:c r="C725" s="51" t="str">
        <x:v>ACT-COMMODITYBORROWINGBASELE</x:v>
      </x:c>
      <x:c r="D725" s="51" t="str">
        <x:v>Commodity borrowing-base lenders</x:v>
      </x:c>
      <x:c r="E725" s="51" t="str">
        <x:v>ACT-COMMODITYTRADERSANDMERCH</x:v>
      </x:c>
      <x:c r="F725" s="51" t="str">
        <x:v>Commodity traders and merchants</x:v>
      </x:c>
      <x:c r="G725" s="51" t="str">
        <x:v>Lenders → merchants</x:v>
      </x:c>
      <x:c r="H725" s="51" t="str">
        <x:v>Ongoing</x:v>
      </x:c>
      <x:c r="I725" s="51" t="str">
        <x:v>Borrowing-base credit</x:v>
      </x:c>
      <x:c r="J725" s="51" t="str"/>
      <x:c r="K725" s="51" t="str">
        <x:v>Portfolio-specific</x:v>
      </x:c>
      <x:c r="L725" s="51" t="str">
        <x:v>Eligible inventory, receivables and hedged positions</x:v>
      </x:c>
      <x:c r="M725" s="51" t="str">
        <x:v>Advance availability</x:v>
      </x:c>
      <x:c r="N725" s="51" t="str">
        <x:v>Borrowing-base formulas convert moving physical assets into daily recalculated credit capacity</x:v>
      </x:c>
      <x:c r="O725" s="51" t="str">
        <x:v>Financial; informational; ownership</x:v>
      </x:c>
      <x:c r="P725" s="51" t="str">
        <x:v>S1</x:v>
      </x:c>
      <x:c r="Q725" s="51" t="str">
        <x:v>High</x:v>
      </x:c>
      <x:c r="R725" s="51" t="str">
        <x:v>SRC-355; SRC-360; SRC-361</x:v>
      </x:c>
      <x:c r="S725" s="51" t="str">
        <x:v>Commodity merchants rely on bank facilities and collateralised working capital.</x:v>
      </x:c>
      <x:c r="T725" s="51" t="str">
        <x:v>One standard structure or full protection from fraud and price gaps.</x:v>
      </x:c>
      <x:c r="U725" s="51" t="str">
        <x:v>Eligibility, audits and margining vary by facility.</x:v>
      </x:c>
      <x:c r="V725" s="51" t="str">
        <x:v>Active mechanism</x:v>
      </x:c>
      <x:c r="W725" s="51" t="str">
        <x:v>34;57</x:v>
      </x:c>
      <x:c r="X725" s="51" t="str">
        <x:v>2026-07-27</x:v>
      </x:c>
    </x:row>
    <x:row r="726">
      <x:c r="A726" s="51" t="str">
        <x:v>TRAD-009</x:v>
      </x:c>
      <x:c r="B726" s="51" t="str">
        <x:v>Commodity merchants and working-capital finance</x:v>
      </x:c>
      <x:c r="C726" s="51" t="str">
        <x:v>ACT-COMMODITYTRADERSANDMERCH</x:v>
      </x:c>
      <x:c r="D726" s="51" t="str">
        <x:v>Commodity traders and merchants</x:v>
      </x:c>
      <x:c r="E726" s="51" t="str">
        <x:v>ACT-COMMODITYSTORAGETERMINAL</x:v>
      </x:c>
      <x:c r="F726" s="51" t="str">
        <x:v>Commodity storage terminals</x:v>
      </x:c>
      <x:c r="G726" s="51" t="str">
        <x:v>Merchant → infrastructure</x:v>
      </x:c>
      <x:c r="H726" s="51" t="str">
        <x:v>Ongoing</x:v>
      </x:c>
      <x:c r="I726" s="51" t="str">
        <x:v>Storage, blending and throughput contract</x:v>
      </x:c>
      <x:c r="J726" s="51" t="str"/>
      <x:c r="K726" s="51" t="str">
        <x:v>Cargo-specific</x:v>
      </x:c>
      <x:c r="L726" s="51" t="str">
        <x:v>Physical commodity and operational instructions</x:v>
      </x:c>
      <x:c r="M726" s="51" t="str">
        <x:v>Stored or blended inventory</x:v>
      </x:c>
      <x:c r="N726" s="51" t="str">
        <x:v>Control of storage and optionality can transform time and quality differences into trading value</x:v>
      </x:c>
      <x:c r="O726" s="51" t="str">
        <x:v>Material; financial; informational</x:v>
      </x:c>
      <x:c r="P726" s="51" t="str">
        <x:v>S1</x:v>
      </x:c>
      <x:c r="Q726" s="51" t="str">
        <x:v>High</x:v>
      </x:c>
      <x:c r="R726" s="51" t="str">
        <x:v>SRC-354; SRC-355; SRC-358; SRC-360</x:v>
      </x:c>
      <x:c r="S726" s="51" t="str">
        <x:v>Major merchants operate or contract storage, refining and blending infrastructure.</x:v>
      </x:c>
      <x:c r="T726" s="51" t="str">
        <x:v>Ownership of all terminals used or guaranteed arbitrage profit.</x:v>
      </x:c>
      <x:c r="U726" s="51" t="str">
        <x:v>Capacity may be leased and operational constraints remain.</x:v>
      </x:c>
      <x:c r="V726" s="51" t="str">
        <x:v>Active</x:v>
      </x:c>
      <x:c r="W726" s="51" t="str">
        <x:v>34;57</x:v>
      </x:c>
      <x:c r="X726" s="51" t="str">
        <x:v>2026-07-27</x:v>
      </x:c>
    </x:row>
    <x:row r="727">
      <x:c r="A727" s="51" t="str">
        <x:v>TRAD-010</x:v>
      </x:c>
      <x:c r="B727" s="51" t="str">
        <x:v>Commodity merchants and working-capital finance</x:v>
      </x:c>
      <x:c r="C727" s="51" t="str">
        <x:v>ACT-COMMODITYTRADERSANDMERCH</x:v>
      </x:c>
      <x:c r="D727" s="51" t="str">
        <x:v>Commodity traders and merchants</x:v>
      </x:c>
      <x:c r="E727" s="51" t="str">
        <x:v>ACT-COMMODITYBENCHMARKSANDDE</x:v>
      </x:c>
      <x:c r="F727" s="51" t="str">
        <x:v>Commodity benchmarks and derivative price formation</x:v>
      </x:c>
      <x:c r="G727" s="51" t="str">
        <x:v>Merchant → benchmark markets</x:v>
      </x:c>
      <x:c r="H727" s="51" t="str">
        <x:v>Ongoing</x:v>
      </x:c>
      <x:c r="I727" s="51" t="str">
        <x:v>Hedging, spread and price-discovery activity</x:v>
      </x:c>
      <x:c r="J727" s="51" t="str">
        <x:v>INS-194; INS-195; INS-196; INS-197; INS-198</x:v>
      </x:c>
      <x:c r="K727" s="51" t="str">
        <x:v>Very large financial and physical volumes</x:v>
      </x:c>
      <x:c r="L727" s="51" t="str">
        <x:v>Physical exposure and market information</x:v>
      </x:c>
      <x:c r="M727" s="51" t="str">
        <x:v>Hedged price, basis exposure and benchmark evidence</x:v>
      </x:c>
      <x:c r="N727" s="51" t="str">
        <x:v>Merchants connect private cargo information with public derivative markets through hedging and arbitrage</x:v>
      </x:c>
      <x:c r="O727" s="51" t="str">
        <x:v>Financial; informational; adaptive</x:v>
      </x:c>
      <x:c r="P727" s="51" t="str">
        <x:v>S1</x:v>
      </x:c>
      <x:c r="Q727" s="51" t="str">
        <x:v>High</x:v>
      </x:c>
      <x:c r="R727" s="51" t="str">
        <x:v>SRC-346; SRC-348; SRC-349; SRC-353; SRC-354; SRC-355</x:v>
      </x:c>
      <x:c r="S727" s="51" t="str">
        <x:v>Physical merchants use derivatives and benchmarks to manage risk.</x:v>
      </x:c>
      <x:c r="T727" s="51" t="str">
        <x:v>That any one merchant determines benchmark prices.</x:v>
      </x:c>
      <x:c r="U727" s="51" t="str">
        <x:v>Market surveillance and competing participants constrain influence.</x:v>
      </x:c>
      <x:c r="V727" s="51" t="str">
        <x:v>Active mechanism</x:v>
      </x:c>
      <x:c r="W727" s="51" t="str">
        <x:v>33;34;57</x:v>
      </x:c>
      <x:c r="X727" s="51" t="str">
        <x:v>2026-07-27</x:v>
      </x:c>
    </x:row>
    <x:row r="728">
      <x:c r="A728" s="51" t="str">
        <x:v>TRP-001</x:v>
      </x:c>
      <x:c r="B728" s="51" t="str">
        <x:v>Trump–Epstein historical network</x:v>
      </x:c>
      <x:c r="C728" s="51" t="str">
        <x:v>ACT-DONALDTRUMP</x:v>
      </x:c>
      <x:c r="D728" s="51" t="str">
        <x:v>Donald Trump</x:v>
      </x:c>
      <x:c r="E728" s="51" t="str">
        <x:v>ACT-JEFFREYEPSTEIN</x:v>
      </x:c>
      <x:c r="F728" s="51" t="str">
        <x:v>Jeffrey Epstein</x:v>
      </x:c>
      <x:c r="G728" s="51" t="str">
        <x:v>Bidirectional</x:v>
      </x:c>
      <x:c r="H728" s="51" t="str">
        <x:v>1990s–early 2000s</x:v>
      </x:c>
      <x:c r="I728" s="51" t="str">
        <x:v>Documented social relationship</x:v>
      </x:c>
      <x:c r="J728" s="51" t="str"/>
      <x:c r="K728" s="51" t="str">
        <x:v>Repeated social contact</x:v>
      </x:c>
      <x:c r="L728" s="51" t="str">
        <x:v>Wealth, social access and elite venues</x:v>
      </x:c>
      <x:c r="M728" s="51" t="str">
        <x:v>Mutual social association</x:v>
      </x:c>
      <x:c r="N728" s="51" t="str">
        <x:v>Elite social networks connect real-estate, finance, entertainment and political actors</x:v>
      </x:c>
      <x:c r="O728" s="51" t="str">
        <x:v>Relational; narrative</x:v>
      </x:c>
      <x:c r="P728" s="51" t="str">
        <x:v>E2</x:v>
      </x:c>
      <x:c r="Q728" s="51" t="str">
        <x:v>Very high</x:v>
      </x:c>
      <x:c r="R728" s="51" t="str">
        <x:v>SRC-054; SRC-055; SRC-633; SRC-634</x:v>
      </x:c>
      <x:c r="S728" s="51" t="str">
        <x:v>Trump and Epstein socialized extensively during the stated period.</x:v>
      </x:c>
      <x:c r="T728" s="51" t="str">
        <x:v>That they were 'best friends,' that Trump knew of every crime, or that association proves criminal participation.</x:v>
      </x:c>
      <x:c r="U728" s="51" t="str">
        <x:v>The relationship reportedly ended by the mid-2000s; accounts of the rupture vary.</x:v>
      </x:c>
      <x:c r="V728" s="51" t="str">
        <x:v>Historical</x:v>
      </x:c>
      <x:c r="W728" s="51" t="str">
        <x:v>53;57</x:v>
      </x:c>
      <x:c r="X728" s="51" t="str">
        <x:v>2026-07-27</x:v>
      </x:c>
    </x:row>
    <x:row r="729">
      <x:c r="A729" s="51" t="str">
        <x:v>TRP-002</x:v>
      </x:c>
      <x:c r="B729" s="51" t="str">
        <x:v>Trump–Epstein historical network</x:v>
      </x:c>
      <x:c r="C729" s="51" t="str">
        <x:v>ACT-DONALDTRUMP</x:v>
      </x:c>
      <x:c r="D729" s="51" t="str">
        <x:v>Donald Trump</x:v>
      </x:c>
      <x:c r="E729" s="51" t="str">
        <x:v>ACT-JEFFREYEPSTEIN</x:v>
      </x:c>
      <x:c r="F729" s="51" t="str">
        <x:v>Jeffrey Epstein</x:v>
      </x:c>
      <x:c r="G729" s="51" t="str">
        <x:v>Person → aircraft/host network</x:v>
      </x:c>
      <x:c r="H729" s="51" t="str">
        <x:v>1990s</x:v>
      </x:c>
      <x:c r="I729" s="51" t="str">
        <x:v>Documented private-jet travel</x:v>
      </x:c>
      <x:c r="J729" s="51" t="str"/>
      <x:c r="K729" s="51" t="str">
        <x:v>Eight flights stated in released prosecutor email</x:v>
      </x:c>
      <x:c r="L729" s="51" t="str">
        <x:v>Travel access</x:v>
      </x:c>
      <x:c r="M729" s="51" t="str">
        <x:v>Repeated shared transport</x:v>
      </x:c>
      <x:c r="N729" s="51" t="str">
        <x:v>Private aviation facilitates elite mobility and social-network continuity</x:v>
      </x:c>
      <x:c r="O729" s="51" t="str">
        <x:v>Relational; material</x:v>
      </x:c>
      <x:c r="P729" s="51" t="str">
        <x:v>E1</x:v>
      </x:c>
      <x:c r="Q729" s="51" t="str">
        <x:v>High</x:v>
      </x:c>
      <x:c r="R729" s="51" t="str">
        <x:v>SRC-055</x:v>
      </x:c>
      <x:c r="S729" s="51" t="str">
        <x:v>A released prosecutor email said flight records showed eight Trump flights on Epstein's plane.</x:v>
      </x:c>
      <x:c r="T729" s="51" t="str">
        <x:v>Travel to Epstein's island, criminal conduct, or knowledge of abuse.</x:v>
      </x:c>
      <x:c r="U729" s="51" t="str">
        <x:v>The source is a government-released email summarizing records; underlying logs should remain linked.</x:v>
      </x:c>
      <x:c r="V729" s="51" t="str">
        <x:v>Historical</x:v>
      </x:c>
      <x:c r="W729" s="51" t="str">
        <x:v>53;57</x:v>
      </x:c>
      <x:c r="X729" s="51" t="str">
        <x:v>2026-07-27</x:v>
      </x:c>
    </x:row>
    <x:row r="730">
      <x:c r="A730" s="51" t="str">
        <x:v>TRP-003</x:v>
      </x:c>
      <x:c r="B730" s="51" t="str">
        <x:v>Evidence boundary</x:v>
      </x:c>
      <x:c r="C730" s="51" t="str">
        <x:v>ACT-DONALDTRUMP</x:v>
      </x:c>
      <x:c r="D730" s="51" t="str">
        <x:v>Donald Trump</x:v>
      </x:c>
      <x:c r="E730" s="51" t="str">
        <x:v>ACT-JEFFREYEPSTEIN</x:v>
      </x:c>
      <x:c r="F730" s="51" t="str">
        <x:v>Jeffrey Epstein</x:v>
      </x:c>
      <x:c r="G730" s="51" t="str">
        <x:v>Claim boundary</x:v>
      </x:c>
      <x:c r="H730" s="51" t="str">
        <x:v>Current review</x:v>
      </x:c>
      <x:c r="I730" s="51" t="str">
        <x:v>Unsupported superlative friendship claim</x:v>
      </x:c>
      <x:c r="J730" s="51" t="str"/>
      <x:c r="K730" s="51" t="str">
        <x:v>N/A</x:v>
      </x:c>
      <x:c r="L730" s="51" t="str">
        <x:v>Documented social association</x:v>
      </x:c>
      <x:c r="M730" s="51" t="str">
        <x:v>Claimed 'best friend' status</x:v>
      </x:c>
      <x:c r="N730" s="51" t="str">
        <x:v>A rhetorical superlative is being substituted for an evidentiary category</x:v>
      </x:c>
      <x:c r="O730" s="51" t="str">
        <x:v>Epistemic; narrative</x:v>
      </x:c>
      <x:c r="P730" s="51" t="str">
        <x:v>U1</x:v>
      </x:c>
      <x:c r="Q730" s="51" t="str">
        <x:v>Very low</x:v>
      </x:c>
      <x:c r="R730" s="51" t="str">
        <x:v>SRC-054; SRC-055; SRC-631; SRC-633; SRC-634</x:v>
      </x:c>
      <x:c r="S730" s="51" t="str">
        <x:v>A significant social relationship existed.</x:v>
      </x:c>
      <x:c r="T730" s="51" t="str">
        <x:v>That Epstein was Trump's best friend or closest associate.</x:v>
      </x:c>
      <x:c r="U730" s="51" t="str">
        <x:v>Specific quotations can be recorded as attributed statements, not objective rank ordering.</x:v>
      </x:c>
      <x:c r="V730" s="51" t="str">
        <x:v>Unsupported</x:v>
      </x:c>
      <x:c r="W730" s="51" t="str">
        <x:v>19;53</x:v>
      </x:c>
      <x:c r="X730" s="51" t="str">
        <x:v>2026-07-27</x:v>
      </x:c>
    </x:row>
    <x:row r="731">
      <x:c r="A731" s="51" t="str">
        <x:v>TRP-004</x:v>
      </x:c>
      <x:c r="B731" s="51" t="str">
        <x:v>Evidence boundary</x:v>
      </x:c>
      <x:c r="C731" s="51" t="str">
        <x:v>ACT-DONALDTRUMP</x:v>
      </x:c>
      <x:c r="D731" s="51" t="str">
        <x:v>Donald Trump</x:v>
      </x:c>
      <x:c r="E731" s="51" t="str">
        <x:v>ACT-JEFFREYEPSTEIN</x:v>
      </x:c>
      <x:c r="F731" s="51" t="str">
        <x:v>Jeffrey Epstein</x:v>
      </x:c>
      <x:c r="G731" s="51" t="str">
        <x:v>Claim boundary</x:v>
      </x:c>
      <x:c r="H731" s="51" t="str">
        <x:v>Current review</x:v>
      </x:c>
      <x:c r="I731" s="51" t="str">
        <x:v>Unsupported guilt-by-association claim</x:v>
      </x:c>
      <x:c r="J731" s="51" t="str"/>
      <x:c r="K731" s="51" t="str">
        <x:v>N/A</x:v>
      </x:c>
      <x:c r="L731" s="51" t="str">
        <x:v>Social contact and travel</x:v>
      </x:c>
      <x:c r="M731" s="51" t="str">
        <x:v>Claimed participation in Epstein's crimes</x:v>
      </x:c>
      <x:c r="N731" s="51" t="str">
        <x:v>Adjacency is misread as knowledge or criminal involvement</x:v>
      </x:c>
      <x:c r="O731" s="51" t="str">
        <x:v>Epistemic; narrative</x:v>
      </x:c>
      <x:c r="P731" s="51" t="str">
        <x:v>U1</x:v>
      </x:c>
      <x:c r="Q731" s="51" t="str">
        <x:v>Very low</x:v>
      </x:c>
      <x:c r="R731" s="51" t="str">
        <x:v>SRC-054; SRC-055; SRC-631; SRC-633; SRC-634</x:v>
      </x:c>
      <x:c r="S731" s="51" t="str">
        <x:v>Social contact and travel are documented.</x:v>
      </x:c>
      <x:c r="T731" s="51" t="str">
        <x:v>Criminal participation or knowledge absent separate evidence.</x:v>
      </x:c>
      <x:c r="U731" s="51" t="str">
        <x:v>Every allegation must be separately corroborated; DOJ warned released material includes false submissions.</x:v>
      </x:c>
      <x:c r="V731" s="51" t="str">
        <x:v>Unsupported</x:v>
      </x:c>
      <x:c r="W731" s="51" t="str">
        <x:v>19;54</x:v>
      </x:c>
      <x:c r="X731" s="51" t="str">
        <x:v>2026-07-27</x:v>
      </x:c>
    </x:row>
    <x:row r="732">
      <x:c r="A732" s="51" t="str">
        <x:v>TRP-005</x:v>
      </x:c>
      <x:c r="B732" s="51" t="str">
        <x:v>Political office and private network</x:v>
      </x:c>
      <x:c r="C732" s="51" t="str">
        <x:v>ACT-DONALDTRUMP</x:v>
      </x:c>
      <x:c r="D732" s="51" t="str">
        <x:v>Donald Trump</x:v>
      </x:c>
      <x:c r="E732" s="51" t="str">
        <x:v>ACT-UNITEDSTATES</x:v>
      </x:c>
      <x:c r="F732" s="51" t="str">
        <x:v>United States</x:v>
      </x:c>
      <x:c r="G732" s="51" t="str">
        <x:v>Person → state</x:v>
      </x:c>
      <x:c r="H732" s="51" t="str">
        <x:v>2025–present</x:v>
      </x:c>
      <x:c r="I732" s="51" t="str">
        <x:v>Presidency</x:v>
      </x:c>
      <x:c r="J732" s="51" t="str"/>
      <x:c r="K732" s="51" t="str">
        <x:v>45th and 47th president</x:v>
      </x:c>
      <x:c r="L732" s="51" t="str">
        <x:v>Electoral authority</x:v>
      </x:c>
      <x:c r="M732" s="51" t="str">
        <x:v>Executive, regulatory and appointment power</x:v>
      </x:c>
      <x:c r="N732" s="51" t="str">
        <x:v>Private-network actors can acquire direct control of public conversion points through election</x:v>
      </x:c>
      <x:c r="O732" s="51" t="str">
        <x:v>Institutional; enforcement; narrative</x:v>
      </x:c>
      <x:c r="P732" s="51" t="str">
        <x:v>E1</x:v>
      </x:c>
      <x:c r="Q732" s="51" t="str">
        <x:v>Very high</x:v>
      </x:c>
      <x:c r="R732" s="51" t="str">
        <x:v>SRC-053</x:v>
      </x:c>
      <x:c r="S732" s="51" t="str">
        <x:v>Donald Trump is the current US president.</x:v>
      </x:c>
      <x:c r="T732" s="51" t="str">
        <x:v>That every family business outcome is caused by presidential action.</x:v>
      </x:c>
      <x:c r="U732" s="51" t="str">
        <x:v>Office and private business interests require separate transaction-level analysis.</x:v>
      </x:c>
      <x:c r="V732" s="51" t="str">
        <x:v>Active</x:v>
      </x:c>
      <x:c r="W732" s="51" t="str">
        <x:v>10;57;84</x:v>
      </x:c>
      <x:c r="X732" s="51" t="str">
        <x:v>2026-07-27</x:v>
      </x:c>
    </x:row>
    <x:row r="733">
      <x:c r="A733" s="51" t="str">
        <x:v>V11DNS-001</x:v>
      </x:c>
      <x:c r="B733" s="51" t="str">
        <x:v>DNS, registries and identifier governance</x:v>
      </x:c>
      <x:c r="C733" s="51" t="str">
        <x:v>ACT-ICANN</x:v>
      </x:c>
      <x:c r="D733" s="51" t="str">
        <x:v>ICANN</x:v>
      </x:c>
      <x:c r="E733" s="51" t="str">
        <x:v>ACT-IANAFUNCTIONS</x:v>
      </x:c>
      <x:c r="F733" s="51" t="str">
        <x:v>IANA functions</x:v>
      </x:c>
      <x:c r="G733" s="51" t="str">
        <x:v>Governance corporation → operational functions</x:v>
      </x:c>
      <x:c r="H733" s="51" t="str">
        <x:v>Ongoing</x:v>
      </x:c>
      <x:c r="I733" s="51" t="str">
        <x:v>Identifier coordination mandate</x:v>
      </x:c>
      <x:c r="J733" s="51" t="str">
        <x:v>INS-243; INS-244</x:v>
      </x:c>
      <x:c r="K733" s="51" t="str">
        <x:v>Global root system</x:v>
      </x:c>
      <x:c r="L733" s="51" t="str">
        <x:v>Policy, contracts and change requests</x:v>
      </x:c>
      <x:c r="M733" s="51" t="str">
        <x:v>Root-zone and trust-anchor operations</x:v>
      </x:c>
      <x:c r="N733" s="51" t="str">
        <x:v>Institutional governance is converted into globally consistent identifier operations</x:v>
      </x:c>
      <x:c r="O733" s="51" t="str">
        <x:v>Institutional; informational; geopolitical</x:v>
      </x:c>
      <x:c r="P733" s="51" t="str">
        <x:v>E1</x:v>
      </x:c>
      <x:c r="Q733" s="51" t="str">
        <x:v>Very high</x:v>
      </x:c>
      <x:c r="R733" s="51" t="str">
        <x:v>SRC-444; SRC-445; SRC-446; SRC-447</x:v>
      </x:c>
      <x:c r="S733" s="51" t="str">
        <x:v>ICANN coordinates and IANA operates core identifier functions.</x:v>
      </x:c>
      <x:c r="T733" s="51" t="str">
        <x:v>Ownership of Internet content, access networks or user data.</x:v>
      </x:c>
      <x:c r="U733" s="51" t="str">
        <x:v>The system is distributed among registries, root operators and resolvers.</x:v>
      </x:c>
      <x:c r="V733" s="51" t="str">
        <x:v>Active</x:v>
      </x:c>
      <x:c r="W733" s="51" t="str">
        <x:v>37;57</x:v>
      </x:c>
      <x:c r="X733" s="51" t="str">
        <x:v>2026-07-27</x:v>
      </x:c>
    </x:row>
    <x:row r="734">
      <x:c r="A734" s="51" t="str">
        <x:v>V11DNS-002</x:v>
      </x:c>
      <x:c r="B734" s="51" t="str">
        <x:v>DNS, registries and identifier governance</x:v>
      </x:c>
      <x:c r="C734" s="51" t="str">
        <x:v>ACT-IANAFUNCTIONS</x:v>
      </x:c>
      <x:c r="D734" s="51" t="str">
        <x:v>IANA functions</x:v>
      </x:c>
      <x:c r="E734" s="51" t="str">
        <x:v>ACT-DNSROOTSERVEROPERATORS</x:v>
      </x:c>
      <x:c r="F734" s="51" t="str">
        <x:v>DNS root server operators</x:v>
      </x:c>
      <x:c r="G734" s="51" t="str">
        <x:v>Root-zone operator → distributed servers</x:v>
      </x:c>
      <x:c r="H734" s="51" t="str">
        <x:v>Ongoing</x:v>
      </x:c>
      <x:c r="I734" s="51" t="str">
        <x:v>Root-zone publication and distribution</x:v>
      </x:c>
      <x:c r="J734" s="51" t="str">
        <x:v>INS-243</x:v>
      </x:c>
      <x:c r="K734" s="51" t="str">
        <x:v>Thirteen logical root identities with many instances</x:v>
      </x:c>
      <x:c r="L734" s="51" t="str">
        <x:v>Root-zone data and DNSSEC signatures</x:v>
      </x:c>
      <x:c r="M734" s="51" t="str">
        <x:v>Globally reachable root service</x:v>
      </x:c>
      <x:c r="N734" s="51" t="str">
        <x:v>A central root-zone dataset is served through decentralised operational infrastructure</x:v>
      </x:c>
      <x:c r="O734" s="51" t="str">
        <x:v>Informational; institutional; technological</x:v>
      </x:c>
      <x:c r="P734" s="51" t="str">
        <x:v>E1</x:v>
      </x:c>
      <x:c r="Q734" s="51" t="str">
        <x:v>Very high</x:v>
      </x:c>
      <x:c r="R734" s="51" t="str">
        <x:v>SRC-446; SRC-447</x:v>
      </x:c>
      <x:c r="S734" s="51" t="str">
        <x:v>IANA publishes root-server information and trust anchors.</x:v>
      </x:c>
      <x:c r="T734" s="51" t="str">
        <x:v>A single physical root server or ICANN operation of every instance.</x:v>
      </x:c>
      <x:c r="U734" s="51" t="str">
        <x:v>Independent organisations operate the logical servers and anycast instances.</x:v>
      </x:c>
      <x:c r="V734" s="51" t="str">
        <x:v>Active</x:v>
      </x:c>
      <x:c r="W734" s="51" t="str">
        <x:v>37;57</x:v>
      </x:c>
      <x:c r="X734" s="51" t="str">
        <x:v>2026-07-27</x:v>
      </x:c>
    </x:row>
    <x:row r="735">
      <x:c r="A735" s="51" t="str">
        <x:v>V11DNS-003</x:v>
      </x:c>
      <x:c r="B735" s="51" t="str">
        <x:v>DNS, registries and identifier governance</x:v>
      </x:c>
      <x:c r="C735" s="51" t="str">
        <x:v>ACT-IANAFUNCTIONS</x:v>
      </x:c>
      <x:c r="D735" s="51" t="str">
        <x:v>IANA functions</x:v>
      </x:c>
      <x:c r="E735" s="51" t="str">
        <x:v>ACT-TOPLEVELDOMAINREGISTRYOP</x:v>
      </x:c>
      <x:c r="F735" s="51" t="str">
        <x:v>Top-level domain registry operators</x:v>
      </x:c>
      <x:c r="G735" s="51" t="str">
        <x:v>IANA → registries</x:v>
      </x:c>
      <x:c r="H735" s="51" t="str">
        <x:v>Delegation lifecycle</x:v>
      </x:c>
      <x:c r="I735" s="51" t="str">
        <x:v>Root-zone delegation and change processing</x:v>
      </x:c>
      <x:c r="J735" s="51" t="str">
        <x:v>INS-243</x:v>
      </x:c>
      <x:c r="K735" s="51" t="str">
        <x:v>More than one thousand listed TLD strings</x:v>
      </x:c>
      <x:c r="L735" s="51" t="str">
        <x:v>Approved delegation records</x:v>
      </x:c>
      <x:c r="M735" s="51" t="str">
        <x:v>Authoritative top-level-domain entries</x:v>
      </x:c>
      <x:c r="N735" s="51" t="str">
        <x:v>The root converts registry authority into globally resolvable namespace</x:v>
      </x:c>
      <x:c r="O735" s="51" t="str">
        <x:v>Institutional; informational; ownership</x:v>
      </x:c>
      <x:c r="P735" s="51" t="str">
        <x:v>E1</x:v>
      </x:c>
      <x:c r="Q735" s="51" t="str">
        <x:v>Very high</x:v>
      </x:c>
      <x:c r="R735" s="51" t="str">
        <x:v>SRC-448</x:v>
      </x:c>
      <x:c r="S735" s="51" t="str">
        <x:v>IANA maintains the current root-zone TLD list and delegation records.</x:v>
      </x:c>
      <x:c r="T735" s="51" t="str">
        <x:v>Ownership of registered second-level domains or control of website content.</x:v>
      </x:c>
      <x:c r="U735" s="51" t="str">
        <x:v>Registries and registrants hold separate contractual rights.</x:v>
      </x:c>
      <x:c r="V735" s="51" t="str">
        <x:v>Active</x:v>
      </x:c>
      <x:c r="W735" s="51" t="str">
        <x:v>37;57</x:v>
      </x:c>
      <x:c r="X735" s="51" t="str">
        <x:v>2026-07-27</x:v>
      </x:c>
    </x:row>
    <x:row r="736">
      <x:c r="A736" s="51" t="str">
        <x:v>V11DNS-004</x:v>
      </x:c>
      <x:c r="B736" s="51" t="str">
        <x:v>DNS, registries and identifier governance</x:v>
      </x:c>
      <x:c r="C736" s="51" t="str">
        <x:v>ACT-VERISIGN</x:v>
      </x:c>
      <x:c r="D736" s="51" t="str">
        <x:v>Verisign</x:v>
      </x:c>
      <x:c r="E736" s="51" t="str">
        <x:v>ACT-ICANNACCREDITEDREGISTRAR</x:v>
      </x:c>
      <x:c r="F736" s="51" t="str">
        <x:v>ICANN-accredited registrars</x:v>
      </x:c>
      <x:c r="G736" s="51" t="str">
        <x:v>Registry → retail intermediaries</x:v>
      </x:c>
      <x:c r="H736" s="51" t="str">
        <x:v>Ongoing</x:v>
      </x:c>
      <x:c r="I736" s="51" t="str">
        <x:v>Registry–registrar protocol and wholesale service</x:v>
      </x:c>
      <x:c r="J736" s="51" t="str">
        <x:v>INS-245</x:v>
      </x:c>
      <x:c r="K736" s="51" t="str">
        <x:v>Fee and registration specific</x:v>
      </x:c>
      <x:c r="L736" s="51" t="str">
        <x:v>Authoritative .com/.net registry</x:v>
      </x:c>
      <x:c r="M736" s="51" t="str">
        <x:v>Registrations, renewals and resolution data</x:v>
      </x:c>
      <x:c r="N736" s="51" t="str">
        <x:v>The registry converts registrar orders into authoritative domain records</x:v>
      </x:c>
      <x:c r="O736" s="51" t="str">
        <x:v>Financial; informational; institutional</x:v>
      </x:c>
      <x:c r="P736" s="51" t="str">
        <x:v>E1</x:v>
      </x:c>
      <x:c r="Q736" s="51" t="str">
        <x:v>Very high</x:v>
      </x:c>
      <x:c r="R736" s="51" t="str">
        <x:v>SRC-449; SRC-450</x:v>
      </x:c>
      <x:c r="S736" s="51" t="str">
        <x:v>Verisign operates .com and .net registry services and authorised wholesale fees.</x:v>
      </x:c>
      <x:c r="T736" s="51" t="str">
        <x:v>Ownership of registrant websites or retail customer relationships.</x:v>
      </x:c>
      <x:c r="U736" s="51" t="str">
        <x:v>Registrars sell and service domains to registrants.</x:v>
      </x:c>
      <x:c r="V736" s="51" t="str">
        <x:v>Active</x:v>
      </x:c>
      <x:c r="W736" s="51" t="str">
        <x:v>37;57</x:v>
      </x:c>
      <x:c r="X736" s="51" t="str">
        <x:v>2026-07-27</x:v>
      </x:c>
    </x:row>
    <x:row r="737">
      <x:c r="A737" s="51" t="str">
        <x:v>V11DNS-005</x:v>
      </x:c>
      <x:c r="B737" s="51" t="str">
        <x:v>DNS, registries and identifier governance</x:v>
      </x:c>
      <x:c r="C737" s="51" t="str">
        <x:v>ACT-ICANNACCREDITEDREGISTRAR</x:v>
      </x:c>
      <x:c r="D737" s="51" t="str">
        <x:v>ICANN-accredited registrars</x:v>
      </x:c>
      <x:c r="E737" s="51" t="str">
        <x:v>ACT-INTERNETUSERSANDDEVICES</x:v>
      </x:c>
      <x:c r="F737" s="51" t="str">
        <x:v>Internet users and devices</x:v>
      </x:c>
      <x:c r="G737" s="51" t="str">
        <x:v>Registrar → registrants/users</x:v>
      </x:c>
      <x:c r="H737" s="51" t="str">
        <x:v>Registration term</x:v>
      </x:c>
      <x:c r="I737" s="51" t="str">
        <x:v>Domain registration contract</x:v>
      </x:c>
      <x:c r="J737" s="51" t="str">
        <x:v>INS-243; INS-245</x:v>
      </x:c>
      <x:c r="K737" s="51" t="str">
        <x:v>Name-specific</x:v>
      </x:c>
      <x:c r="L737" s="51" t="str">
        <x:v>Registrant identity and fee</x:v>
      </x:c>
      <x:c r="M737" s="51" t="str">
        <x:v>Time-limited domain-use right</x:v>
      </x:c>
      <x:c r="N737" s="51" t="str">
        <x:v>Registrars convert registry access into a retail naming right</x:v>
      </x:c>
      <x:c r="O737" s="51" t="str">
        <x:v>Financial; informational; relational</x:v>
      </x:c>
      <x:c r="P737" s="51" t="str">
        <x:v>S1</x:v>
      </x:c>
      <x:c r="Q737" s="51" t="str">
        <x:v>High</x:v>
      </x:c>
      <x:c r="R737" s="51" t="str">
        <x:v>SRC-444; SRC-449</x:v>
      </x:c>
      <x:c r="S737" s="51" t="str">
        <x:v>ICANN accreditation and registry contracts support a competitive registrar market.</x:v>
      </x:c>
      <x:c r="T737" s="51" t="str">
        <x:v>Property ownership equivalent to land or permanent control of the name.</x:v>
      </x:c>
      <x:c r="U737" s="51" t="str">
        <x:v>Registration is contractual and renewable.</x:v>
      </x:c>
      <x:c r="V737" s="51" t="str">
        <x:v>Active</x:v>
      </x:c>
      <x:c r="W737" s="51" t="str">
        <x:v>37;57</x:v>
      </x:c>
      <x:c r="X737" s="51" t="str">
        <x:v>2026-07-27</x:v>
      </x:c>
    </x:row>
    <x:row r="738">
      <x:c r="A738" s="51" t="str">
        <x:v>V11DNS-006</x:v>
      </x:c>
      <x:c r="B738" s="51" t="str">
        <x:v>DNS, registries and identifier governance</x:v>
      </x:c>
      <x:c r="C738" s="51" t="str">
        <x:v>ACT-RECURSIVEDNSRESOLVEROPER</x:v>
      </x:c>
      <x:c r="D738" s="51" t="str">
        <x:v>Recursive DNS resolver operators</x:v>
      </x:c>
      <x:c r="E738" s="51" t="str">
        <x:v>ACT-INTERNETUSERSANDDEVICES</x:v>
      </x:c>
      <x:c r="F738" s="51" t="str">
        <x:v>Internet users and devices</x:v>
      </x:c>
      <x:c r="G738" s="51" t="str">
        <x:v>Resolver → users</x:v>
      </x:c>
      <x:c r="H738" s="51" t="str">
        <x:v>Every DNS query</x:v>
      </x:c>
      <x:c r="I738" s="51" t="str">
        <x:v>Name resolution</x:v>
      </x:c>
      <x:c r="J738" s="51" t="str">
        <x:v>INS-243; INS-244</x:v>
      </x:c>
      <x:c r="K738" s="51" t="str">
        <x:v>Query-specific</x:v>
      </x:c>
      <x:c r="L738" s="51" t="str">
        <x:v>Domain name request and cache state</x:v>
      </x:c>
      <x:c r="M738" s="51" t="str">
        <x:v>IP address or validation failure</x:v>
      </x:c>
      <x:c r="N738" s="51" t="str">
        <x:v>Resolvers are the user-facing conversion point between names and routable destinations</x:v>
      </x:c>
      <x:c r="O738" s="51" t="str">
        <x:v>Informational; technological; enforcement</x:v>
      </x:c>
      <x:c r="P738" s="51" t="str">
        <x:v>S1</x:v>
      </x:c>
      <x:c r="Q738" s="51" t="str">
        <x:v>High</x:v>
      </x:c>
      <x:c r="R738" s="51" t="str">
        <x:v>SRC-446; SRC-447</x:v>
      </x:c>
      <x:c r="S738" s="51" t="str">
        <x:v>Resolvers use root hints and DNSSEC trust anchors to resolve names.</x:v>
      </x:c>
      <x:c r="T738" s="51" t="str">
        <x:v>Control of application content or routing after resolution.</x:v>
      </x:c>
      <x:c r="U738" s="51" t="str">
        <x:v>Users may choose different resolvers and encrypted protocols.</x:v>
      </x:c>
      <x:c r="V738" s="51" t="str">
        <x:v>Active</x:v>
      </x:c>
      <x:c r="W738" s="51" t="str">
        <x:v>37;57</x:v>
      </x:c>
      <x:c r="X738" s="51" t="str">
        <x:v>2026-07-27</x:v>
      </x:c>
    </x:row>
    <x:row r="739">
      <x:c r="A739" s="51" t="str">
        <x:v>V11DNS-007</x:v>
      </x:c>
      <x:c r="B739" s="51" t="str">
        <x:v>DNS, registries and identifier governance</x:v>
      </x:c>
      <x:c r="C739" s="51" t="str">
        <x:v>ACT-IANAFUNCTIONS</x:v>
      </x:c>
      <x:c r="D739" s="51" t="str">
        <x:v>IANA functions</x:v>
      </x:c>
      <x:c r="E739" s="51" t="str">
        <x:v>ACT-RECURSIVEDNSRESOLVEROPER</x:v>
      </x:c>
      <x:c r="F739" s="51" t="str">
        <x:v>Recursive DNS resolver operators</x:v>
      </x:c>
      <x:c r="G739" s="51" t="str">
        <x:v>Root trust → resolver</x:v>
      </x:c>
      <x:c r="H739" s="51" t="str">
        <x:v>2026 rollover</x:v>
      </x:c>
      <x:c r="I739" s="51" t="str">
        <x:v>DNSSEC trust-anchor update</x:v>
      </x:c>
      <x:c r="J739" s="51" t="str">
        <x:v>INS-244</x:v>
      </x:c>
      <x:c r="K739" s="51" t="str">
        <x:v>Global resolver ecosystem</x:v>
      </x:c>
      <x:c r="L739" s="51" t="str">
        <x:v>New root key-signing key</x:v>
      </x:c>
      <x:c r="M739" s="51" t="str">
        <x:v>Continued DNSSEC validation</x:v>
      </x:c>
      <x:c r="N739" s="51" t="str">
        <x:v>A cryptographic key ceremony becomes a global software and operations migration</x:v>
      </x:c>
      <x:c r="O739" s="51" t="str">
        <x:v>Technological; institutional; informational</x:v>
      </x:c>
      <x:c r="P739" s="51" t="str">
        <x:v>E1</x:v>
      </x:c>
      <x:c r="Q739" s="51" t="str">
        <x:v>Very high</x:v>
      </x:c>
      <x:c r="R739" s="51" t="str">
        <x:v>SRC-445; SRC-447</x:v>
      </x:c>
      <x:c r="S739" s="51" t="str">
        <x:v>A DNSSEC trust-anchor rollover is scheduled for October 11, 2026.</x:v>
      </x:c>
      <x:c r="T739" s="51" t="str">
        <x:v>Guaranteed flawless adoption by every resolver.</x:v>
      </x:c>
      <x:c r="U739" s="51" t="str">
        <x:v>Outdated systems can fail validation if not updated.</x:v>
      </x:c>
      <x:c r="V739" s="51" t="str">
        <x:v>Scheduled</x:v>
      </x:c>
      <x:c r="W739" s="51" t="str">
        <x:v>37;57</x:v>
      </x:c>
      <x:c r="X739" s="51" t="str">
        <x:v>2026-07-27</x:v>
      </x:c>
    </x:row>
    <x:row r="740">
      <x:c r="A740" s="51" t="str">
        <x:v>V11EDGE-001</x:v>
      </x:c>
      <x:c r="B740" s="51" t="str">
        <x:v>Edge, CDN and application-delivery power</x:v>
      </x:c>
      <x:c r="C740" s="51" t="str">
        <x:v>ACT-CONTENTANDAPPLICATIONPRO</x:v>
      </x:c>
      <x:c r="D740" s="51" t="str">
        <x:v>Content and application providers</x:v>
      </x:c>
      <x:c r="E740" s="51" t="str">
        <x:v>ACT-CLOUDFLARE</x:v>
      </x:c>
      <x:c r="F740" s="51" t="str">
        <x:v>Cloudflare</x:v>
      </x:c>
      <x:c r="G740" s="51" t="str">
        <x:v>Customer → edge platform</x:v>
      </x:c>
      <x:c r="H740" s="51" t="str">
        <x:v>Contract term</x:v>
      </x:c>
      <x:c r="I740" s="51" t="str">
        <x:v>Security, CDN and programmable edge service</x:v>
      </x:c>
      <x:c r="J740" s="51" t="str">
        <x:v>INS-248</x:v>
      </x:c>
      <x:c r="K740" s="51" t="str">
        <x:v>Platform-wide</x:v>
      </x:c>
      <x:c r="L740" s="51" t="str">
        <x:v>Domains, traffic and application code</x:v>
      </x:c>
      <x:c r="M740" s="51" t="str">
        <x:v>Cached, protected and executed application delivery</x:v>
      </x:c>
      <x:c r="N740" s="51" t="str">
        <x:v>A single edge contract can combine performance, security and compute functions</x:v>
      </x:c>
      <x:c r="O740" s="51" t="str">
        <x:v>Technological; informational; financial</x:v>
      </x:c>
      <x:c r="P740" s="51" t="str">
        <x:v>E1</x:v>
      </x:c>
      <x:c r="Q740" s="51" t="str">
        <x:v>High</x:v>
      </x:c>
      <x:c r="R740" s="51" t="str">
        <x:v>SRC-458; SRC-459</x:v>
      </x:c>
      <x:c r="S740" s="51" t="str">
        <x:v>Cloudflare operates a broad global edge and developer platform.</x:v>
      </x:c>
      <x:c r="T740" s="51" t="str">
        <x:v>Ownership of customer content or the underlying ISP facilities.</x:v>
      </x:c>
      <x:c r="U740" s="51" t="str">
        <x:v>Customers retain applications while Cloudflare operates delivery infrastructure.</x:v>
      </x:c>
      <x:c r="V740" s="51" t="str">
        <x:v>Active</x:v>
      </x:c>
      <x:c r="W740" s="51" t="str">
        <x:v>39;57</x:v>
      </x:c>
      <x:c r="X740" s="51" t="str">
        <x:v>2026-07-27</x:v>
      </x:c>
    </x:row>
    <x:row r="741">
      <x:c r="A741" s="51" t="str">
        <x:v>V11EDGE-002</x:v>
      </x:c>
      <x:c r="B741" s="51" t="str">
        <x:v>Edge, CDN and application-delivery power</x:v>
      </x:c>
      <x:c r="C741" s="51" t="str">
        <x:v>ACT-CLOUDFLARE</x:v>
      </x:c>
      <x:c r="D741" s="51" t="str">
        <x:v>Cloudflare</x:v>
      </x:c>
      <x:c r="E741" s="51" t="str">
        <x:v>ACT-FIXEDBROADBANDANDFIBEROP</x:v>
      </x:c>
      <x:c r="F741" s="51" t="str">
        <x:v>Fixed broadband and fiber operators</x:v>
      </x:c>
      <x:c r="G741" s="51" t="str">
        <x:v>Edge network → access networks</x:v>
      </x:c>
      <x:c r="H741" s="51" t="str">
        <x:v>Ongoing</x:v>
      </x:c>
      <x:c r="I741" s="51" t="str">
        <x:v>Peering and colocation partnership</x:v>
      </x:c>
      <x:c r="J741" s="51" t="str">
        <x:v>INS-248</x:v>
      </x:c>
      <x:c r="K741" s="51" t="str">
        <x:v>More than 13,000 interconnected networks</x:v>
      </x:c>
      <x:c r="L741" s="51" t="str">
        <x:v>Cloudflare servers and ISP facilities</x:v>
      </x:c>
      <x:c r="M741" s="51" t="str">
        <x:v>Local application delivery</x:v>
      </x:c>
      <x:c r="N741" s="51" t="str">
        <x:v>Embedding edge capacity inside or near access networks reduces transit and latency</x:v>
      </x:c>
      <x:c r="O741" s="51" t="str">
        <x:v>Technological; financial; relational</x:v>
      </x:c>
      <x:c r="P741" s="51" t="str">
        <x:v>E1</x:v>
      </x:c>
      <x:c r="Q741" s="51" t="str">
        <x:v>Very high</x:v>
      </x:c>
      <x:c r="R741" s="51" t="str">
        <x:v>SRC-458</x:v>
      </x:c>
      <x:c r="S741" s="51" t="str">
        <x:v>Cloudflare interconnects with more than 13,000 networks and operates in partner facilities.</x:v>
      </x:c>
      <x:c r="T741" s="51" t="str">
        <x:v>Cloudflare ownership of the partner networks or buildings.</x:v>
      </x:c>
      <x:c r="U741" s="51" t="str">
        <x:v>Third-party facility and ISP dependence remains.</x:v>
      </x:c>
      <x:c r="V741" s="51" t="str">
        <x:v>Active</x:v>
      </x:c>
      <x:c r="W741" s="51" t="str">
        <x:v>39;57</x:v>
      </x:c>
      <x:c r="X741" s="51" t="str">
        <x:v>2026-07-27</x:v>
      </x:c>
    </x:row>
    <x:row r="742">
      <x:c r="A742" s="51" t="str">
        <x:v>V11EDGE-003</x:v>
      </x:c>
      <x:c r="B742" s="51" t="str">
        <x:v>Edge, CDN and application-delivery power</x:v>
      </x:c>
      <x:c r="C742" s="51" t="str">
        <x:v>ACT-CLOUDFLARE</x:v>
      </x:c>
      <x:c r="D742" s="51" t="str">
        <x:v>Cloudflare</x:v>
      </x:c>
      <x:c r="E742" s="51" t="str">
        <x:v>ACT-INTERNETUSERSANDDEVICES</x:v>
      </x:c>
      <x:c r="F742" s="51" t="str">
        <x:v>Internet users and devices</x:v>
      </x:c>
      <x:c r="G742" s="51" t="str">
        <x:v>Edge platform → users</x:v>
      </x:c>
      <x:c r="H742" s="51" t="str">
        <x:v>Per request</x:v>
      </x:c>
      <x:c r="I742" s="51" t="str">
        <x:v>Anycast delivery, security and application execution</x:v>
      </x:c>
      <x:c r="J742" s="51" t="str">
        <x:v>INS-248</x:v>
      </x:c>
      <x:c r="K742" s="51" t="str">
        <x:v>More than 330 cities in over 125 countries</x:v>
      </x:c>
      <x:c r="L742" s="51" t="str">
        <x:v>User request and routing state</x:v>
      </x:c>
      <x:c r="M742" s="51" t="str">
        <x:v>Nearby application response or policy action</x:v>
      </x:c>
      <x:c r="N742" s="51" t="str">
        <x:v>Anycast routes users to a nearby edge while central software policies propagate globally</x:v>
      </x:c>
      <x:c r="O742" s="51" t="str">
        <x:v>Technological; informational; enforcement</x:v>
      </x:c>
      <x:c r="P742" s="51" t="str">
        <x:v>E1</x:v>
      </x:c>
      <x:c r="Q742" s="51" t="str">
        <x:v>High</x:v>
      </x:c>
      <x:c r="R742" s="51" t="str">
        <x:v>SRC-458</x:v>
      </x:c>
      <x:c r="S742" s="51" t="str">
        <x:v>Cloudflare runs one software stack across a global network.</x:v>
      </x:c>
      <x:c r="T742" s="51" t="str">
        <x:v>Perfect locality, no outages or neutral treatment of every request.</x:v>
      </x:c>
      <x:c r="U742" s="51" t="str">
        <x:v>Routing and policy can fail or be deliberately configured.</x:v>
      </x:c>
      <x:c r="V742" s="51" t="str">
        <x:v>Active</x:v>
      </x:c>
      <x:c r="W742" s="51" t="str">
        <x:v>39;57</x:v>
      </x:c>
      <x:c r="X742" s="51" t="str">
        <x:v>2026-07-27</x:v>
      </x:c>
    </x:row>
    <x:row r="743">
      <x:c r="A743" s="51" t="str">
        <x:v>V11EDGE-004</x:v>
      </x:c>
      <x:c r="B743" s="51" t="str">
        <x:v>Edge, CDN and application-delivery power</x:v>
      </x:c>
      <x:c r="C743" s="51" t="str">
        <x:v>ACT-CLOUDFLARE</x:v>
      </x:c>
      <x:c r="D743" s="51" t="str">
        <x:v>Cloudflare</x:v>
      </x:c>
      <x:c r="E743" s="51" t="str">
        <x:v>ACT-CONTENTANDAPPLICATIONPRO</x:v>
      </x:c>
      <x:c r="F743" s="51" t="str">
        <x:v>Content and application providers</x:v>
      </x:c>
      <x:c r="G743" s="51" t="str">
        <x:v>Platform → customers</x:v>
      </x:c>
      <x:c r="H743" s="51" t="str">
        <x:v>2025 incident</x:v>
      </x:c>
      <x:c r="I743" s="51" t="str">
        <x:v>Configuration propagation and outage</x:v>
      </x:c>
      <x:c r="J743" s="51" t="str">
        <x:v>INS-248</x:v>
      </x:c>
      <x:c r="K743" s="51" t="str">
        <x:v>Global service impact</x:v>
      </x:c>
      <x:c r="L743" s="51" t="str">
        <x:v>Faulty feature file and network-wide distribution</x:v>
      </x:c>
      <x:c r="M743" s="51" t="str">
        <x:v>Widespread application disruption</x:v>
      </x:c>
      <x:c r="N743" s="51" t="str">
        <x:v>Uniform control software creates scale economies and correlated failure risk</x:v>
      </x:c>
      <x:c r="O743" s="51" t="str">
        <x:v>Technological; operational; systemic</x:v>
      </x:c>
      <x:c r="P743" s="51" t="str">
        <x:v>E1</x:v>
      </x:c>
      <x:c r="Q743" s="51" t="str">
        <x:v>Very high</x:v>
      </x:c>
      <x:c r="R743" s="51" t="str">
        <x:v>SRC-460</x:v>
      </x:c>
      <x:c r="S743" s="51" t="str">
        <x:v>Cloudflare documented a 2025 outage caused by an internally propagated configuration problem.</x:v>
      </x:c>
      <x:c r="T743" s="51" t="str">
        <x:v>Malicious attack or permanent infrastructure failure.</x:v>
      </x:c>
      <x:c r="U743" s="51" t="str">
        <x:v>The incident was repaired and was not attributed to a cyberattack.</x:v>
      </x:c>
      <x:c r="V743" s="51" t="str">
        <x:v>Resolved incident</x:v>
      </x:c>
      <x:c r="W743" s="51" t="str">
        <x:v>39;57</x:v>
      </x:c>
      <x:c r="X743" s="51" t="str">
        <x:v>2026-07-27</x:v>
      </x:c>
    </x:row>
    <x:row r="744">
      <x:c r="A744" s="51" t="str">
        <x:v>V11EDGE-005</x:v>
      </x:c>
      <x:c r="B744" s="51" t="str">
        <x:v>Edge, CDN and application-delivery power</x:v>
      </x:c>
      <x:c r="C744" s="51" t="str">
        <x:v>ACT-AKAMAITECHNOLOGIES</x:v>
      </x:c>
      <x:c r="D744" s="51" t="str">
        <x:v>Akamai Technologies</x:v>
      </x:c>
      <x:c r="E744" s="51" t="str">
        <x:v>ACT-CONTENTANDAPPLICATIONPRO</x:v>
      </x:c>
      <x:c r="F744" s="51" t="str">
        <x:v>Content and application providers</x:v>
      </x:c>
      <x:c r="G744" s="51" t="str">
        <x:v>Edge platform → customers</x:v>
      </x:c>
      <x:c r="H744" s="51" t="str">
        <x:v>Ongoing</x:v>
      </x:c>
      <x:c r="I744" s="51" t="str">
        <x:v>CDN, security and cloud service</x:v>
      </x:c>
      <x:c r="J744" s="51" t="str">
        <x:v>INS-249</x:v>
      </x:c>
      <x:c r="K744" s="51" t="str">
        <x:v>More than 4,300 edge PoPs in 130+ countries and about 700 cities</x:v>
      </x:c>
      <x:c r="L744" s="51" t="str">
        <x:v>Customer content and policies</x:v>
      </x:c>
      <x:c r="M744" s="51" t="str">
        <x:v>Cached, secured and accelerated delivery</x:v>
      </x:c>
      <x:c r="N744" s="51" t="str">
        <x:v>A highly distributed server fleet converts third-party colocation and bandwidth into local digital service</x:v>
      </x:c>
      <x:c r="O744" s="51" t="str">
        <x:v>Technological; informational; financial</x:v>
      </x:c>
      <x:c r="P744" s="51" t="str">
        <x:v>E1</x:v>
      </x:c>
      <x:c r="Q744" s="51" t="str">
        <x:v>Very high</x:v>
      </x:c>
      <x:c r="R744" s="51" t="str">
        <x:v>SRC-461; SRC-462</x:v>
      </x:c>
      <x:c r="S744" s="51" t="str">
        <x:v>Akamai operates a globally distributed edge and cloud platform.</x:v>
      </x:c>
      <x:c r="T744" s="51" t="str">
        <x:v>Ownership of ISP networks or all hosted customer data.</x:v>
      </x:c>
      <x:c r="U744" s="51" t="str">
        <x:v>Akamai depends on third-party bandwidth, colocation and hardware.</x:v>
      </x:c>
      <x:c r="V744" s="51" t="str">
        <x:v>Active</x:v>
      </x:c>
      <x:c r="W744" s="51" t="str">
        <x:v>39;57</x:v>
      </x:c>
      <x:c r="X744" s="51" t="str">
        <x:v>2026-07-27</x:v>
      </x:c>
    </x:row>
    <x:row r="745">
      <x:c r="A745" s="51" t="str">
        <x:v>V11EDGE-006</x:v>
      </x:c>
      <x:c r="B745" s="51" t="str">
        <x:v>Edge, CDN and application-delivery power</x:v>
      </x:c>
      <x:c r="C745" s="51" t="str">
        <x:v>ACT-AKAMAITECHNOLOGIES</x:v>
      </x:c>
      <x:c r="D745" s="51" t="str">
        <x:v>Akamai Technologies</x:v>
      </x:c>
      <x:c r="E745" s="51" t="str">
        <x:v>ACT-FIXEDBROADBANDANDFIBEROP</x:v>
      </x:c>
      <x:c r="F745" s="51" t="str">
        <x:v>Fixed broadband and fiber operators</x:v>
      </x:c>
      <x:c r="G745" s="51" t="str">
        <x:v>Edge platform → access networks</x:v>
      </x:c>
      <x:c r="H745" s="51" t="str">
        <x:v>Ongoing</x:v>
      </x:c>
      <x:c r="I745" s="51" t="str">
        <x:v>Embedded server and bandwidth arrangements</x:v>
      </x:c>
      <x:c r="J745" s="51" t="str">
        <x:v>INS-249</x:v>
      </x:c>
      <x:c r="K745" s="51" t="str">
        <x:v>Hundreds of thousands of servers</x:v>
      </x:c>
      <x:c r="L745" s="51" t="str">
        <x:v>Server placement and local ISP bandwidth</x:v>
      </x:c>
      <x:c r="M745" s="51" t="str">
        <x:v>Reduced long-haul content delivery</x:v>
      </x:c>
      <x:c r="N745" s="51" t="str">
        <x:v>Local server placement aligns ISP cost reduction with Akamai performance</x:v>
      </x:c>
      <x:c r="O745" s="51" t="str">
        <x:v>Technological; financial; relational</x:v>
      </x:c>
      <x:c r="P745" s="51" t="str">
        <x:v>E1</x:v>
      </x:c>
      <x:c r="Q745" s="51" t="str">
        <x:v>High</x:v>
      </x:c>
      <x:c r="R745" s="51" t="str">
        <x:v>SRC-461</x:v>
      </x:c>
      <x:c r="S745" s="51" t="str">
        <x:v>Akamai deploys servers in networks and may receive discounted or no-cost space.</x:v>
      </x:c>
      <x:c r="T745" s="51" t="str">
        <x:v>Akamai ownership of ISPs or guaranteed uninterrupted capacity.</x:v>
      </x:c>
      <x:c r="U745" s="51" t="str">
        <x:v>The company remains dependent on third-party facilities and power.</x:v>
      </x:c>
      <x:c r="V745" s="51" t="str">
        <x:v>Active</x:v>
      </x:c>
      <x:c r="W745" s="51" t="str">
        <x:v>39;57</x:v>
      </x:c>
      <x:c r="X745" s="51" t="str">
        <x:v>2026-07-27</x:v>
      </x:c>
    </x:row>
    <x:row r="746">
      <x:c r="A746" s="51" t="str">
        <x:v>V11EXEC-001</x:v>
      </x:c>
      <x:c r="B746" s="51" t="str">
        <x:v>Connectivity executive authority and boundaries</x:v>
      </x:c>
      <x:c r="C746" s="51" t="str">
        <x:v>ACT-MARKZUCKERBERG</x:v>
      </x:c>
      <x:c r="D746" s="51" t="str">
        <x:v>Mark Zuckerberg</x:v>
      </x:c>
      <x:c r="E746" s="51" t="str">
        <x:v>ACT-METAPLATFORMS</x:v>
      </x:c>
      <x:c r="F746" s="51" t="str">
        <x:v>Meta Platforms</x:v>
      </x:c>
      <x:c r="G746" s="51" t="str">
        <x:v>Executive → company</x:v>
      </x:c>
      <x:c r="H746" s="51" t="str">
        <x:v>Current 2026</x:v>
      </x:c>
      <x:c r="I746" s="51" t="str">
        <x:v>Founder, chairman and CEO role</x:v>
      </x:c>
      <x:c r="J746" s="51" t="str">
        <x:v>INS-240</x:v>
      </x:c>
      <x:c r="K746" s="51" t="str">
        <x:v>Formal corporate role</x:v>
      </x:c>
      <x:c r="L746" s="51" t="str">
        <x:v>Board, voting and managerial authority</x:v>
      </x:c>
      <x:c r="M746" s="51" t="str">
        <x:v>Direction over Meta products and infrastructure strategy</x:v>
      </x:c>
      <x:c r="N746" s="51" t="str">
        <x:v>Formal authority connects platform demand to private cable investment</x:v>
      </x:c>
      <x:c r="O746" s="51" t="str">
        <x:v>Institutional; ownership; technological</x:v>
      </x:c>
      <x:c r="P746" s="51" t="str">
        <x:v>E1</x:v>
      </x:c>
      <x:c r="Q746" s="51" t="str">
        <x:v>Very high</x:v>
      </x:c>
      <x:c r="R746" s="51" t="str">
        <x:v>SRC-485; SRC-451</x:v>
      </x:c>
      <x:c r="S746" s="51" t="str">
        <x:v>Mark Zuckerberg is Meta's founder, chairman and CEO and Meta sponsors Waterworth.</x:v>
      </x:c>
      <x:c r="T746" s="51" t="str">
        <x:v>Personal ownership of Project Waterworth outside Meta or control of landing-country regulators.</x:v>
      </x:c>
      <x:c r="U746" s="51" t="str">
        <x:v>Corporate and public authorities remain separate.</x:v>
      </x:c>
      <x:c r="V746" s="51" t="str">
        <x:v>Active</x:v>
      </x:c>
      <x:c r="W746" s="51" t="str">
        <x:v>45;57</x:v>
      </x:c>
      <x:c r="X746" s="51" t="str">
        <x:v>2026-07-27</x:v>
      </x:c>
    </x:row>
    <x:row r="747">
      <x:c r="A747" s="51" t="str">
        <x:v>V11EXEC-002</x:v>
      </x:c>
      <x:c r="B747" s="51" t="str">
        <x:v>Connectivity executive authority and boundaries</x:v>
      </x:c>
      <x:c r="C747" s="51" t="str">
        <x:v>ACT-ANDYJASSY</x:v>
      </x:c>
      <x:c r="D747" s="51" t="str">
        <x:v>Andy Jassy</x:v>
      </x:c>
      <x:c r="E747" s="51" t="str">
        <x:v>ACT-AMAZON</x:v>
      </x:c>
      <x:c r="F747" s="51" t="str">
        <x:v>Amazon</x:v>
      </x:c>
      <x:c r="G747" s="51" t="str">
        <x:v>Executive → company</x:v>
      </x:c>
      <x:c r="H747" s="51" t="str">
        <x:v>Current 2026</x:v>
      </x:c>
      <x:c r="I747" s="51" t="str">
        <x:v>President and CEO role</x:v>
      </x:c>
      <x:c r="J747" s="51" t="str">
        <x:v>INS-251</x:v>
      </x:c>
      <x:c r="K747" s="51" t="str">
        <x:v>Formal corporate role</x:v>
      </x:c>
      <x:c r="L747" s="51" t="str">
        <x:v>Board and managerial authority</x:v>
      </x:c>
      <x:c r="M747" s="51" t="str">
        <x:v>Leadership over Amazon, AWS and Leo strategy</x:v>
      </x:c>
      <x:c r="N747" s="51" t="str">
        <x:v>A single CEO can coordinate cloud and satellite businesses inside one corporation</x:v>
      </x:c>
      <x:c r="O747" s="51" t="str">
        <x:v>Institutional; technological; financial</x:v>
      </x:c>
      <x:c r="P747" s="51" t="str">
        <x:v>E1</x:v>
      </x:c>
      <x:c r="Q747" s="51" t="str">
        <x:v>Very high</x:v>
      </x:c>
      <x:c r="R747" s="51" t="str">
        <x:v>SRC-486; SRC-468</x:v>
      </x:c>
      <x:c r="S747" s="51" t="str">
        <x:v>Andy Jassy is Amazon president and CEO and Amazon owns Leo.</x:v>
      </x:c>
      <x:c r="T747" s="51" t="str">
        <x:v>Personal ownership of the constellation or unrestricted authority over regulators.</x:v>
      </x:c>
      <x:c r="U747" s="51" t="str">
        <x:v>Board, law and licences constrain corporate action.</x:v>
      </x:c>
      <x:c r="V747" s="51" t="str">
        <x:v>Active</x:v>
      </x:c>
      <x:c r="W747" s="51" t="str">
        <x:v>45;57</x:v>
      </x:c>
      <x:c r="X747" s="51" t="str">
        <x:v>2026-07-27</x:v>
      </x:c>
    </x:row>
    <x:row r="748">
      <x:c r="A748" s="51" t="str">
        <x:v>V11EXEC-003</x:v>
      </x:c>
      <x:c r="B748" s="51" t="str">
        <x:v>Connectivity executive authority and boundaries</x:v>
      </x:c>
      <x:c r="C748" s="51" t="str">
        <x:v>ACT-MATTHEWPRINCE</x:v>
      </x:c>
      <x:c r="D748" s="51" t="str">
        <x:v>Matthew Prince</x:v>
      </x:c>
      <x:c r="E748" s="51" t="str">
        <x:v>ACT-CLOUDFLARE</x:v>
      </x:c>
      <x:c r="F748" s="51" t="str">
        <x:v>Cloudflare</x:v>
      </x:c>
      <x:c r="G748" s="51" t="str">
        <x:v>Executive → company</x:v>
      </x:c>
      <x:c r="H748" s="51" t="str">
        <x:v>Current 2026</x:v>
      </x:c>
      <x:c r="I748" s="51" t="str">
        <x:v>Co-founder and CEO role</x:v>
      </x:c>
      <x:c r="J748" s="51" t="str">
        <x:v>INS-248</x:v>
      </x:c>
      <x:c r="K748" s="51" t="str">
        <x:v>Formal corporate role</x:v>
      </x:c>
      <x:c r="L748" s="51" t="str">
        <x:v>Corporate managerial authority</x:v>
      </x:c>
      <x:c r="M748" s="51" t="str">
        <x:v>Leadership over edge-network and platform strategy</x:v>
      </x:c>
      <x:c r="N748" s="51" t="str">
        <x:v>Founder-CEO authority coordinates one global edge software stack</x:v>
      </x:c>
      <x:c r="O748" s="51" t="str">
        <x:v>Institutional; technological; relational</x:v>
      </x:c>
      <x:c r="P748" s="51" t="str">
        <x:v>E1</x:v>
      </x:c>
      <x:c r="Q748" s="51" t="str">
        <x:v>High</x:v>
      </x:c>
      <x:c r="R748" s="51" t="str">
        <x:v>SRC-487; SRC-458</x:v>
      </x:c>
      <x:c r="S748" s="51" t="str">
        <x:v>Matthew Prince is Cloudflare's co-founder and CEO.</x:v>
      </x:c>
      <x:c r="T748" s="51" t="str">
        <x:v>Personal control of partner ISPs or the public Internet.</x:v>
      </x:c>
      <x:c r="U748" s="51" t="str">
        <x:v>Cloudflare depends on third-party facilities and peering partners.</x:v>
      </x:c>
      <x:c r="V748" s="51" t="str">
        <x:v>Active</x:v>
      </x:c>
      <x:c r="W748" s="51" t="str">
        <x:v>45;57</x:v>
      </x:c>
      <x:c r="X748" s="51" t="str">
        <x:v>2026-07-27</x:v>
      </x:c>
    </x:row>
    <x:row r="749">
      <x:c r="A749" s="51" t="str">
        <x:v>V11EXEC-004</x:v>
      </x:c>
      <x:c r="B749" s="51" t="str">
        <x:v>Connectivity executive authority and boundaries</x:v>
      </x:c>
      <x:c r="C749" s="51" t="str">
        <x:v>ACT-TOMLEIGHTON</x:v>
      </x:c>
      <x:c r="D749" s="51" t="str">
        <x:v>Tom Leighton</x:v>
      </x:c>
      <x:c r="E749" s="51" t="str">
        <x:v>ACT-AKAMAITECHNOLOGIES</x:v>
      </x:c>
      <x:c r="F749" s="51" t="str">
        <x:v>Akamai Technologies</x:v>
      </x:c>
      <x:c r="G749" s="51" t="str">
        <x:v>Executive → company</x:v>
      </x:c>
      <x:c r="H749" s="51" t="str">
        <x:v>Current 2026</x:v>
      </x:c>
      <x:c r="I749" s="51" t="str">
        <x:v>Co-founder and CEO role</x:v>
      </x:c>
      <x:c r="J749" s="51" t="str">
        <x:v>INS-249</x:v>
      </x:c>
      <x:c r="K749" s="51" t="str">
        <x:v>Formal corporate role</x:v>
      </x:c>
      <x:c r="L749" s="51" t="str">
        <x:v>Board and managerial authority</x:v>
      </x:c>
      <x:c r="M749" s="51" t="str">
        <x:v>Leadership over edge, security and cloud strategy</x:v>
      </x:c>
      <x:c r="N749" s="51" t="str">
        <x:v>Technical founder leadership can shape a distributed infrastructure platform without owning host networks</x:v>
      </x:c>
      <x:c r="O749" s="51" t="str">
        <x:v>Institutional; technological; relational</x:v>
      </x:c>
      <x:c r="P749" s="51" t="str">
        <x:v>E1</x:v>
      </x:c>
      <x:c r="Q749" s="51" t="str">
        <x:v>Very high</x:v>
      </x:c>
      <x:c r="R749" s="51" t="str">
        <x:v>SRC-488; SRC-461</x:v>
      </x:c>
      <x:c r="S749" s="51" t="str">
        <x:v>Tom Leighton is Akamai's co-founder and CEO.</x:v>
      </x:c>
      <x:c r="T749" s="51" t="str">
        <x:v>Ownership of ISP and colocation facilities hosting Akamai equipment.</x:v>
      </x:c>
      <x:c r="U749" s="51" t="str">
        <x:v>The platform relies on third-party networks.</x:v>
      </x:c>
      <x:c r="V749" s="51" t="str">
        <x:v>Active</x:v>
      </x:c>
      <x:c r="W749" s="51" t="str">
        <x:v>45;57</x:v>
      </x:c>
      <x:c r="X749" s="51" t="str">
        <x:v>2026-07-27</x:v>
      </x:c>
    </x:row>
    <x:row r="750">
      <x:c r="A750" s="51" t="str">
        <x:v>V11EXEC-005</x:v>
      </x:c>
      <x:c r="B750" s="51" t="str">
        <x:v>Connectivity executive authority and boundaries</x:v>
      </x:c>
      <x:c r="C750" s="51" t="str">
        <x:v>ACT-JEANFRANOISFALLACHER</x:v>
      </x:c>
      <x:c r="D750" s="51" t="str">
        <x:v>Jean-François Fallacher</x:v>
      </x:c>
      <x:c r="E750" s="51" t="str">
        <x:v>ACT-EUTELSATGROUP</x:v>
      </x:c>
      <x:c r="F750" s="51" t="str">
        <x:v>Eutelsat Group</x:v>
      </x:c>
      <x:c r="G750" s="51" t="str">
        <x:v>Executive → company</x:v>
      </x:c>
      <x:c r="H750" s="51" t="str">
        <x:v>Current 2026</x:v>
      </x:c>
      <x:c r="I750" s="51" t="str">
        <x:v>CEO role</x:v>
      </x:c>
      <x:c r="J750" s="51" t="str">
        <x:v>INS-252</x:v>
      </x:c>
      <x:c r="K750" s="51" t="str">
        <x:v>Formal corporate role</x:v>
      </x:c>
      <x:c r="L750" s="51" t="str">
        <x:v>Corporate managerial authority</x:v>
      </x:c>
      <x:c r="M750" s="51" t="str">
        <x:v>Leadership over European multi-orbit connectivity strategy</x:v>
      </x:c>
      <x:c r="N750" s="51" t="str">
        <x:v>Executive authority coordinates capital, spectrum and government-market strategy inside Eutelsat</x:v>
      </x:c>
      <x:c r="O750" s="51" t="str">
        <x:v>Institutional; geopolitical; financial</x:v>
      </x:c>
      <x:c r="P750" s="51" t="str">
        <x:v>E1</x:v>
      </x:c>
      <x:c r="Q750" s="51" t="str">
        <x:v>Very high</x:v>
      </x:c>
      <x:c r="R750" s="51" t="str">
        <x:v>SRC-474; SRC-489</x:v>
      </x:c>
      <x:c r="S750" s="51" t="str">
        <x:v>Jean-François Fallacher is Eutelsat CEO.</x:v>
      </x:c>
      <x:c r="T750" s="51" t="str">
        <x:v>Personal ownership of OneWeb or authority over European governments.</x:v>
      </x:c>
      <x:c r="U750" s="51" t="str">
        <x:v>Corporate governance and public policy remain separate.</x:v>
      </x:c>
      <x:c r="V750" s="51" t="str">
        <x:v>Active</x:v>
      </x:c>
      <x:c r="W750" s="51" t="str">
        <x:v>45;57</x:v>
      </x:c>
      <x:c r="X750" s="51" t="str">
        <x:v>2026-07-27</x:v>
      </x:c>
    </x:row>
    <x:row r="751">
      <x:c r="A751" s="51" t="str">
        <x:v>V11EXEC-006</x:v>
      </x:c>
      <x:c r="B751" s="51" t="str">
        <x:v>Connectivity executive authority and boundaries</x:v>
      </x:c>
      <x:c r="C751" s="51" t="str">
        <x:v>ACT-TIMCOOK</x:v>
      </x:c>
      <x:c r="D751" s="51" t="str">
        <x:v>Tim Cook</x:v>
      </x:c>
      <x:c r="E751" s="51" t="str">
        <x:v>ACT-APPLE</x:v>
      </x:c>
      <x:c r="F751" s="51" t="str">
        <x:v>Apple</x:v>
      </x:c>
      <x:c r="G751" s="51" t="str">
        <x:v>Executive → company</x:v>
      </x:c>
      <x:c r="H751" s="51" t="str">
        <x:v>Through 2026-08-31</x:v>
      </x:c>
      <x:c r="I751" s="51" t="str">
        <x:v>CEO and board role</x:v>
      </x:c>
      <x:c r="J751" s="51" t="str">
        <x:v>INS-254</x:v>
      </x:c>
      <x:c r="K751" s="51" t="str">
        <x:v>Formal current role until transition date</x:v>
      </x:c>
      <x:c r="L751" s="51" t="str">
        <x:v>Board and managerial authority</x:v>
      </x:c>
      <x:c r="M751" s="51" t="str">
        <x:v>Current leadership over Apple platform and App Store strategy</x:v>
      </x:c>
      <x:c r="N751" s="51" t="str">
        <x:v>Current authority is date-bounded and should not be projected beyond the announced succession</x:v>
      </x:c>
      <x:c r="O751" s="51" t="str">
        <x:v>Institutional; relational; financial</x:v>
      </x:c>
      <x:c r="P751" s="51" t="str">
        <x:v>E1</x:v>
      </x:c>
      <x:c r="Q751" s="51" t="str">
        <x:v>Very high</x:v>
      </x:c>
      <x:c r="R751" s="51" t="str">
        <x:v>SRC-480; SRC-481</x:v>
      </x:c>
      <x:c r="S751" s="51" t="str">
        <x:v>Tim Cook remains Apple CEO through August 31, 2026 and is designated executive chairman thereafter.</x:v>
      </x:c>
      <x:c r="T751" s="51" t="str">
        <x:v>CEO authority after September 1, 2026 or personal ownership of developer businesses.</x:v>
      </x:c>
      <x:c r="U751" s="51" t="str">
        <x:v>The board-approved transition changes the officeholder.</x:v>
      </x:c>
      <x:c r="V751" s="51" t="str">
        <x:v>Transition announced</x:v>
      </x:c>
      <x:c r="W751" s="51" t="str">
        <x:v>45;57</x:v>
      </x:c>
      <x:c r="X751" s="51" t="str">
        <x:v>2026-07-27</x:v>
      </x:c>
    </x:row>
    <x:row r="752">
      <x:c r="A752" s="51" t="str">
        <x:v>V11EXEC-007</x:v>
      </x:c>
      <x:c r="B752" s="51" t="str">
        <x:v>Connectivity executive authority and boundaries</x:v>
      </x:c>
      <x:c r="C752" s="51" t="str">
        <x:v>ACT-JOHNTERNUS</x:v>
      </x:c>
      <x:c r="D752" s="51" t="str">
        <x:v>John Ternus</x:v>
      </x:c>
      <x:c r="E752" s="51" t="str">
        <x:v>ACT-APPLE</x:v>
      </x:c>
      <x:c r="F752" s="51" t="str">
        <x:v>Apple</x:v>
      </x:c>
      <x:c r="G752" s="51" t="str">
        <x:v>Designated successor → company</x:v>
      </x:c>
      <x:c r="H752" s="51" t="str">
        <x:v>Effective 2026-09-01</x:v>
      </x:c>
      <x:c r="I752" s="51" t="str">
        <x:v>Designated CEO succession</x:v>
      </x:c>
      <x:c r="J752" s="51" t="str">
        <x:v>INS-254</x:v>
      </x:c>
      <x:c r="K752" s="51" t="str">
        <x:v>Future formal role</x:v>
      </x:c>
      <x:c r="L752" s="51" t="str">
        <x:v>Board-approved succession decision</x:v>
      </x:c>
      <x:c r="M752" s="51" t="str">
        <x:v>Future CEO authority</x:v>
      </x:c>
      <x:c r="N752" s="51" t="str">
        <x:v>A disclosed succession creates a future governance edge but not present CEO authority before the effective date</x:v>
      </x:c>
      <x:c r="O752" s="51" t="str">
        <x:v>Institutional; relational; temporal</x:v>
      </x:c>
      <x:c r="P752" s="51" t="str">
        <x:v>E1</x:v>
      </x:c>
      <x:c r="Q752" s="51" t="str">
        <x:v>Very high</x:v>
      </x:c>
      <x:c r="R752" s="51" t="str">
        <x:v>SRC-481</x:v>
      </x:c>
      <x:c r="S752" s="51" t="str">
        <x:v>John Ternus is designated to become Apple CEO on September 1, 2026.</x:v>
      </x:c>
      <x:c r="T752" s="51" t="str">
        <x:v>Current CEO authority on July 27, 2026.</x:v>
      </x:c>
      <x:c r="U752" s="51" t="str">
        <x:v>Tim Cook remains CEO until the effective date.</x:v>
      </x:c>
      <x:c r="V752" s="51" t="str">
        <x:v>Future effective role</x:v>
      </x:c>
      <x:c r="W752" s="51" t="str">
        <x:v>45;57</x:v>
      </x:c>
      <x:c r="X752" s="51" t="str">
        <x:v>2026-07-27</x:v>
      </x:c>
    </x:row>
    <x:row r="753">
      <x:c r="A753" s="51" t="str">
        <x:v>V11IXP-001</x:v>
      </x:c>
      <x:c r="B753" s="51" t="str">
        <x:v>Peering, routing and Internet exchange power</x:v>
      </x:c>
      <x:c r="C753" s="51" t="str">
        <x:v>ACT-AUTONOMOUSSYSTEMOPERATOR</x:v>
      </x:c>
      <x:c r="D753" s="51" t="str">
        <x:v>Autonomous system operators</x:v>
      </x:c>
      <x:c r="E753" s="51" t="str">
        <x:v>ACT-DECIX</x:v>
      </x:c>
      <x:c r="F753" s="51" t="str">
        <x:v>DE-CIX</x:v>
      </x:c>
      <x:c r="G753" s="51" t="str">
        <x:v>Networks → exchange</x:v>
      </x:c>
      <x:c r="H753" s="51" t="str">
        <x:v>Ongoing</x:v>
      </x:c>
      <x:c r="I753" s="51" t="str">
        <x:v>Peering port and interconnection service</x:v>
      </x:c>
      <x:c r="J753" s="51" t="str">
        <x:v>INS-246</x:v>
      </x:c>
      <x:c r="K753" s="51" t="str">
        <x:v>More than 4,300 networks connected</x:v>
      </x:c>
      <x:c r="L753" s="51" t="str">
        <x:v>Router ports and routing policy</x:v>
      </x:c>
      <x:c r="M753" s="51" t="str">
        <x:v>Direct multilateral or bilateral traffic exchange</x:v>
      </x:c>
      <x:c r="N753" s="51" t="str">
        <x:v>An exchange reduces dependence on paid transit by creating a shared meeting point</x:v>
      </x:c>
      <x:c r="O753" s="51" t="str">
        <x:v>Financial; technological; relational</x:v>
      </x:c>
      <x:c r="P753" s="51" t="str">
        <x:v>E1</x:v>
      </x:c>
      <x:c r="Q753" s="51" t="str">
        <x:v>Very high</x:v>
      </x:c>
      <x:c r="R753" s="51" t="str">
        <x:v>SRC-455; SRC-456</x:v>
      </x:c>
      <x:c r="S753" s="51" t="str">
        <x:v>DE-CIX connects thousands of networks and provides peering services.</x:v>
      </x:c>
      <x:c r="T753" s="51" t="str">
        <x:v>DE-CIX ownership of participant traffic or routing policies.</x:v>
      </x:c>
      <x:c r="U753" s="51" t="str">
        <x:v>Each network controls its BGP announcements and commercial terms.</x:v>
      </x:c>
      <x:c r="V753" s="51" t="str">
        <x:v>Active</x:v>
      </x:c>
      <x:c r="W753" s="51" t="str">
        <x:v>38;57</x:v>
      </x:c>
      <x:c r="X753" s="51" t="str">
        <x:v>2026-07-27</x:v>
      </x:c>
    </x:row>
    <x:row r="754">
      <x:c r="A754" s="51" t="str">
        <x:v>V11IXP-002</x:v>
      </x:c>
      <x:c r="B754" s="51" t="str">
        <x:v>Peering, routing and Internet exchange power</x:v>
      </x:c>
      <x:c r="C754" s="51" t="str">
        <x:v>ACT-AUTONOMOUSSYSTEMOPERATOR</x:v>
      </x:c>
      <x:c r="D754" s="51" t="str">
        <x:v>Autonomous system operators</x:v>
      </x:c>
      <x:c r="E754" s="51" t="str">
        <x:v>ACT-AMSIX</x:v>
      </x:c>
      <x:c r="F754" s="51" t="str">
        <x:v>AMS-IX</x:v>
      </x:c>
      <x:c r="G754" s="51" t="str">
        <x:v>Networks → exchange</x:v>
      </x:c>
      <x:c r="H754" s="51" t="str">
        <x:v>Ongoing</x:v>
      </x:c>
      <x:c r="I754" s="51" t="str">
        <x:v>Neutral peering service</x:v>
      </x:c>
      <x:c r="J754" s="51" t="str">
        <x:v>INS-247</x:v>
      </x:c>
      <x:c r="K754" s="51" t="str">
        <x:v>35.66 EB traffic in 2025</x:v>
      </x:c>
      <x:c r="L754" s="51" t="str">
        <x:v>Network ports and routes</x:v>
      </x:c>
      <x:c r="M754" s="51" t="str">
        <x:v>Local and international traffic exchange</x:v>
      </x:c>
      <x:c r="N754" s="51" t="str">
        <x:v>Neutral peering can keep regional traffic local and reduce latency</x:v>
      </x:c>
      <x:c r="O754" s="51" t="str">
        <x:v>Technological; financial; geopolitical</x:v>
      </x:c>
      <x:c r="P754" s="51" t="str">
        <x:v>E1</x:v>
      </x:c>
      <x:c r="Q754" s="51" t="str">
        <x:v>Very high</x:v>
      </x:c>
      <x:c r="R754" s="51" t="str">
        <x:v>SRC-457</x:v>
      </x:c>
      <x:c r="S754" s="51" t="str">
        <x:v>AMS-IX handled large traffic volumes through its Amsterdam platform.</x:v>
      </x:c>
      <x:c r="T754" s="51" t="str">
        <x:v>Exclusive control of Dutch Internet traffic.</x:v>
      </x:c>
      <x:c r="U754" s="51" t="str">
        <x:v>Networks can peer elsewhere or buy transit.</x:v>
      </x:c>
      <x:c r="V754" s="51" t="str">
        <x:v>Active</x:v>
      </x:c>
      <x:c r="W754" s="51" t="str">
        <x:v>38;57</x:v>
      </x:c>
      <x:c r="X754" s="51" t="str">
        <x:v>2026-07-27</x:v>
      </x:c>
    </x:row>
    <x:row r="755">
      <x:c r="A755" s="51" t="str">
        <x:v>V11IXP-003</x:v>
      </x:c>
      <x:c r="B755" s="51" t="str">
        <x:v>Peering, routing and Internet exchange power</x:v>
      </x:c>
      <x:c r="C755" s="51" t="str">
        <x:v>ACT-IPTRANSITPROVIDERS</x:v>
      </x:c>
      <x:c r="D755" s="51" t="str">
        <x:v>IP transit providers</x:v>
      </x:c>
      <x:c r="E755" s="51" t="str">
        <x:v>ACT-AUTONOMOUSSYSTEMOPERATOR</x:v>
      </x:c>
      <x:c r="F755" s="51" t="str">
        <x:v>Autonomous system operators</x:v>
      </x:c>
      <x:c r="G755" s="51" t="str">
        <x:v>Transit provider → customer network</x:v>
      </x:c>
      <x:c r="H755" s="51" t="str">
        <x:v>Contract term</x:v>
      </x:c>
      <x:c r="I755" s="51" t="str">
        <x:v>Wholesale Internet transit</x:v>
      </x:c>
      <x:c r="J755" s="51" t="str"/>
      <x:c r="K755" s="51" t="str">
        <x:v>Capacity and traffic specific</x:v>
      </x:c>
      <x:c r="L755" s="51" t="str">
        <x:v>Provider routing table and backbone</x:v>
      </x:c>
      <x:c r="M755" s="51" t="str">
        <x:v>Reachability to the wider Internet</x:v>
      </x:c>
      <x:c r="N755" s="51" t="str">
        <x:v>Transit converts one commercial relationship into access to networks beyond direct peers</x:v>
      </x:c>
      <x:c r="O755" s="51" t="str">
        <x:v>Financial; technological; relational</x:v>
      </x:c>
      <x:c r="P755" s="51" t="str">
        <x:v>S1</x:v>
      </x:c>
      <x:c r="Q755" s="51" t="str">
        <x:v>High</x:v>
      </x:c>
      <x:c r="R755" s="51" t="str">
        <x:v>SRC-455; SRC-457</x:v>
      </x:c>
      <x:c r="S755" s="51" t="str">
        <x:v>Internet networks use both peering and transit to reach destinations.</x:v>
      </x:c>
      <x:c r="T755" s="51" t="str">
        <x:v>Universal route quality or one provider carrying all traffic.</x:v>
      </x:c>
      <x:c r="U755" s="51" t="str">
        <x:v>Routing and redundancy differ by network.</x:v>
      </x:c>
      <x:c r="V755" s="51" t="str">
        <x:v>Active mechanism</x:v>
      </x:c>
      <x:c r="W755" s="51" t="str">
        <x:v>38;57</x:v>
      </x:c>
      <x:c r="X755" s="51" t="str">
        <x:v>2026-07-27</x:v>
      </x:c>
    </x:row>
    <x:row r="756">
      <x:c r="A756" s="51" t="str">
        <x:v>V11IXP-004</x:v>
      </x:c>
      <x:c r="B756" s="51" t="str">
        <x:v>Peering, routing and Internet exchange power</x:v>
      </x:c>
      <x:c r="C756" s="51" t="str">
        <x:v>ACT-CONTENTANDAPPLICATIONPRO</x:v>
      </x:c>
      <x:c r="D756" s="51" t="str">
        <x:v>Content and application providers</x:v>
      </x:c>
      <x:c r="E756" s="51" t="str">
        <x:v>ACT-INTERNETEXCHANGEPOINTS</x:v>
      </x:c>
      <x:c r="F756" s="51" t="str">
        <x:v>Internet exchange points</x:v>
      </x:c>
      <x:c r="G756" s="51" t="str">
        <x:v>Content network → exchanges</x:v>
      </x:c>
      <x:c r="H756" s="51" t="str">
        <x:v>Ongoing</x:v>
      </x:c>
      <x:c r="I756" s="51" t="str">
        <x:v>Direct peering and cache interconnection</x:v>
      </x:c>
      <x:c r="J756" s="51" t="str">
        <x:v>INS-246; INS-247</x:v>
      </x:c>
      <x:c r="K756" s="51" t="str">
        <x:v>Traffic-specific</x:v>
      </x:c>
      <x:c r="L756" s="51" t="str">
        <x:v>Application traffic and routing policy</x:v>
      </x:c>
      <x:c r="M756" s="51" t="str">
        <x:v>Lower-latency user delivery</x:v>
      </x:c>
      <x:c r="N756" s="51" t="str">
        <x:v>Large content providers can bypass some transit layers by interconnecting directly</x:v>
      </x:c>
      <x:c r="O756" s="51" t="str">
        <x:v>Technological; financial; informational</x:v>
      </x:c>
      <x:c r="P756" s="51" t="str">
        <x:v>S1</x:v>
      </x:c>
      <x:c r="Q756" s="51" t="str">
        <x:v>High</x:v>
      </x:c>
      <x:c r="R756" s="51" t="str">
        <x:v>SRC-455; SRC-457</x:v>
      </x:c>
      <x:c r="S756" s="51" t="str">
        <x:v>IXPs connect content, cloud and access networks.</x:v>
      </x:c>
      <x:c r="T756" s="51" t="str">
        <x:v>Elimination of all carrier dependence or equal bargaining power for small networks.</x:v>
      </x:c>
      <x:c r="U756" s="51" t="str">
        <x:v>Physical ports, backhaul and bilateral policies remain.</x:v>
      </x:c>
      <x:c r="V756" s="51" t="str">
        <x:v>Active</x:v>
      </x:c>
      <x:c r="W756" s="51" t="str">
        <x:v>38;57</x:v>
      </x:c>
      <x:c r="X756" s="51" t="str">
        <x:v>2026-07-27</x:v>
      </x:c>
    </x:row>
    <x:row r="757">
      <x:c r="A757" s="51" t="str">
        <x:v>V11SAT-001</x:v>
      </x:c>
      <x:c r="B757" s="51" t="str">
        <x:v>Satellite broadband, gateways and orbital power</x:v>
      </x:c>
      <x:c r="C757" s="51" t="str">
        <x:v>ACT-SPACEX</x:v>
      </x:c>
      <x:c r="D757" s="51" t="str">
        <x:v>SpaceX</x:v>
      </x:c>
      <x:c r="E757" s="51" t="str">
        <x:v>ACT-STARLINK</x:v>
      </x:c>
      <x:c r="F757" s="51" t="str">
        <x:v>Starlink</x:v>
      </x:c>
      <x:c r="G757" s="51" t="str">
        <x:v>Parent company → constellation</x:v>
      </x:c>
      <x:c r="H757" s="51" t="str">
        <x:v>Ongoing</x:v>
      </x:c>
      <x:c r="I757" s="51" t="str">
        <x:v>Ownership, launch and network operation</x:v>
      </x:c>
      <x:c r="J757" s="51" t="str">
        <x:v>INS-250</x:v>
      </x:c>
      <x:c r="K757" s="51" t="str">
        <x:v>Largest LEO constellation and millions of customers</x:v>
      </x:c>
      <x:c r="L757" s="51" t="str">
        <x:v>Launch capacity, satellites, gateways and software</x:v>
      </x:c>
      <x:c r="M757" s="51" t="str">
        <x:v>Global satellite broadband network</x:v>
      </x:c>
      <x:c r="N757" s="51" t="str">
        <x:v>Vertical integration converts launch capability into faster constellation deployment and replacement</x:v>
      </x:c>
      <x:c r="O757" s="51" t="str">
        <x:v>Technological; material; ownership</x:v>
      </x:c>
      <x:c r="P757" s="51" t="str">
        <x:v>E1</x:v>
      </x:c>
      <x:c r="Q757" s="51" t="str">
        <x:v>Very high</x:v>
      </x:c>
      <x:c r="R757" s="51" t="str">
        <x:v>SRC-463; SRC-464; SRC-465; SRC-466</x:v>
      </x:c>
      <x:c r="S757" s="51" t="str">
        <x:v>SpaceX owns and operates Starlink and launches its satellites.</x:v>
      </x:c>
      <x:c r="T757" s="51" t="str">
        <x:v>Unrestricted spectrum access or monopoly over satellite communications.</x:v>
      </x:c>
      <x:c r="U757" s="51" t="str">
        <x:v>Regulators and competing constellations constrain operations.</x:v>
      </x:c>
      <x:c r="V757" s="51" t="str">
        <x:v>Active</x:v>
      </x:c>
      <x:c r="W757" s="51" t="str">
        <x:v>40;57</x:v>
      </x:c>
      <x:c r="X757" s="51" t="str">
        <x:v>2026-07-27</x:v>
      </x:c>
    </x:row>
    <x:row r="758">
      <x:c r="A758" s="51" t="str">
        <x:v>V11SAT-002</x:v>
      </x:c>
      <x:c r="B758" s="51" t="str">
        <x:v>Satellite broadband, gateways and orbital power</x:v>
      </x:c>
      <x:c r="C758" s="51" t="str">
        <x:v>ACT-STARLINK</x:v>
      </x:c>
      <x:c r="D758" s="51" t="str">
        <x:v>Starlink</x:v>
      </x:c>
      <x:c r="E758" s="51" t="str">
        <x:v>ACT-SATELLITEUSERTERMINALS</x:v>
      </x:c>
      <x:c r="F758" s="51" t="str">
        <x:v>Satellite user terminals</x:v>
      </x:c>
      <x:c r="G758" s="51" t="str">
        <x:v>Network → customer equipment</x:v>
      </x:c>
      <x:c r="H758" s="51" t="str">
        <x:v>Ongoing</x:v>
      </x:c>
      <x:c r="I758" s="51" t="str">
        <x:v>Terminal sale and service subscription</x:v>
      </x:c>
      <x:c r="J758" s="51" t="str">
        <x:v>INS-250</x:v>
      </x:c>
      <x:c r="K758" s="51" t="str">
        <x:v>Customer- and market-specific</x:v>
      </x:c>
      <x:c r="L758" s="51" t="str">
        <x:v>Phased-array antenna and satellite coverage</x:v>
      </x:c>
      <x:c r="M758" s="51" t="str">
        <x:v>Local Internet access</x:v>
      </x:c>
      <x:c r="N758" s="51" t="str">
        <x:v>User terminals convert moving orbital capacity into fixed or mobile connectivity</x:v>
      </x:c>
      <x:c r="O758" s="51" t="str">
        <x:v>Technological; financial; material</x:v>
      </x:c>
      <x:c r="P758" s="51" t="str">
        <x:v>E1</x:v>
      </x:c>
      <x:c r="Q758" s="51" t="str">
        <x:v>High</x:v>
      </x:c>
      <x:c r="R758" s="51" t="str">
        <x:v>SRC-463; SRC-464</x:v>
      </x:c>
      <x:c r="S758" s="51" t="str">
        <x:v>Starlink supplies terminals and broadband service across many markets.</x:v>
      </x:c>
      <x:c r="T758" s="51" t="str">
        <x:v>Uniform speeds or legal availability everywhere.</x:v>
      </x:c>
      <x:c r="U758" s="51" t="str">
        <x:v>Capacity, terrain, weather and licensing vary.</x:v>
      </x:c>
      <x:c r="V758" s="51" t="str">
        <x:v>Active</x:v>
      </x:c>
      <x:c r="W758" s="51" t="str">
        <x:v>40;57</x:v>
      </x:c>
      <x:c r="X758" s="51" t="str">
        <x:v>2026-07-27</x:v>
      </x:c>
    </x:row>
    <x:row r="759">
      <x:c r="A759" s="51" t="str">
        <x:v>V11SAT-003</x:v>
      </x:c>
      <x:c r="B759" s="51" t="str">
        <x:v>Satellite broadband, gateways and orbital power</x:v>
      </x:c>
      <x:c r="C759" s="51" t="str">
        <x:v>ACT-STARLINK</x:v>
      </x:c>
      <x:c r="D759" s="51" t="str">
        <x:v>Starlink</x:v>
      </x:c>
      <x:c r="E759" s="51" t="str">
        <x:v>ACT-SATELLITEGATEWAYSTATIONS</x:v>
      </x:c>
      <x:c r="F759" s="51" t="str">
        <x:v>Satellite gateway stations</x:v>
      </x:c>
      <x:c r="G759" s="51" t="str">
        <x:v>Constellation → ground network</x:v>
      </x:c>
      <x:c r="H759" s="51" t="str">
        <x:v>Ongoing</x:v>
      </x:c>
      <x:c r="I759" s="51" t="str">
        <x:v>Gateway and backbone interconnection</x:v>
      </x:c>
      <x:c r="J759" s="51" t="str">
        <x:v>INS-250</x:v>
      </x:c>
      <x:c r="K759" s="51" t="str">
        <x:v>Global network</x:v>
      </x:c>
      <x:c r="L759" s="51" t="str">
        <x:v>Satellite radio links</x:v>
      </x:c>
      <x:c r="M759" s="51" t="str">
        <x:v>Terrestrial Internet and private-network reach</x:v>
      </x:c>
      <x:c r="N759" s="51" t="str">
        <x:v>Gateways join orbital access to fiber, peering and data centers</x:v>
      </x:c>
      <x:c r="O759" s="51" t="str">
        <x:v>Material; technological; geopolitical</x:v>
      </x:c>
      <x:c r="P759" s="51" t="str">
        <x:v>S1</x:v>
      </x:c>
      <x:c r="Q759" s="51" t="str">
        <x:v>High</x:v>
      </x:c>
      <x:c r="R759" s="51" t="str">
        <x:v>SRC-463; SRC-464</x:v>
      </x:c>
      <x:c r="S759" s="51" t="str">
        <x:v>Satellite broadband relies on ground infrastructure and network interconnection.</x:v>
      </x:c>
      <x:c r="T759" s="51" t="str">
        <x:v>A gateway for every user session or complete independence from terrestrial fiber.</x:v>
      </x:c>
      <x:c r="U759" s="51" t="str">
        <x:v>Laser links can route some traffic between satellites.</x:v>
      </x:c>
      <x:c r="V759" s="51" t="str">
        <x:v>Active mechanism</x:v>
      </x:c>
      <x:c r="W759" s="51" t="str">
        <x:v>40;57</x:v>
      </x:c>
      <x:c r="X759" s="51" t="str">
        <x:v>2026-07-27</x:v>
      </x:c>
    </x:row>
    <x:row r="760">
      <x:c r="A760" s="51" t="str">
        <x:v>V11SAT-004</x:v>
      </x:c>
      <x:c r="B760" s="51" t="str">
        <x:v>Satellite broadband, gateways and orbital power</x:v>
      </x:c>
      <x:c r="C760" s="51" t="str">
        <x:v>ACT-ELONMUSK</x:v>
      </x:c>
      <x:c r="D760" s="51" t="str">
        <x:v>Elon Musk</x:v>
      </x:c>
      <x:c r="E760" s="51" t="str">
        <x:v>ACT-SPACEX</x:v>
      </x:c>
      <x:c r="F760" s="51" t="str">
        <x:v>SpaceX</x:v>
      </x:c>
      <x:c r="G760" s="51" t="str">
        <x:v>Controlling shareholder/executive → company</x:v>
      </x:c>
      <x:c r="H760" s="51" t="str">
        <x:v>Current 2026</x:v>
      </x:c>
      <x:c r="I760" s="51" t="str">
        <x:v>CEO, CTO, chairman and voting control</x:v>
      </x:c>
      <x:c r="J760" s="51" t="str">
        <x:v>INS-250</x:v>
      </x:c>
      <x:c r="K760" s="51" t="str">
        <x:v>84.3% voting rights reported before offering in 2026 prospectus</x:v>
      </x:c>
      <x:c r="L760" s="51" t="str">
        <x:v>Formal office and dual-class shares</x:v>
      </x:c>
      <x:c r="M760" s="51" t="str">
        <x:v>Strategic and governance control</x:v>
      </x:c>
      <x:c r="N760" s="51" t="str">
        <x:v>Voting rights and executive office create unusually concentrated formal authority</x:v>
      </x:c>
      <x:c r="O760" s="51" t="str">
        <x:v>Ownership; institutional; technological</x:v>
      </x:c>
      <x:c r="P760" s="51" t="str">
        <x:v>E1</x:v>
      </x:c>
      <x:c r="Q760" s="51" t="str">
        <x:v>Very high</x:v>
      </x:c>
      <x:c r="R760" s="51" t="str">
        <x:v>SRC-466; SRC-467</x:v>
      </x:c>
      <x:c r="S760" s="51" t="str">
        <x:v>SpaceX identified Elon Musk as CEO, CTO, chairman and controlling shareholder.</x:v>
      </x:c>
      <x:c r="T760" s="51" t="str">
        <x:v>Personal ownership of every Starlink asset outside the corporation or authority over regulators.</x:v>
      </x:c>
      <x:c r="U760" s="51" t="str">
        <x:v>Corporate law, contracts and government licences still apply.</x:v>
      </x:c>
      <x:c r="V760" s="51" t="str">
        <x:v>Active</x:v>
      </x:c>
      <x:c r="W760" s="51" t="str">
        <x:v>45;57</x:v>
      </x:c>
      <x:c r="X760" s="51" t="str">
        <x:v>2026-07-27</x:v>
      </x:c>
    </x:row>
    <x:row r="761">
      <x:c r="A761" s="51" t="str">
        <x:v>V11SAT-005</x:v>
      </x:c>
      <x:c r="B761" s="51" t="str">
        <x:v>Satellite broadband, gateways and orbital power</x:v>
      </x:c>
      <x:c r="C761" s="51" t="str">
        <x:v>ACT-AMAZON</x:v>
      </x:c>
      <x:c r="D761" s="51" t="str">
        <x:v>Amazon</x:v>
      </x:c>
      <x:c r="E761" s="51" t="str">
        <x:v>ACT-AMAZONLEO</x:v>
      </x:c>
      <x:c r="F761" s="51" t="str">
        <x:v>Amazon Leo</x:v>
      </x:c>
      <x:c r="G761" s="51" t="str">
        <x:v>Parent company → constellation</x:v>
      </x:c>
      <x:c r="H761" s="51" t="str">
        <x:v>Ongoing</x:v>
      </x:c>
      <x:c r="I761" s="51" t="str">
        <x:v>Capital, manufacturing and network development</x:v>
      </x:c>
      <x:c r="J761" s="51" t="str">
        <x:v>INS-251</x:v>
      </x:c>
      <x:c r="K761" s="51" t="str">
        <x:v>More than 3,000 planned satellites; 375+ reported in orbit</x:v>
      </x:c>
      <x:c r="L761" s="51" t="str">
        <x:v>Amazon capital, satellites and ground systems</x:v>
      </x:c>
      <x:c r="M761" s="51" t="str">
        <x:v>LEO broadband network</x:v>
      </x:c>
      <x:c r="N761" s="51" t="str">
        <x:v>Amazon converts logistics, cloud and device capabilities into an integrated connectivity platform</x:v>
      </x:c>
      <x:c r="O761" s="51" t="str">
        <x:v>Technological; financial; ownership</x:v>
      </x:c>
      <x:c r="P761" s="51" t="str">
        <x:v>E1</x:v>
      </x:c>
      <x:c r="Q761" s="51" t="str">
        <x:v>Very high</x:v>
      </x:c>
      <x:c r="R761" s="51" t="str">
        <x:v>SRC-468; SRC-469; SRC-470</x:v>
      </x:c>
      <x:c r="S761" s="51" t="str">
        <x:v>Amazon owns and is deploying Amazon Leo.</x:v>
      </x:c>
      <x:c r="T761" s="51" t="str">
        <x:v>Operational global coverage or direct AWS control over customer data paths in every case.</x:v>
      </x:c>
      <x:c r="U761" s="51" t="str">
        <x:v>Service is still rolling out and uses defined integrations.</x:v>
      </x:c>
      <x:c r="V761" s="51" t="str">
        <x:v>Deployment</x:v>
      </x:c>
      <x:c r="W761" s="51" t="str">
        <x:v>40;57</x:v>
      </x:c>
      <x:c r="X761" s="51" t="str">
        <x:v>2026-07-27</x:v>
      </x:c>
    </x:row>
    <x:row r="762">
      <x:c r="A762" s="51" t="str">
        <x:v>V11SAT-006</x:v>
      </x:c>
      <x:c r="B762" s="51" t="str">
        <x:v>Satellite broadband, gateways and orbital power</x:v>
      </x:c>
      <x:c r="C762" s="51" t="str">
        <x:v>ACT-AMAZONLEO</x:v>
      </x:c>
      <x:c r="D762" s="51" t="str">
        <x:v>Amazon Leo</x:v>
      </x:c>
      <x:c r="E762" s="51" t="str">
        <x:v>ACT-AMAZONWEBSERVICES</x:v>
      </x:c>
      <x:c r="F762" s="51" t="str">
        <x:v>Amazon Web Services</x:v>
      </x:c>
      <x:c r="G762" s="51" t="str">
        <x:v>Constellation → cloud platform</x:v>
      </x:c>
      <x:c r="H762" s="51" t="str">
        <x:v>Enterprise service</x:v>
      </x:c>
      <x:c r="I762" s="51" t="str">
        <x:v>Direct-to-AWS private connectivity</x:v>
      </x:c>
      <x:c r="J762" s="51" t="str">
        <x:v>INS-251</x:v>
      </x:c>
      <x:c r="K762" s="51" t="str">
        <x:v>Product-specific</x:v>
      </x:c>
      <x:c r="L762" s="51" t="str">
        <x:v>Satellite terminal traffic</x:v>
      </x:c>
      <x:c r="M762" s="51" t="str">
        <x:v>Private cloud network connection</x:v>
      </x:c>
      <x:c r="N762" s="51" t="str">
        <x:v>A satellite operator and cloud provider inside one corporate group can bypass parts of the public Internet for enterprise users</x:v>
      </x:c>
      <x:c r="O762" s="51" t="str">
        <x:v>Technological; informational; financial</x:v>
      </x:c>
      <x:c r="P762" s="51" t="str">
        <x:v>E1</x:v>
      </x:c>
      <x:c r="Q762" s="51" t="str">
        <x:v>High</x:v>
      </x:c>
      <x:c r="R762" s="51" t="str">
        <x:v>SRC-469; SRC-471</x:v>
      </x:c>
      <x:c r="S762" s="51" t="str">
        <x:v>Amazon describes direct private connectivity from Leo into AWS.</x:v>
      </x:c>
      <x:c r="T762" s="51" t="str">
        <x:v>Mandatory AWS use or physical isolation from all public infrastructure.</x:v>
      </x:c>
      <x:c r="U762" s="51" t="str">
        <x:v>Customers can use other network options and underlying facilities remain shared.</x:v>
      </x:c>
      <x:c r="V762" s="51" t="str">
        <x:v>Enterprise preview / rollout</x:v>
      </x:c>
      <x:c r="W762" s="51" t="str">
        <x:v>40;57</x:v>
      </x:c>
      <x:c r="X762" s="51" t="str">
        <x:v>2026-07-27</x:v>
      </x:c>
    </x:row>
    <x:row r="763">
      <x:c r="A763" s="51" t="str">
        <x:v>V11SAT-007</x:v>
      </x:c>
      <x:c r="B763" s="51" t="str">
        <x:v>Satellite broadband, gateways and orbital power</x:v>
      </x:c>
      <x:c r="C763" s="51" t="str">
        <x:v>ACT-SATELLITELAUNCHPROVIDERS</x:v>
      </x:c>
      <x:c r="D763" s="51" t="str">
        <x:v>Satellite launch providers</x:v>
      </x:c>
      <x:c r="E763" s="51" t="str">
        <x:v>ACT-AMAZONLEO</x:v>
      </x:c>
      <x:c r="F763" s="51" t="str">
        <x:v>Amazon Leo</x:v>
      </x:c>
      <x:c r="G763" s="51" t="str">
        <x:v>Launch providers → constellation</x:v>
      </x:c>
      <x:c r="H763" s="51" t="str">
        <x:v>2025–2026</x:v>
      </x:c>
      <x:c r="I763" s="51" t="str">
        <x:v>Multi-provider launch procurement</x:v>
      </x:c>
      <x:c r="J763" s="51" t="str">
        <x:v>INS-251</x:v>
      </x:c>
      <x:c r="K763" s="51" t="str">
        <x:v>More than 80 planned launches across providers</x:v>
      </x:c>
      <x:c r="L763" s="51" t="str">
        <x:v>Rockets and launch slots</x:v>
      </x:c>
      <x:c r="M763" s="51" t="str">
        <x:v>Deployed satellite capacity</x:v>
      </x:c>
      <x:c r="N763" s="51" t="str">
        <x:v>Launch diversification reduces dependence on one rocket provider while preserving schedule and execution risk</x:v>
      </x:c>
      <x:c r="O763" s="51" t="str">
        <x:v>Material; financial; relational</x:v>
      </x:c>
      <x:c r="P763" s="51" t="str">
        <x:v>E1</x:v>
      </x:c>
      <x:c r="Q763" s="51" t="str">
        <x:v>High</x:v>
      </x:c>
      <x:c r="R763" s="51" t="str">
        <x:v>SRC-469; SRC-470</x:v>
      </x:c>
      <x:c r="S763" s="51" t="str">
        <x:v>Amazon contracted a large multi-provider launch manifest.</x:v>
      </x:c>
      <x:c r="T763" s="51" t="str">
        <x:v>Guaranteed deployment schedule or independence from SpaceX.</x:v>
      </x:c>
      <x:c r="U763" s="51" t="str">
        <x:v>Launch failures and delays remain possible.</x:v>
      </x:c>
      <x:c r="V763" s="51" t="str">
        <x:v>Active deployment</x:v>
      </x:c>
      <x:c r="W763" s="51" t="str">
        <x:v>40;57</x:v>
      </x:c>
      <x:c r="X763" s="51" t="str">
        <x:v>2026-07-27</x:v>
      </x:c>
    </x:row>
    <x:row r="764">
      <x:c r="A764" s="51" t="str">
        <x:v>V11SAT-008</x:v>
      </x:c>
      <x:c r="B764" s="51" t="str">
        <x:v>Satellite broadband, gateways and orbital power</x:v>
      </x:c>
      <x:c r="C764" s="51" t="str">
        <x:v>ACT-EUTELSATGROUP</x:v>
      </x:c>
      <x:c r="D764" s="51" t="str">
        <x:v>Eutelsat Group</x:v>
      </x:c>
      <x:c r="E764" s="51" t="str">
        <x:v>ACT-ONEWEBLEOCONSTELLATION</x:v>
      </x:c>
      <x:c r="F764" s="51" t="str">
        <x:v>OneWeb LEO constellation</x:v>
      </x:c>
      <x:c r="G764" s="51" t="str">
        <x:v>Parent operator → constellation</x:v>
      </x:c>
      <x:c r="H764" s="51" t="str">
        <x:v>2023 onward</x:v>
      </x:c>
      <x:c r="I764" s="51" t="str">
        <x:v>Ownership and multi-orbit integration</x:v>
      </x:c>
      <x:c r="J764" s="51" t="str">
        <x:v>INS-252</x:v>
      </x:c>
      <x:c r="K764" s="51" t="str">
        <x:v>600+ LEO satellites</x:v>
      </x:c>
      <x:c r="L764" s="51" t="str">
        <x:v>LEO assets, spectrum rights and distribution</x:v>
      </x:c>
      <x:c r="M764" s="51" t="str">
        <x:v>Enterprise and government connectivity</x:v>
      </x:c>
      <x:c r="N764" s="51" t="str">
        <x:v>A European operator combines GEO coverage with operational LEO capacity</x:v>
      </x:c>
      <x:c r="O764" s="51" t="str">
        <x:v>Technological; geopolitical; ownership</x:v>
      </x:c>
      <x:c r="P764" s="51" t="str">
        <x:v>E1</x:v>
      </x:c>
      <x:c r="Q764" s="51" t="str">
        <x:v>Very high</x:v>
      </x:c>
      <x:c r="R764" s="51" t="str">
        <x:v>SRC-472; SRC-473</x:v>
      </x:c>
      <x:c r="S764" s="51" t="str">
        <x:v>Eutelsat operates a 600+ satellite OneWeb LEO constellation with GEO assets.</x:v>
      </x:c>
      <x:c r="T764" s="51" t="str">
        <x:v>Consumer-scale equivalence to Starlink or full European technological independence.</x:v>
      </x:c>
      <x:c r="U764" s="51" t="str">
        <x:v>Distribution, replenishment and terminal ecosystems differ.</x:v>
      </x:c>
      <x:c r="V764" s="51" t="str">
        <x:v>Operational</x:v>
      </x:c>
      <x:c r="W764" s="51" t="str">
        <x:v>40;57</x:v>
      </x:c>
      <x:c r="X764" s="51" t="str">
        <x:v>2026-07-27</x:v>
      </x:c>
    </x:row>
    <x:row r="765">
      <x:c r="A765" s="51" t="str">
        <x:v>V11SAT-009</x:v>
      </x:c>
      <x:c r="B765" s="51" t="str">
        <x:v>Satellite broadband, gateways and orbital power</x:v>
      </x:c>
      <x:c r="C765" s="51" t="str">
        <x:v>ACT-FEDERALCOMMUNICATIONSCOM</x:v>
      </x:c>
      <x:c r="D765" s="51" t="str">
        <x:v>Federal Communications Commission</x:v>
      </x:c>
      <x:c r="E765" s="51" t="str">
        <x:v>ACT-RADIOFREQUENCYSPECTRUMRI</x:v>
      </x:c>
      <x:c r="F765" s="51" t="str">
        <x:v>Radio-frequency spectrum rights</x:v>
      </x:c>
      <x:c r="G765" s="51" t="str">
        <x:v>Regulator → public resource</x:v>
      </x:c>
      <x:c r="H765" s="51" t="str">
        <x:v>2025–2026</x:v>
      </x:c>
      <x:c r="I765" s="51" t="str">
        <x:v>Spectrum allocation and licensing policy</x:v>
      </x:c>
      <x:c r="J765" s="51" t="str">
        <x:v>INS-253</x:v>
      </x:c>
      <x:c r="K765" s="51" t="str">
        <x:v>More than 20,000 MHz referenced in FCC policy claims</x:v>
      </x:c>
      <x:c r="L765" s="51" t="str">
        <x:v>Public frequency bands and technical rules</x:v>
      </x:c>
      <x:c r="M765" s="51" t="str">
        <x:v>Licensable satellite capacity</x:v>
      </x:c>
      <x:c r="N765" s="51" t="str">
        <x:v>Regulatory decisions can expand orbital broadband capacity without building a single satellite</x:v>
      </x:c>
      <x:c r="O765" s="51" t="str">
        <x:v>Institutional; geopolitical; material</x:v>
      </x:c>
      <x:c r="P765" s="51" t="str">
        <x:v>E1</x:v>
      </x:c>
      <x:c r="Q765" s="51" t="str">
        <x:v>High</x:v>
      </x:c>
      <x:c r="R765" s="51" t="str">
        <x:v>SRC-475; SRC-476</x:v>
      </x:c>
      <x:c r="S765" s="51" t="str">
        <x:v>FCC is modernising and expanding spectrum access for satellite broadband.</x:v>
      </x:c>
      <x:c r="T765" s="51" t="str">
        <x:v>Automatic service deployment or authority outside US jurisdiction.</x:v>
      </x:c>
      <x:c r="U765" s="51" t="str">
        <x:v>Operators still require capital, satellites and international coordination.</x:v>
      </x:c>
      <x:c r="V765" s="51" t="str">
        <x:v>Active policy</x:v>
      </x:c>
      <x:c r="W765" s="51" t="str">
        <x:v>40;57</x:v>
      </x:c>
      <x:c r="X765" s="51" t="str">
        <x:v>2026-07-27</x:v>
      </x:c>
    </x:row>
    <x:row r="766">
      <x:c r="A766" s="51" t="str">
        <x:v>V11SAT-010</x:v>
      </x:c>
      <x:c r="B766" s="51" t="str">
        <x:v>Satellite broadband, gateways and orbital power</x:v>
      </x:c>
      <x:c r="C766" s="51" t="str">
        <x:v>ACT-RADIOFREQUENCYSPECTRUMRI</x:v>
      </x:c>
      <x:c r="D766" s="51" t="str">
        <x:v>Radio-frequency spectrum rights</x:v>
      </x:c>
      <x:c r="E766" s="51" t="str">
        <x:v>ACT-STARLINK</x:v>
      </x:c>
      <x:c r="F766" s="51" t="str">
        <x:v>Starlink</x:v>
      </x:c>
      <x:c r="G766" s="51" t="str">
        <x:v>Public right → operator</x:v>
      </x:c>
      <x:c r="H766" s="51" t="str">
        <x:v>Licence-specific</x:v>
      </x:c>
      <x:c r="I766" s="51" t="str">
        <x:v>Satellite spectrum and market access</x:v>
      </x:c>
      <x:c r="J766" s="51" t="str">
        <x:v>INS-250; INS-253</x:v>
      </x:c>
      <x:c r="K766" s="51" t="str">
        <x:v>Band- and jurisdiction-specific</x:v>
      </x:c>
      <x:c r="L766" s="51" t="str">
        <x:v>Regulatory authorisation</x:v>
      </x:c>
      <x:c r="M766" s="51" t="str">
        <x:v>Lawful broadband and direct-to-cell operation</x:v>
      </x:c>
      <x:c r="N766" s="51" t="str">
        <x:v>Spectrum permission is a sovereign input to orbital connectivity</x:v>
      </x:c>
      <x:c r="O766" s="51" t="str">
        <x:v>Institutional; technological; geopolitical</x:v>
      </x:c>
      <x:c r="P766" s="51" t="str">
        <x:v>S1</x:v>
      </x:c>
      <x:c r="Q766" s="51" t="str">
        <x:v>High</x:v>
      </x:c>
      <x:c r="R766" s="51" t="str">
        <x:v>SRC-475; SRC-476</x:v>
      </x:c>
      <x:c r="S766" s="51" t="str">
        <x:v>Satellite operators depend on national and international spectrum authorisations.</x:v>
      </x:c>
      <x:c r="T766" s="51" t="str">
        <x:v>Permanent exclusive ownership of frequencies or worldwide approval.</x:v>
      </x:c>
      <x:c r="U766" s="51" t="str">
        <x:v>Licences are conditional and geographically bounded.</x:v>
      </x:c>
      <x:c r="V766" s="51" t="str">
        <x:v>Active</x:v>
      </x:c>
      <x:c r="W766" s="51" t="str">
        <x:v>40;57</x:v>
      </x:c>
      <x:c r="X766" s="51" t="str">
        <x:v>2026-07-27</x:v>
      </x:c>
    </x:row>
    <x:row r="767">
      <x:c r="A767" s="51" t="str">
        <x:v>V11STORE-001</x:v>
      </x:c>
      <x:c r="B767" s="51" t="str">
        <x:v>App-store and device-distribution power</x:v>
      </x:c>
      <x:c r="C767" s="51" t="str">
        <x:v>ACT-MOBILEAPPLICATIONDEVELOP</x:v>
      </x:c>
      <x:c r="D767" s="51" t="str">
        <x:v>Mobile application developers</x:v>
      </x:c>
      <x:c r="E767" s="51" t="str">
        <x:v>ACT-APPLEAPPSTORE</x:v>
      </x:c>
      <x:c r="F767" s="51" t="str">
        <x:v>Apple App Store</x:v>
      </x:c>
      <x:c r="G767" s="51" t="str">
        <x:v>Developer → platform</x:v>
      </x:c>
      <x:c r="H767" s="51" t="str">
        <x:v>Submission cycle</x:v>
      </x:c>
      <x:c r="I767" s="51" t="str">
        <x:v>App submission and review</x:v>
      </x:c>
      <x:c r="J767" s="51" t="str">
        <x:v>INS-254</x:v>
      </x:c>
      <x:c r="K767" s="51" t="str">
        <x:v>App-specific</x:v>
      </x:c>
      <x:c r="L767" s="51" t="str">
        <x:v>Binary, metadata, privacy and commercial information</x:v>
      </x:c>
      <x:c r="M767" s="51" t="str">
        <x:v>Approval, rejection or required modification</x:v>
      </x:c>
      <x:c r="N767" s="51" t="str">
        <x:v>App review converts private software into authorised distribution on Apple devices</x:v>
      </x:c>
      <x:c r="O767" s="51" t="str">
        <x:v>Technological; informational; enforcement</x:v>
      </x:c>
      <x:c r="P767" s="51" t="str">
        <x:v>E1</x:v>
      </x:c>
      <x:c r="Q767" s="51" t="str">
        <x:v>Very high</x:v>
      </x:c>
      <x:c r="R767" s="51" t="str">
        <x:v>SRC-478; SRC-479</x:v>
      </x:c>
      <x:c r="S767" s="51" t="str">
        <x:v>Apple reviews apps, updates, in-app purchases and events under published guidelines.</x:v>
      </x:c>
      <x:c r="T767" s="51" t="str">
        <x:v>Perfect safety, neutral ranking or approval of every compliant app.</x:v>
      </x:c>
      <x:c r="U767" s="51" t="str">
        <x:v>Interpretation and policy changes affect outcomes.</x:v>
      </x:c>
      <x:c r="V767" s="51" t="str">
        <x:v>Active</x:v>
      </x:c>
      <x:c r="W767" s="51" t="str">
        <x:v>41;57</x:v>
      </x:c>
      <x:c r="X767" s="51" t="str">
        <x:v>2026-07-27</x:v>
      </x:c>
    </x:row>
    <x:row r="768">
      <x:c r="A768" s="51" t="str">
        <x:v>V11STORE-002</x:v>
      </x:c>
      <x:c r="B768" s="51" t="str">
        <x:v>App-store and device-distribution power</x:v>
      </x:c>
      <x:c r="C768" s="51" t="str">
        <x:v>ACT-APPLEAPPSTORE</x:v>
      </x:c>
      <x:c r="D768" s="51" t="str">
        <x:v>Apple App Store</x:v>
      </x:c>
      <x:c r="E768" s="51" t="str">
        <x:v>ACT-MOBILEOPERATINGSYSTEMUSE</x:v>
      </x:c>
      <x:c r="F768" s="51" t="str">
        <x:v>Mobile operating-system users</x:v>
      </x:c>
      <x:c r="G768" s="51" t="str">
        <x:v>Platform → users</x:v>
      </x:c>
      <x:c r="H768" s="51" t="str">
        <x:v>Ongoing</x:v>
      </x:c>
      <x:c r="I768" s="51" t="str">
        <x:v>Discovery, ranking, download and payment interface</x:v>
      </x:c>
      <x:c r="J768" s="51" t="str">
        <x:v>INS-254</x:v>
      </x:c>
      <x:c r="K768" s="51" t="str">
        <x:v>$1.4 trillion ecosystem billings and sales in 2025</x:v>
      </x:c>
      <x:c r="L768" s="51" t="str">
        <x:v>Approved apps and storefront metadata</x:v>
      </x:c>
      <x:c r="M768" s="51" t="str">
        <x:v>Software discovery and installation</x:v>
      </x:c>
      <x:c r="N768" s="51" t="str">
        <x:v>The store converts review status and ranking into user reach and commercial opportunity</x:v>
      </x:c>
      <x:c r="O768" s="51" t="str">
        <x:v>Financial; informational; relational</x:v>
      </x:c>
      <x:c r="P768" s="51" t="str">
        <x:v>E1</x:v>
      </x:c>
      <x:c r="Q768" s="51" t="str">
        <x:v>Very high</x:v>
      </x:c>
      <x:c r="R768" s="51" t="str">
        <x:v>SRC-477; SRC-478</x:v>
      </x:c>
      <x:c r="S768" s="51" t="str">
        <x:v>Apple operates a very large global app distribution ecosystem.</x:v>
      </x:c>
      <x:c r="T768" s="51" t="str">
        <x:v>Apple commission on every dollar or ownership of developer revenue.</x:v>
      </x:c>
      <x:c r="U768" s="51" t="str">
        <x:v>Apple states more than 90% of ecosystem billings involved no commission.</x:v>
      </x:c>
      <x:c r="V768" s="51" t="str">
        <x:v>Active</x:v>
      </x:c>
      <x:c r="W768" s="51" t="str">
        <x:v>41;57</x:v>
      </x:c>
      <x:c r="X768" s="51" t="str">
        <x:v>2026-07-27</x:v>
      </x:c>
    </x:row>
    <x:row r="769">
      <x:c r="A769" s="51" t="str">
        <x:v>V11STORE-003</x:v>
      </x:c>
      <x:c r="B769" s="51" t="str">
        <x:v>App-store and device-distribution power</x:v>
      </x:c>
      <x:c r="C769" s="51" t="str">
        <x:v>ACT-MOBILEAPPLICATIONDEVELOP</x:v>
      </x:c>
      <x:c r="D769" s="51" t="str">
        <x:v>Mobile application developers</x:v>
      </x:c>
      <x:c r="E769" s="51" t="str">
        <x:v>ACT-GOOGLEPLAY</x:v>
      </x:c>
      <x:c r="F769" s="51" t="str">
        <x:v>Google Play</x:v>
      </x:c>
      <x:c r="G769" s="51" t="str">
        <x:v>Developer → platform</x:v>
      </x:c>
      <x:c r="H769" s="51" t="str">
        <x:v>Submission and lifecycle</x:v>
      </x:c>
      <x:c r="I769" s="51" t="str">
        <x:v>Distribution agreement and policy compliance</x:v>
      </x:c>
      <x:c r="J769" s="51" t="str">
        <x:v>INS-255</x:v>
      </x:c>
      <x:c r="K769" s="51" t="str">
        <x:v>App-specific</x:v>
      </x:c>
      <x:c r="L769" s="51" t="str">
        <x:v>App package, account and policy declarations</x:v>
      </x:c>
      <x:c r="M769" s="51" t="str">
        <x:v>Listing, removal or restriction</x:v>
      </x:c>
      <x:c r="N769" s="51" t="str">
        <x:v>Google Play converts developer compliance into access to Android users through its managed marketplace</x:v>
      </x:c>
      <x:c r="O769" s="51" t="str">
        <x:v>Technological; informational; enforcement</x:v>
      </x:c>
      <x:c r="P769" s="51" t="str">
        <x:v>E1</x:v>
      </x:c>
      <x:c r="Q769" s="51" t="str">
        <x:v>Very high</x:v>
      </x:c>
      <x:c r="R769" s="51" t="str">
        <x:v>SRC-482; SRC-483; SRC-484</x:v>
      </x:c>
      <x:c r="S769" s="51" t="str">
        <x:v>Google Play requires acceptance of developer terms and policies.</x:v>
      </x:c>
      <x:c r="T769" s="51" t="str">
        <x:v>Control of all Android distribution or approval of every submission.</x:v>
      </x:c>
      <x:c r="U769" s="51" t="str">
        <x:v>Android permits other distribution channels in many jurisdictions.</x:v>
      </x:c>
      <x:c r="V769" s="51" t="str">
        <x:v>Active</x:v>
      </x:c>
      <x:c r="W769" s="51" t="str">
        <x:v>41;57</x:v>
      </x:c>
      <x:c r="X769" s="51" t="str">
        <x:v>2026-07-27</x:v>
      </x:c>
    </x:row>
    <x:row r="770">
      <x:c r="A770" s="51" t="str">
        <x:v>V11STORE-004</x:v>
      </x:c>
      <x:c r="B770" s="51" t="str">
        <x:v>App-store and device-distribution power</x:v>
      </x:c>
      <x:c r="C770" s="51" t="str">
        <x:v>ACT-GOOGLEPLAY</x:v>
      </x:c>
      <x:c r="D770" s="51" t="str">
        <x:v>Google Play</x:v>
      </x:c>
      <x:c r="E770" s="51" t="str">
        <x:v>ACT-MOBILEOPERATINGSYSTEMUSE</x:v>
      </x:c>
      <x:c r="F770" s="51" t="str">
        <x:v>Mobile operating-system users</x:v>
      </x:c>
      <x:c r="G770" s="51" t="str">
        <x:v>Platform → users</x:v>
      </x:c>
      <x:c r="H770" s="51" t="str">
        <x:v>Ongoing</x:v>
      </x:c>
      <x:c r="I770" s="51" t="str">
        <x:v>Search, recommendation, download and security services</x:v>
      </x:c>
      <x:c r="J770" s="51" t="str">
        <x:v>INS-255</x:v>
      </x:c>
      <x:c r="K770" s="51" t="str">
        <x:v>Global Android market</x:v>
      </x:c>
      <x:c r="L770" s="51" t="str">
        <x:v>Approved application catalogue</x:v>
      </x:c>
      <x:c r="M770" s="51" t="str">
        <x:v>Application discovery and installation</x:v>
      </x:c>
      <x:c r="N770" s="51" t="str">
        <x:v>Store ranking and policy become a conversion point between developers and users</x:v>
      </x:c>
      <x:c r="O770" s="51" t="str">
        <x:v>Informational; financial; relational</x:v>
      </x:c>
      <x:c r="P770" s="51" t="str">
        <x:v>E1</x:v>
      </x:c>
      <x:c r="Q770" s="51" t="str">
        <x:v>High</x:v>
      </x:c>
      <x:c r="R770" s="51" t="str">
        <x:v>SRC-482; SRC-483</x:v>
      </x:c>
      <x:c r="S770" s="51" t="str">
        <x:v>Google Play operates discovery and policy systems for Android apps.</x:v>
      </x:c>
      <x:c r="T770" s="51" t="str">
        <x:v>Exclusive software access on all Android devices.</x:v>
      </x:c>
      <x:c r="U770" s="51" t="str">
        <x:v>Alternative stores and direct installation may exist.</x:v>
      </x:c>
      <x:c r="V770" s="51" t="str">
        <x:v>Active</x:v>
      </x:c>
      <x:c r="W770" s="51" t="str">
        <x:v>41;57</x:v>
      </x:c>
      <x:c r="X770" s="51" t="str">
        <x:v>2026-07-27</x:v>
      </x:c>
    </x:row>
    <x:row r="771">
      <x:c r="A771" s="51" t="str">
        <x:v>V11STORE-005</x:v>
      </x:c>
      <x:c r="B771" s="51" t="str">
        <x:v>App-store and device-distribution power</x:v>
      </x:c>
      <x:c r="C771" s="51" t="str">
        <x:v>ACT-APPLEAPPSTORE</x:v>
      </x:c>
      <x:c r="D771" s="51" t="str">
        <x:v>Apple App Store</x:v>
      </x:c>
      <x:c r="E771" s="51" t="str">
        <x:v>ACT-MOBILEAPPLICATIONDEVELOP</x:v>
      </x:c>
      <x:c r="F771" s="51" t="str">
        <x:v>Mobile application developers</x:v>
      </x:c>
      <x:c r="G771" s="51" t="str">
        <x:v>Platform → developers</x:v>
      </x:c>
      <x:c r="H771" s="51" t="str">
        <x:v>Ongoing</x:v>
      </x:c>
      <x:c r="I771" s="51" t="str">
        <x:v>Guideline updates and enforcement</x:v>
      </x:c>
      <x:c r="J771" s="51" t="str">
        <x:v>INS-254</x:v>
      </x:c>
      <x:c r="K771" s="51" t="str">
        <x:v>Rule-specific</x:v>
      </x:c>
      <x:c r="L771" s="51" t="str">
        <x:v>Platform safety, business and legal policies</x:v>
      </x:c>
      <x:c r="M771" s="51" t="str">
        <x:v>Required product and business-model changes</x:v>
      </x:c>
      <x:c r="N771" s="51" t="str">
        <x:v>Distribution control lets platform policy shape software design before users see the app</x:v>
      </x:c>
      <x:c r="O771" s="51" t="str">
        <x:v>Technological; financial; institutional</x:v>
      </x:c>
      <x:c r="P771" s="51" t="str">
        <x:v>E1</x:v>
      </x:c>
      <x:c r="Q771" s="51" t="str">
        <x:v>High</x:v>
      </x:c>
      <x:c r="R771" s="51" t="str">
        <x:v>SRC-478; SRC-479</x:v>
      </x:c>
      <x:c r="S771" s="51" t="str">
        <x:v>Apple publishes and updates review rules across safety, business, design and legal areas.</x:v>
      </x:c>
      <x:c r="T771" s="51" t="str">
        <x:v>Proof that every rule is optimal, competition-neutral or uniformly enforced.</x:v>
      </x:c>
      <x:c r="U771" s="51" t="str">
        <x:v>Rules are contested and jurisdictionally modified.</x:v>
      </x:c>
      <x:c r="V771" s="51" t="str">
        <x:v>Active</x:v>
      </x:c>
      <x:c r="W771" s="51" t="str">
        <x:v>41;57</x:v>
      </x:c>
      <x:c r="X771" s="51" t="str">
        <x:v>2026-07-27</x:v>
      </x:c>
    </x:row>
    <x:row r="772">
      <x:c r="A772" s="51" t="str">
        <x:v>V11SUB-001</x:v>
      </x:c>
      <x:c r="B772" s="51" t="str">
        <x:v>Subsea cables and landing-station power</x:v>
      </x:c>
      <x:c r="C772" s="51" t="str">
        <x:v>ACT-METAPLATFORMS</x:v>
      </x:c>
      <x:c r="D772" s="51" t="str">
        <x:v>Meta Platforms</x:v>
      </x:c>
      <x:c r="E772" s="51" t="str">
        <x:v>ACT-PROJECTWATERWORTH</x:v>
      </x:c>
      <x:c r="F772" s="51" t="str">
        <x:v>Project Waterworth</x:v>
      </x:c>
      <x:c r="G772" s="51" t="str">
        <x:v>Company → cable project</x:v>
      </x:c>
      <x:c r="H772" s="51" t="str">
        <x:v>2025 onward</x:v>
      </x:c>
      <x:c r="I772" s="51" t="str">
        <x:v>Project sponsorship and network investment</x:v>
      </x:c>
      <x:c r="J772" s="51" t="str">
        <x:v>INS-240</x:v>
      </x:c>
      <x:c r="K772" s="51" t="str">
        <x:v>More than 50,000 km</x:v>
      </x:c>
      <x:c r="L772" s="51" t="str">
        <x:v>Capital, traffic demand and network engineering</x:v>
      </x:c>
      <x:c r="M772" s="51" t="str">
        <x:v>Multi-continent private fiber system</x:v>
      </x:c>
      <x:c r="N772" s="51" t="str">
        <x:v>A platform company converts expected traffic and AI demand into owned international transport capacity</x:v>
      </x:c>
      <x:c r="O772" s="51" t="str">
        <x:v>Material; financial; technological</x:v>
      </x:c>
      <x:c r="P772" s="51" t="str">
        <x:v>E1</x:v>
      </x:c>
      <x:c r="Q772" s="51" t="str">
        <x:v>Very high</x:v>
      </x:c>
      <x:c r="R772" s="51" t="str">
        <x:v>SRC-451</x:v>
      </x:c>
      <x:c r="S772" s="51" t="str">
        <x:v>Meta announced and sponsors Project Waterworth.</x:v>
      </x:c>
      <x:c r="T772" s="51" t="str">
        <x:v>Operational completion, exclusive use or ownership of every landing asset.</x:v>
      </x:c>
      <x:c r="U772" s="51" t="str">
        <x:v>The system remains under development and depends on partners and permits.</x:v>
      </x:c>
      <x:c r="V772" s="51" t="str">
        <x:v>Under development</x:v>
      </x:c>
      <x:c r="W772" s="51" t="str">
        <x:v>36;57</x:v>
      </x:c>
      <x:c r="X772" s="51" t="str">
        <x:v>2026-07-27</x:v>
      </x:c>
    </x:row>
    <x:row r="773">
      <x:c r="A773" s="51" t="str">
        <x:v>V11SUB-002</x:v>
      </x:c>
      <x:c r="B773" s="51" t="str">
        <x:v>Subsea cables and landing-station power</x:v>
      </x:c>
      <x:c r="C773" s="51" t="str">
        <x:v>ACT-PROJECTWATERWORTH</x:v>
      </x:c>
      <x:c r="D773" s="51" t="str">
        <x:v>Project Waterworth</x:v>
      </x:c>
      <x:c r="E773" s="51" t="str">
        <x:v>ACT-SUBMARINECABLELANDINGSTA</x:v>
      </x:c>
      <x:c r="F773" s="51" t="str">
        <x:v>Submarine cable landing stations</x:v>
      </x:c>
      <x:c r="G773" s="51" t="str">
        <x:v>Cable system → landing infrastructure</x:v>
      </x:c>
      <x:c r="H773" s="51" t="str">
        <x:v>Phased construction</x:v>
      </x:c>
      <x:c r="I773" s="51" t="str">
        <x:v>Cable landing and terrestrial interconnection</x:v>
      </x:c>
      <x:c r="J773" s="51" t="str">
        <x:v>INS-240</x:v>
      </x:c>
      <x:c r="K773" s="51" t="str">
        <x:v>Five-continent route</x:v>
      </x:c>
      <x:c r="L773" s="51" t="str">
        <x:v>Subsea optical signal</x:v>
      </x:c>
      <x:c r="M773" s="51" t="str">
        <x:v>Terrestrial network handoff</x:v>
      </x:c>
      <x:c r="N773" s="51" t="str">
        <x:v>Landing stations convert oceanic capacity into nationally reachable traffic</x:v>
      </x:c>
      <x:c r="O773" s="51" t="str">
        <x:v>Material; geopolitical; institutional</x:v>
      </x:c>
      <x:c r="P773" s="51" t="str">
        <x:v>S1</x:v>
      </x:c>
      <x:c r="Q773" s="51" t="str">
        <x:v>High</x:v>
      </x:c>
      <x:c r="R773" s="51" t="str">
        <x:v>SRC-451</x:v>
      </x:c>
      <x:c r="S773" s="51" t="str">
        <x:v>Project Waterworth requires multiple coastal landings.</x:v>
      </x:c>
      <x:c r="T773" s="51" t="str">
        <x:v>Meta ownership of every station or unrestricted national access.</x:v>
      </x:c>
      <x:c r="U773" s="51" t="str">
        <x:v>Landing ownership and regulation vary by country.</x:v>
      </x:c>
      <x:c r="V773" s="51" t="str">
        <x:v>Planned / phased</x:v>
      </x:c>
      <x:c r="W773" s="51" t="str">
        <x:v>36;57</x:v>
      </x:c>
      <x:c r="X773" s="51" t="str">
        <x:v>2026-07-27</x:v>
      </x:c>
    </x:row>
    <x:row r="774">
      <x:c r="A774" s="51" t="str">
        <x:v>V11SUB-003</x:v>
      </x:c>
      <x:c r="B774" s="51" t="str">
        <x:v>Subsea cables and landing-station power</x:v>
      </x:c>
      <x:c r="C774" s="51" t="str">
        <x:v>ACT-GOOGLEGLOBALNETWORK</x:v>
      </x:c>
      <x:c r="D774" s="51" t="str">
        <x:v>Google global network</x:v>
      </x:c>
      <x:c r="E774" s="51" t="str">
        <x:v>ACT-AMERICAINDIACONNECT</x:v>
      </x:c>
      <x:c r="F774" s="51" t="str">
        <x:v>America-India Connect</x:v>
      </x:c>
      <x:c r="G774" s="51" t="str">
        <x:v>Company → connectivity initiative</x:v>
      </x:c>
      <x:c r="H774" s="51" t="str">
        <x:v>2026 onward</x:v>
      </x:c>
      <x:c r="I774" s="51" t="str">
        <x:v>Project sponsorship and route development</x:v>
      </x:c>
      <x:c r="J774" s="51" t="str">
        <x:v>INS-241</x:v>
      </x:c>
      <x:c r="K774" s="51" t="str">
        <x:v>Three subsea paths and four terrestrial routes</x:v>
      </x:c>
      <x:c r="L774" s="51" t="str">
        <x:v>Capital, cloud traffic and network engineering</x:v>
      </x:c>
      <x:c r="M774" s="51" t="str">
        <x:v>Resilient US–India and Southern Hemisphere capacity</x:v>
      </x:c>
      <x:c r="N774" s="51" t="str">
        <x:v>A private cloud network can reshape international route geography through new gateways</x:v>
      </x:c>
      <x:c r="O774" s="51" t="str">
        <x:v>Material; technological; geopolitical</x:v>
      </x:c>
      <x:c r="P774" s="51" t="str">
        <x:v>E1</x:v>
      </x:c>
      <x:c r="Q774" s="51" t="str">
        <x:v>Very high</x:v>
      </x:c>
      <x:c r="R774" s="51" t="str">
        <x:v>SRC-452</x:v>
      </x:c>
      <x:c r="S774" s="51" t="str">
        <x:v>Google announced America-India Connect and its planned routes.</x:v>
      </x:c>
      <x:c r="T774" s="51" t="str">
        <x:v>Completed capacity or exclusive control of India's international traffic.</x:v>
      </x:c>
      <x:c r="U774" s="51" t="str">
        <x:v>Local partners, other cables and regulators remain independent.</x:v>
      </x:c>
      <x:c r="V774" s="51" t="str">
        <x:v>Announced / under development</x:v>
      </x:c>
      <x:c r="W774" s="51" t="str">
        <x:v>36;57</x:v>
      </x:c>
      <x:c r="X774" s="51" t="str">
        <x:v>2026-07-27</x:v>
      </x:c>
    </x:row>
    <x:row r="775">
      <x:c r="A775" s="51" t="str">
        <x:v>V11SUB-004</x:v>
      </x:c>
      <x:c r="B775" s="51" t="str">
        <x:v>Subsea cables and landing-station power</x:v>
      </x:c>
      <x:c r="C775" s="51" t="str">
        <x:v>ACT-AMERICAINDIACONNECT</x:v>
      </x:c>
      <x:c r="D775" s="51" t="str">
        <x:v>America-India Connect</x:v>
      </x:c>
      <x:c r="E775" s="51" t="str">
        <x:v>ACT-SUBMARINECABLELANDINGSTA</x:v>
      </x:c>
      <x:c r="F775" s="51" t="str">
        <x:v>Submarine cable landing stations</x:v>
      </x:c>
      <x:c r="G775" s="51" t="str">
        <x:v>Initiative → landing gateway</x:v>
      </x:c>
      <x:c r="H775" s="51" t="str">
        <x:v>Development period</x:v>
      </x:c>
      <x:c r="I775" s="51" t="str">
        <x:v>Visakhapatnam international gateway</x:v>
      </x:c>
      <x:c r="J775" s="51" t="str">
        <x:v>INS-241</x:v>
      </x:c>
      <x:c r="K775" s="51" t="str">
        <x:v>Gateway and route specific</x:v>
      </x:c>
      <x:c r="L775" s="51" t="str">
        <x:v>Subsea fiber paths</x:v>
      </x:c>
      <x:c r="M775" s="51" t="str">
        <x:v>National terrestrial and cloud connectivity</x:v>
      </x:c>
      <x:c r="N775" s="51" t="str">
        <x:v>A new landing location can reduce dependence on existing coastal hubs and alter data-center geography</x:v>
      </x:c>
      <x:c r="O775" s="51" t="str">
        <x:v>Material; geopolitical; financial</x:v>
      </x:c>
      <x:c r="P775" s="51" t="str">
        <x:v>E1</x:v>
      </x:c>
      <x:c r="Q775" s="51" t="str">
        <x:v>High</x:v>
      </x:c>
      <x:c r="R775" s="51" t="str">
        <x:v>SRC-452</x:v>
      </x:c>
      <x:c r="S775" s="51" t="str">
        <x:v>The initiative includes a new international gateway in Visakhapatnam.</x:v>
      </x:c>
      <x:c r="T775" s="51" t="str">
        <x:v>Automatic regional dominance or immunity from cable faults.</x:v>
      </x:c>
      <x:c r="U775" s="51" t="str">
        <x:v>Backhaul, power, permits and demand determine realised importance.</x:v>
      </x:c>
      <x:c r="V775" s="51" t="str">
        <x:v>Under development</x:v>
      </x:c>
      <x:c r="W775" s="51" t="str">
        <x:v>36;57</x:v>
      </x:c>
      <x:c r="X775" s="51" t="str">
        <x:v>2026-07-27</x:v>
      </x:c>
    </x:row>
    <x:row r="776">
      <x:c r="A776" s="51" t="str">
        <x:v>V11SUB-005</x:v>
      </x:c>
      <x:c r="B776" s="51" t="str">
        <x:v>Subsea cables and landing-station power</x:v>
      </x:c>
      <x:c r="C776" s="51" t="str">
        <x:v>ACT-GOOGLEGLOBALNETWORK</x:v>
      </x:c>
      <x:c r="D776" s="51" t="str">
        <x:v>Google global network</x:v>
      </x:c>
      <x:c r="E776" s="51" t="str">
        <x:v>ACT-HONOMOANA</x:v>
      </x:c>
      <x:c r="F776" s="51" t="str">
        <x:v>Honomoana</x:v>
      </x:c>
      <x:c r="G776" s="51" t="str">
        <x:v>Company → cable system</x:v>
      </x:c>
      <x:c r="H776" s="51" t="str">
        <x:v>2023 onward</x:v>
      </x:c>
      <x:c r="I776" s="51" t="str">
        <x:v>Project investment and engineering</x:v>
      </x:c>
      <x:c r="J776" s="51" t="str">
        <x:v>INS-242</x:v>
      </x:c>
      <x:c r="K776" s="51" t="str">
        <x:v>Pacific multi-route system</x:v>
      </x:c>
      <x:c r="L776" s="51" t="str">
        <x:v>Cloud traffic and capital</x:v>
      </x:c>
      <x:c r="M776" s="51" t="str">
        <x:v>New Pacific route diversity</x:v>
      </x:c>
      <x:c r="N776" s="51" t="str">
        <x:v>Private cable investment converts platform demand into regional resilience and lower-latency paths</x:v>
      </x:c>
      <x:c r="O776" s="51" t="str">
        <x:v>Material; technological; financial</x:v>
      </x:c>
      <x:c r="P776" s="51" t="str">
        <x:v>E1</x:v>
      </x:c>
      <x:c r="Q776" s="51" t="str">
        <x:v>High</x:v>
      </x:c>
      <x:c r="R776" s="51" t="str">
        <x:v>SRC-453; SRC-454</x:v>
      </x:c>
      <x:c r="S776" s="51" t="str">
        <x:v>Google and partners announced Honomoana and related Pacific routes.</x:v>
      </x:c>
      <x:c r="T776" s="51" t="str">
        <x:v>Google ownership of all Pacific connectivity or completed service at every landing.</x:v>
      </x:c>
      <x:c r="U776" s="51" t="str">
        <x:v>The programme uses multiple partners and phased delivery.</x:v>
      </x:c>
      <x:c r="V776" s="51" t="str">
        <x:v>Under construction</x:v>
      </x:c>
      <x:c r="W776" s="51" t="str">
        <x:v>36;57</x:v>
      </x:c>
      <x:c r="X776" s="51" t="str">
        <x:v>2026-07-27</x:v>
      </x:c>
    </x:row>
    <x:row r="777">
      <x:c r="A777" s="51" t="str">
        <x:v>V11SUB-006</x:v>
      </x:c>
      <x:c r="B777" s="51" t="str">
        <x:v>Subsea cables and landing-station power</x:v>
      </x:c>
      <x:c r="C777" s="51" t="str">
        <x:v>ACT-SUBMARINECABLEOWNERSANDC</x:v>
      </x:c>
      <x:c r="D777" s="51" t="str">
        <x:v>Submarine cable owners and consortia</x:v>
      </x:c>
      <x:c r="E777" s="51" t="str">
        <x:v>ACT-SUBMARINECABLEMAINTENANC</x:v>
      </x:c>
      <x:c r="F777" s="51" t="str">
        <x:v>Submarine cable maintenance providers</x:v>
      </x:c>
      <x:c r="G777" s="51" t="str">
        <x:v>Owners → repair providers</x:v>
      </x:c>
      <x:c r="H777" s="51" t="str">
        <x:v>Ongoing</x:v>
      </x:c>
      <x:c r="I777" s="51" t="str">
        <x:v>Maintenance-zone and repair contract</x:v>
      </x:c>
      <x:c r="J777" s="51" t="str"/>
      <x:c r="K777" s="51" t="str">
        <x:v>System-specific</x:v>
      </x:c>
      <x:c r="L777" s="51" t="str">
        <x:v>Cable fault location and spare equipment</x:v>
      </x:c>
      <x:c r="M777" s="51" t="str">
        <x:v>Restored optical capacity</x:v>
      </x:c>
      <x:c r="N777" s="51" t="str">
        <x:v>Repair fleets convert marine engineering capacity into network restoration</x:v>
      </x:c>
      <x:c r="O777" s="51" t="str">
        <x:v>Material; relational; geopolitical</x:v>
      </x:c>
      <x:c r="P777" s="51" t="str">
        <x:v>S1</x:v>
      </x:c>
      <x:c r="Q777" s="51" t="str">
        <x:v>High</x:v>
      </x:c>
      <x:c r="R777" s="51" t="str">
        <x:v>SRC-451; SRC-452; SRC-453</x:v>
      </x:c>
      <x:c r="S777" s="51" t="str">
        <x:v>Subsea systems require specialised repair and maintenance arrangements.</x:v>
      </x:c>
      <x:c r="T777" s="51" t="str">
        <x:v>Guaranteed rapid repair or identical contractual structures.</x:v>
      </x:c>
      <x:c r="U777" s="51" t="str">
        <x:v>Weather, permits and fault depth can prolong outages.</x:v>
      </x:c>
      <x:c r="V777" s="51" t="str">
        <x:v>Active mechanism</x:v>
      </x:c>
      <x:c r="W777" s="51" t="str">
        <x:v>36;57</x:v>
      </x:c>
      <x:c r="X777" s="51" t="str">
        <x:v>2026-07-27</x:v>
      </x:c>
    </x:row>
    <x:row r="778">
      <x:c r="A778" s="51" t="str">
        <x:v>V11SUB-007</x:v>
      </x:c>
      <x:c r="B778" s="51" t="str">
        <x:v>Subsea cables and landing-station power</x:v>
      </x:c>
      <x:c r="C778" s="51" t="str">
        <x:v>ACT-SUBMARINECABLELANDINGSTA</x:v>
      </x:c>
      <x:c r="D778" s="51" t="str">
        <x:v>Submarine cable landing stations</x:v>
      </x:c>
      <x:c r="E778" s="51" t="str">
        <x:v>ACT-FIXEDBROADBANDANDFIBEROP</x:v>
      </x:c>
      <x:c r="F778" s="51" t="str">
        <x:v>Fixed broadband and fiber operators</x:v>
      </x:c>
      <x:c r="G778" s="51" t="str">
        <x:v>Landing → terrestrial carriers</x:v>
      </x:c>
      <x:c r="H778" s="51" t="str">
        <x:v>Ongoing</x:v>
      </x:c>
      <x:c r="I778" s="51" t="str">
        <x:v>Backhaul and cross-connect</x:v>
      </x:c>
      <x:c r="J778" s="51" t="str"/>
      <x:c r="K778" s="51" t="str">
        <x:v>Capacity-specific</x:v>
      </x:c>
      <x:c r="L778" s="51" t="str">
        <x:v>International optical circuits</x:v>
      </x:c>
      <x:c r="M778" s="51" t="str">
        <x:v>Domestic and regional network reach</x:v>
      </x:c>
      <x:c r="N778" s="51" t="str">
        <x:v>A cable landing has little user value until terrestrial backhaul and peering are available</x:v>
      </x:c>
      <x:c r="O778" s="51" t="str">
        <x:v>Material; financial; relational</x:v>
      </x:c>
      <x:c r="P778" s="51" t="str">
        <x:v>S1</x:v>
      </x:c>
      <x:c r="Q778" s="51" t="str">
        <x:v>High</x:v>
      </x:c>
      <x:c r="R778" s="51" t="str">
        <x:v>SRC-452; SRC-453</x:v>
      </x:c>
      <x:c r="S778" s="51" t="str">
        <x:v>New cable initiatives include terrestrial routes and local connectivity partners.</x:v>
      </x:c>
      <x:c r="T778" s="51" t="str">
        <x:v>One operator controlling all inland traffic.</x:v>
      </x:c>
      <x:c r="U778" s="51" t="str">
        <x:v>Multiple carriers and exchange points can compete.</x:v>
      </x:c>
      <x:c r="V778" s="51" t="str">
        <x:v>Active mechanism</x:v>
      </x:c>
      <x:c r="W778" s="51" t="str">
        <x:v>36;57</x:v>
      </x:c>
      <x:c r="X778" s="51" t="str">
        <x:v>2026-07-27</x:v>
      </x:c>
    </x:row>
    <x:row r="779">
      <x:c r="A779" s="51" t="str">
        <x:v>V11TEL-001</x:v>
      </x:c>
      <x:c r="B779" s="51" t="str">
        <x:v>Universal connectivity, spectrum and access</x:v>
      </x:c>
      <x:c r="C779" s="51" t="str">
        <x:v>ACT-INTERNATIONALTELECOMMUNI</x:v>
      </x:c>
      <x:c r="D779" s="51" t="str">
        <x:v>International Telecommunication Union</x:v>
      </x:c>
      <x:c r="E779" s="51" t="str">
        <x:v>ACT-NATIONALTELECOMMUNICATIO</x:v>
      </x:c>
      <x:c r="F779" s="51" t="str">
        <x:v>National telecommunications regulators</x:v>
      </x:c>
      <x:c r="G779" s="51" t="str">
        <x:v>UN agency → regulators</x:v>
      </x:c>
      <x:c r="H779" s="51" t="str">
        <x:v>Ongoing</x:v>
      </x:c>
      <x:c r="I779" s="51" t="str">
        <x:v>Standards, statistics and policy coordination</x:v>
      </x:c>
      <x:c r="J779" s="51" t="str">
        <x:v>INS-239</x:v>
      </x:c>
      <x:c r="K779" s="51" t="str">
        <x:v>6.0 billion users online in 2025</x:v>
      </x:c>
      <x:c r="L779" s="51" t="str">
        <x:v>Global ICT evidence and member-state process</x:v>
      </x:c>
      <x:c r="M779" s="51" t="str">
        <x:v>Connectivity targets and regulatory frameworks</x:v>
      </x:c>
      <x:c r="N779" s="51" t="str">
        <x:v>International coordination makes national connectivity comparable without replacing national licensing authority</x:v>
      </x:c>
      <x:c r="O779" s="51" t="str">
        <x:v>Institutional; informational; geopolitical</x:v>
      </x:c>
      <x:c r="P779" s="51" t="str">
        <x:v>E1</x:v>
      </x:c>
      <x:c r="Q779" s="51" t="str">
        <x:v>Very high</x:v>
      </x:c>
      <x:c r="R779" s="51" t="str">
        <x:v>SRC-442; SRC-443</x:v>
      </x:c>
      <x:c r="S779" s="51" t="str">
        <x:v>ITU measures global connectivity and coordinates policy and standards.</x:v>
      </x:c>
      <x:c r="T779" s="51" t="str">
        <x:v>Direct authority to issue national licences or build domestic networks.</x:v>
      </x:c>
      <x:c r="U779" s="51" t="str">
        <x:v>Implementation remains national and market specific.</x:v>
      </x:c>
      <x:c r="V779" s="51" t="str">
        <x:v>Active</x:v>
      </x:c>
      <x:c r="W779" s="51" t="str">
        <x:v>36;57</x:v>
      </x:c>
      <x:c r="X779" s="51" t="str">
        <x:v>2026-07-27</x:v>
      </x:c>
    </x:row>
    <x:row r="780">
      <x:c r="A780" s="51" t="str">
        <x:v>V11TEL-002</x:v>
      </x:c>
      <x:c r="B780" s="51" t="str">
        <x:v>Universal connectivity, spectrum and access</x:v>
      </x:c>
      <x:c r="C780" s="51" t="str">
        <x:v>ACT-NATIONALTELECOMMUNICATIO</x:v>
      </x:c>
      <x:c r="D780" s="51" t="str">
        <x:v>National telecommunications regulators</x:v>
      </x:c>
      <x:c r="E780" s="51" t="str">
        <x:v>ACT-MOBILENETWORKOPERATORS</x:v>
      </x:c>
      <x:c r="F780" s="51" t="str">
        <x:v>Mobile network operators</x:v>
      </x:c>
      <x:c r="G780" s="51" t="str">
        <x:v>Regulator → operator</x:v>
      </x:c>
      <x:c r="H780" s="51" t="str">
        <x:v>Licence term</x:v>
      </x:c>
      <x:c r="I780" s="51" t="str">
        <x:v>Spectrum and operating licence</x:v>
      </x:c>
      <x:c r="J780" s="51" t="str">
        <x:v>INS-253</x:v>
      </x:c>
      <x:c r="K780" s="51" t="str">
        <x:v>Band- and jurisdiction-specific</x:v>
      </x:c>
      <x:c r="L780" s="51" t="str">
        <x:v>Public spectrum rights and compliance conditions</x:v>
      </x:c>
      <x:c r="M780" s="51" t="str">
        <x:v>Legal radio access and service authority</x:v>
      </x:c>
      <x:c r="N780" s="51" t="str">
        <x:v>Spectrum licensing converts a public frequency resource into a bounded commercial network right</x:v>
      </x:c>
      <x:c r="O780" s="51" t="str">
        <x:v>Institutional; material; financial</x:v>
      </x:c>
      <x:c r="P780" s="51" t="str">
        <x:v>S1</x:v>
      </x:c>
      <x:c r="Q780" s="51" t="str">
        <x:v>High</x:v>
      </x:c>
      <x:c r="R780" s="51" t="str">
        <x:v>SRC-475; SRC-476</x:v>
      </x:c>
      <x:c r="S780" s="51" t="str">
        <x:v>National regulators license radio and satellite operations.</x:v>
      </x:c>
      <x:c r="T780" s="51" t="str">
        <x:v>Ownership of the operator or guaranteed coverage quality.</x:v>
      </x:c>
      <x:c r="U780" s="51" t="str">
        <x:v>Licence conditions and market structures vary.</x:v>
      </x:c>
      <x:c r="V780" s="51" t="str">
        <x:v>Active</x:v>
      </x:c>
      <x:c r="W780" s="51" t="str">
        <x:v>36;57</x:v>
      </x:c>
      <x:c r="X780" s="51" t="str">
        <x:v>2026-07-27</x:v>
      </x:c>
    </x:row>
    <x:row r="781">
      <x:c r="A781" s="51" t="str">
        <x:v>V11TEL-003</x:v>
      </x:c>
      <x:c r="B781" s="51" t="str">
        <x:v>Universal connectivity, spectrum and access</x:v>
      </x:c>
      <x:c r="C781" s="51" t="str">
        <x:v>ACT-MOBILENETWORKOPERATORS</x:v>
      </x:c>
      <x:c r="D781" s="51" t="str">
        <x:v>Mobile network operators</x:v>
      </x:c>
      <x:c r="E781" s="51" t="str">
        <x:v>ACT-INTERNETUSERSANDDEVICES</x:v>
      </x:c>
      <x:c r="F781" s="51" t="str">
        <x:v>Internet users and devices</x:v>
      </x:c>
      <x:c r="G781" s="51" t="str">
        <x:v>Operator → users</x:v>
      </x:c>
      <x:c r="H781" s="51" t="str">
        <x:v>Ongoing</x:v>
      </x:c>
      <x:c r="I781" s="51" t="str">
        <x:v>Mobile access service</x:v>
      </x:c>
      <x:c r="J781" s="51" t="str">
        <x:v>INS-239</x:v>
      </x:c>
      <x:c r="K781" s="51" t="str">
        <x:v>Coverage- and plan-specific</x:v>
      </x:c>
      <x:c r="L781" s="51" t="str">
        <x:v>Licensed spectrum, towers and backhaul</x:v>
      </x:c>
      <x:c r="M781" s="51" t="str">
        <x:v>Retail Internet connectivity</x:v>
      </x:c>
      <x:c r="N781" s="51" t="str">
        <x:v>Radio access converts spectrum and infrastructure into household connectivity</x:v>
      </x:c>
      <x:c r="O781" s="51" t="str">
        <x:v>Material; financial; relational</x:v>
      </x:c>
      <x:c r="P781" s="51" t="str">
        <x:v>S1</x:v>
      </x:c>
      <x:c r="Q781" s="51" t="str">
        <x:v>High</x:v>
      </x:c>
      <x:c r="R781" s="51" t="str">
        <x:v>SRC-442; SRC-443; SRC-490</x:v>
      </x:c>
      <x:c r="S781" s="51" t="str">
        <x:v>Mobile broadband is a primary route to Internet access globally.</x:v>
      </x:c>
      <x:c r="T781" s="51" t="str">
        <x:v>Affordable, high-quality or unrestricted access for every covered person.</x:v>
      </x:c>
      <x:c r="U781" s="51" t="str">
        <x:v>Devices, income, skills and policy affect meaningful use.</x:v>
      </x:c>
      <x:c r="V781" s="51" t="str">
        <x:v>Active</x:v>
      </x:c>
      <x:c r="W781" s="51" t="str">
        <x:v>36;57</x:v>
      </x:c>
      <x:c r="X781" s="51" t="str">
        <x:v>2026-07-27</x:v>
      </x:c>
    </x:row>
    <x:row r="782">
      <x:c r="A782" s="51" t="str">
        <x:v>V11TEL-004</x:v>
      </x:c>
      <x:c r="B782" s="51" t="str">
        <x:v>Universal connectivity, spectrum and access</x:v>
      </x:c>
      <x:c r="C782" s="51" t="str">
        <x:v>ACT-FIXEDBROADBANDANDFIBEROP</x:v>
      </x:c>
      <x:c r="D782" s="51" t="str">
        <x:v>Fixed broadband and fiber operators</x:v>
      </x:c>
      <x:c r="E782" s="51" t="str">
        <x:v>ACT-INTERNETUSERSANDDEVICES</x:v>
      </x:c>
      <x:c r="F782" s="51" t="str">
        <x:v>Internet users and devices</x:v>
      </x:c>
      <x:c r="G782" s="51" t="str">
        <x:v>Operator → users</x:v>
      </x:c>
      <x:c r="H782" s="51" t="str">
        <x:v>Ongoing</x:v>
      </x:c>
      <x:c r="I782" s="51" t="str">
        <x:v>Fixed access and backhaul</x:v>
      </x:c>
      <x:c r="J782" s="51" t="str">
        <x:v>INS-239</x:v>
      </x:c>
      <x:c r="K782" s="51" t="str">
        <x:v>Jurisdiction-specific</x:v>
      </x:c>
      <x:c r="L782" s="51" t="str">
        <x:v>Local loops, metro fiber and transit</x:v>
      </x:c>
      <x:c r="M782" s="51" t="str">
        <x:v>Residential and enterprise connectivity</x:v>
      </x:c>
      <x:c r="N782" s="51" t="str">
        <x:v>Fiber operators convert rights-of-way and capital into high-capacity local access</x:v>
      </x:c>
      <x:c r="O782" s="51" t="str">
        <x:v>Material; financial; institutional</x:v>
      </x:c>
      <x:c r="P782" s="51" t="str">
        <x:v>S1</x:v>
      </x:c>
      <x:c r="Q782" s="51" t="str">
        <x:v>High</x:v>
      </x:c>
      <x:c r="R782" s="51" t="str">
        <x:v>SRC-443</x:v>
      </x:c>
      <x:c r="S782" s="51" t="str">
        <x:v>Fixed networks are part of universal and meaningful connectivity.</x:v>
      </x:c>
      <x:c r="T782" s="51" t="str">
        <x:v>Universal service or competition in every locality.</x:v>
      </x:c>
      <x:c r="U782" s="51" t="str">
        <x:v>Deployment economics differ sharply by density.</x:v>
      </x:c>
      <x:c r="V782" s="51" t="str">
        <x:v>Active</x:v>
      </x:c>
      <x:c r="W782" s="51" t="str">
        <x:v>36;57</x:v>
      </x:c>
      <x:c r="X782" s="51" t="str">
        <x:v>2026-07-27</x:v>
      </x:c>
    </x:row>
    <x:row r="783">
      <x:c r="A783" s="51" t="str">
        <x:v>V12ADS-001</x:v>
      </x:c>
      <x:c r="B783" s="51" t="str">
        <x:v>Advertising auctions, attention and consent</x:v>
      </x:c>
      <x:c r="C783" s="51" t="str">
        <x:v>ACT-ADVERTISERS</x:v>
      </x:c>
      <x:c r="D783" s="51" t="str">
        <x:v>Advertisers</x:v>
      </x:c>
      <x:c r="E783" s="51" t="str">
        <x:v>ACT-GOOGLEADS</x:v>
      </x:c>
      <x:c r="F783" s="51" t="str">
        <x:v>Google Ads</x:v>
      </x:c>
      <x:c r="G783" s="51" t="str">
        <x:v>Advertiser → auction platform</x:v>
      </x:c>
      <x:c r="H783" s="51" t="str">
        <x:v>Per impression opportunity</x:v>
      </x:c>
      <x:c r="I783" s="51" t="str">
        <x:v>Bid, targeting and creative submission</x:v>
      </x:c>
      <x:c r="J783" s="51" t="str">
        <x:v>INS-264</x:v>
      </x:c>
      <x:c r="K783" s="51" t="str">
        <x:v>Auction-specific</x:v>
      </x:c>
      <x:c r="L783" s="51" t="str">
        <x:v>Bid, ad quality and targeting parameters</x:v>
      </x:c>
      <x:c r="M783" s="51" t="str">
        <x:v>Eligibility, rank, price and delivery</x:v>
      </x:c>
      <x:c r="N783" s="51" t="str">
        <x:v>The platform converts advertiser willingness to pay and predicted relevance into attention allocation</x:v>
      </x:c>
      <x:c r="O783" s="51" t="str">
        <x:v>Financial; informational; adaptive</x:v>
      </x:c>
      <x:c r="P783" s="51" t="str">
        <x:v>E1</x:v>
      </x:c>
      <x:c r="Q783" s="51" t="str">
        <x:v>Very high</x:v>
      </x:c>
      <x:c r="R783" s="51" t="str">
        <x:v>SRC-511; SRC-531</x:v>
      </x:c>
      <x:c r="S783" s="51" t="str">
        <x:v>Google runs an auction for eligible ad opportunities and ranks ads using multiple signals.</x:v>
      </x:c>
      <x:c r="T783" s="51" t="str">
        <x:v>Highest nominal bid always winning or advertiser ownership of the user relationship.</x:v>
      </x:c>
      <x:c r="U783" s="51" t="str">
        <x:v>Quality, thresholds, context and competition influence the outcome.</x:v>
      </x:c>
      <x:c r="V783" s="51" t="str">
        <x:v>Active</x:v>
      </x:c>
      <x:c r="W783" s="51" t="str">
        <x:v>43;57</x:v>
      </x:c>
      <x:c r="X783" s="51" t="str">
        <x:v>2026-07-27</x:v>
      </x:c>
    </x:row>
    <x:row r="784">
      <x:c r="A784" s="51" t="str">
        <x:v>V12ADS-002</x:v>
      </x:c>
      <x:c r="B784" s="51" t="str">
        <x:v>Advertising auctions, attention and consent</x:v>
      </x:c>
      <x:c r="C784" s="51" t="str">
        <x:v>ACT-PUBLISHERSANDAPPINVENTOR</x:v>
      </x:c>
      <x:c r="D784" s="51" t="str">
        <x:v>Publishers and app inventory suppliers</x:v>
      </x:c>
      <x:c r="E784" s="51" t="str">
        <x:v>ACT-GOOGLEADS</x:v>
      </x:c>
      <x:c r="F784" s="51" t="str">
        <x:v>Google Ads</x:v>
      </x:c>
      <x:c r="G784" s="51" t="str">
        <x:v>Publisher/inventory → auction platform</x:v>
      </x:c>
      <x:c r="H784" s="51" t="str">
        <x:v>Ongoing</x:v>
      </x:c>
      <x:c r="I784" s="51" t="str">
        <x:v>Ad inventory supply and monetisation</x:v>
      </x:c>
      <x:c r="J784" s="51" t="str">
        <x:v>INS-264</x:v>
      </x:c>
      <x:c r="K784" s="51" t="str">
        <x:v>Placement-specific</x:v>
      </x:c>
      <x:c r="L784" s="51" t="str">
        <x:v>Page, app or video opportunity</x:v>
      </x:c>
      <x:c r="M784" s="51" t="str">
        <x:v>Auctioned advertising impression and revenue share</x:v>
      </x:c>
      <x:c r="N784" s="51" t="str">
        <x:v>Publisher attention becomes standardised inventory within an automated marketplace</x:v>
      </x:c>
      <x:c r="O784" s="51" t="str">
        <x:v>Financial; informational; relational</x:v>
      </x:c>
      <x:c r="P784" s="51" t="str">
        <x:v>E1</x:v>
      </x:c>
      <x:c r="Q784" s="51" t="str">
        <x:v>High</x:v>
      </x:c>
      <x:c r="R784" s="51" t="str">
        <x:v>SRC-511; SRC-531</x:v>
      </x:c>
      <x:c r="S784" s="51" t="str">
        <x:v>Google Ads and related systems allocate ads to eligible inventory.</x:v>
      </x:c>
      <x:c r="T784" s="51" t="str">
        <x:v>Google ownership of the publisher or all user data.</x:v>
      </x:c>
      <x:c r="U784" s="51" t="str">
        <x:v>Publisher contracts and implementation define access.</x:v>
      </x:c>
      <x:c r="V784" s="51" t="str">
        <x:v>Active</x:v>
      </x:c>
      <x:c r="W784" s="51" t="str">
        <x:v>43;57</x:v>
      </x:c>
      <x:c r="X784" s="51" t="str">
        <x:v>2026-07-27</x:v>
      </x:c>
    </x:row>
    <x:row r="785">
      <x:c r="A785" s="51" t="str">
        <x:v>V12ADS-003</x:v>
      </x:c>
      <x:c r="B785" s="51" t="str">
        <x:v>Advertising auctions, attention and consent</x:v>
      </x:c>
      <x:c r="C785" s="51" t="str">
        <x:v>ACT-ADVERTISERS</x:v>
      </x:c>
      <x:c r="D785" s="51" t="str">
        <x:v>Advertisers</x:v>
      </x:c>
      <x:c r="E785" s="51" t="str">
        <x:v>ACT-METAADS</x:v>
      </x:c>
      <x:c r="F785" s="51" t="str">
        <x:v>Meta Ads</x:v>
      </x:c>
      <x:c r="G785" s="51" t="str">
        <x:v>Advertiser → auction platform</x:v>
      </x:c>
      <x:c r="H785" s="51" t="str">
        <x:v>Per impression opportunity</x:v>
      </x:c>
      <x:c r="I785" s="51" t="str">
        <x:v>Bid, budget, objective and creative</x:v>
      </x:c>
      <x:c r="J785" s="51" t="str">
        <x:v>INS-265</x:v>
      </x:c>
      <x:c r="K785" s="51" t="str">
        <x:v>Approximately $196.18 billion actual Meta advertising revenue in 2025</x:v>
      </x:c>
      <x:c r="L785" s="51" t="str">
        <x:v>Campaign objective and predicted response</x:v>
      </x:c>
      <x:c r="M785" s="51" t="str">
        <x:v>Ad delivery across Meta applications</x:v>
      </x:c>
      <x:c r="N785" s="51" t="str">
        <x:v>Meta converts user attention and machine-learning predictions into advertiser outcomes</x:v>
      </x:c>
      <x:c r="O785" s="51" t="str">
        <x:v>Financial; informational; adaptive</x:v>
      </x:c>
      <x:c r="P785" s="51" t="str">
        <x:v>E1</x:v>
      </x:c>
      <x:c r="Q785" s="51" t="str">
        <x:v>Very high</x:v>
      </x:c>
      <x:c r="R785" s="51" t="str">
        <x:v>SRC-508; SRC-509; SRC-512; SRC-532</x:v>
      </x:c>
      <x:c r="S785" s="51" t="str">
        <x:v>Meta generates substantially all revenue from advertising and uses auction-based delivery.</x:v>
      </x:c>
      <x:c r="T785" s="51" t="str">
        <x:v>Advertiser access to raw user identity or a simple highest-bid auction.</x:v>
      </x:c>
      <x:c r="U785" s="51" t="str">
        <x:v>Delivery optimises predicted value under platform rules.</x:v>
      </x:c>
      <x:c r="V785" s="51" t="str">
        <x:v>Active</x:v>
      </x:c>
      <x:c r="W785" s="51" t="str">
        <x:v>43;57</x:v>
      </x:c>
      <x:c r="X785" s="51" t="str">
        <x:v>2026-07-27</x:v>
      </x:c>
    </x:row>
    <x:row r="786">
      <x:c r="A786" s="51" t="str">
        <x:v>V12ADS-004</x:v>
      </x:c>
      <x:c r="B786" s="51" t="str">
        <x:v>Advertising auctions, attention and consent</x:v>
      </x:c>
      <x:c r="C786" s="51" t="str">
        <x:v>ACT-METAADS</x:v>
      </x:c>
      <x:c r="D786" s="51" t="str">
        <x:v>Meta Ads</x:v>
      </x:c>
      <x:c r="E786" s="51" t="str">
        <x:v>ACT-INTERNETUSERSANDDEVICES</x:v>
      </x:c>
      <x:c r="F786" s="51" t="str">
        <x:v>Internet users and devices</x:v>
      </x:c>
      <x:c r="G786" s="51" t="str">
        <x:v>Platform → user attention</x:v>
      </x:c>
      <x:c r="H786" s="51" t="str">
        <x:v>Per impression</x:v>
      </x:c>
      <x:c r="I786" s="51" t="str">
        <x:v>Ranking and delivery decision</x:v>
      </x:c>
      <x:c r="J786" s="51" t="str">
        <x:v>INS-265</x:v>
      </x:c>
      <x:c r="K786" s="51" t="str">
        <x:v>Billions of user interactions</x:v>
      </x:c>
      <x:c r="L786" s="51" t="str">
        <x:v>User context, predicted action and ad inventory</x:v>
      </x:c>
      <x:c r="M786" s="51" t="str">
        <x:v>Personalised or contextual ad impression</x:v>
      </x:c>
      <x:c r="N786" s="51" t="str">
        <x:v>Attention is allocated through a platform model that learns from responses</x:v>
      </x:c>
      <x:c r="O786" s="51" t="str">
        <x:v>Informational; adaptive; financial</x:v>
      </x:c>
      <x:c r="P786" s="51" t="str">
        <x:v>E1</x:v>
      </x:c>
      <x:c r="Q786" s="51" t="str">
        <x:v>High</x:v>
      </x:c>
      <x:c r="R786" s="51" t="str">
        <x:v>SRC-512; SRC-532</x:v>
      </x:c>
      <x:c r="S786" s="51" t="str">
        <x:v>Meta states that ad delivery uses auctions and machine learning.</x:v>
      </x:c>
      <x:c r="T786" s="51" t="str">
        <x:v>Accurate inference of every user's preference or consent to all data uses.</x:v>
      </x:c>
      <x:c r="U786" s="51" t="str">
        <x:v>Predictions are probabilistic and policy-bounded.</x:v>
      </x:c>
      <x:c r="V786" s="51" t="str">
        <x:v>Active</x:v>
      </x:c>
      <x:c r="W786" s="51" t="str">
        <x:v>43;57</x:v>
      </x:c>
      <x:c r="X786" s="51" t="str">
        <x:v>2026-07-27</x:v>
      </x:c>
    </x:row>
    <x:row r="787">
      <x:c r="A787" s="51" t="str">
        <x:v>V12ADS-005</x:v>
      </x:c>
      <x:c r="B787" s="51" t="str">
        <x:v>Advertising auctions, attention and consent</x:v>
      </x:c>
      <x:c r="C787" s="51" t="str">
        <x:v>ACT-APPLEAPPTRACKINGTRANSPAR</x:v>
      </x:c>
      <x:c r="D787" s="51" t="str">
        <x:v>Apple App Tracking Transparency</x:v>
      </x:c>
      <x:c r="E787" s="51" t="str">
        <x:v>ACT-MOBILEAPPLICATIONDEVELOP</x:v>
      </x:c>
      <x:c r="F787" s="51" t="str">
        <x:v>Mobile application developers</x:v>
      </x:c>
      <x:c r="G787" s="51" t="str">
        <x:v>Platform consent rule → developer</x:v>
      </x:c>
      <x:c r="H787" s="51" t="str">
        <x:v>Per app and device</x:v>
      </x:c>
      <x:c r="I787" s="51" t="str">
        <x:v>Tracking-authorisation requirement</x:v>
      </x:c>
      <x:c r="J787" s="51" t="str">
        <x:v>INS-266</x:v>
      </x:c>
      <x:c r="K787" s="51" t="str">
        <x:v>Permission-state specific</x:v>
      </x:c>
      <x:c r="L787" s="51" t="str">
        <x:v>Developer tracking request</x:v>
      </x:c>
      <x:c r="M787" s="51" t="str">
        <x:v>Authorised, denied, restricted or undetermined status</x:v>
      </x:c>
      <x:c r="N787" s="51" t="str">
        <x:v>Operating-system policy converts user consent into access or denial of cross-company tracking identifiers</x:v>
      </x:c>
      <x:c r="O787" s="51" t="str">
        <x:v>Institutional; informational; enforcement</x:v>
      </x:c>
      <x:c r="P787" s="51" t="str">
        <x:v>E1</x:v>
      </x:c>
      <x:c r="Q787" s="51" t="str">
        <x:v>Very high</x:v>
      </x:c>
      <x:c r="R787" s="51" t="str">
        <x:v>SRC-513; SRC-514</x:v>
      </x:c>
      <x:c r="S787" s="51" t="str">
        <x:v>Apple requires permission for defined tracking across other companies' apps and websites.</x:v>
      </x:c>
      <x:c r="T787" s="51" t="str">
        <x:v>Prevention of all measurement, first-party analytics or server-side data use.</x:v>
      </x:c>
      <x:c r="U787" s="51" t="str">
        <x:v>The policy has defined scope and exceptions.</x:v>
      </x:c>
      <x:c r="V787" s="51" t="str">
        <x:v>Active</x:v>
      </x:c>
      <x:c r="W787" s="51" t="str">
        <x:v>43;57</x:v>
      </x:c>
      <x:c r="X787" s="51" t="str">
        <x:v>2026-07-27</x:v>
      </x:c>
    </x:row>
    <x:row r="788">
      <x:c r="A788" s="51" t="str">
        <x:v>V12ADS-006</x:v>
      </x:c>
      <x:c r="B788" s="51" t="str">
        <x:v>Advertising auctions, attention and consent</x:v>
      </x:c>
      <x:c r="C788" s="51" t="str">
        <x:v>ACT-GOOGLEPRIVACYSANDBOX</x:v>
      </x:c>
      <x:c r="D788" s="51" t="str">
        <x:v>Google Privacy Sandbox</x:v>
      </x:c>
      <x:c r="E788" s="51" t="str">
        <x:v>ACT-ADVERTISERS</x:v>
      </x:c>
      <x:c r="F788" s="51" t="str">
        <x:v>Advertisers</x:v>
      </x:c>
      <x:c r="G788" s="51" t="str">
        <x:v>Privacy API programme → demand side</x:v>
      </x:c>
      <x:c r="H788" s="51" t="str">
        <x:v>Current 2026</x:v>
      </x:c>
      <x:c r="I788" s="51" t="str">
        <x:v>Privacy-focused advertising interfaces</x:v>
      </x:c>
      <x:c r="J788" s="51" t="str">
        <x:v>INS-267</x:v>
      </x:c>
      <x:c r="K788" s="51" t="str">
        <x:v>API-specific</x:v>
      </x:c>
      <x:c r="L788" s="51" t="str">
        <x:v>Browser-provided signals and campaign data</x:v>
      </x:c>
      <x:c r="M788" s="51" t="str">
        <x:v>Targeting or measurement without traditional cross-site identifiers</x:v>
      </x:c>
      <x:c r="N788" s="51" t="str">
        <x:v>Browser architecture can reshape which advertising actors retain measurable signals</x:v>
      </x:c>
      <x:c r="O788" s="51" t="str">
        <x:v>Informational; technological; institutional</x:v>
      </x:c>
      <x:c r="P788" s="51" t="str">
        <x:v>E1</x:v>
      </x:c>
      <x:c r="Q788" s="51" t="str">
        <x:v>High</x:v>
      </x:c>
      <x:c r="R788" s="51" t="str">
        <x:v>SRC-515</x:v>
      </x:c>
      <x:c r="S788" s="51" t="str">
        <x:v>Google maintains privacy-focused advertising APIs and programme updates.</x:v>
      </x:c>
      <x:c r="T788" s="51" t="str">
        <x:v>A completed elimination of cookies or guaranteed privacy and market neutrality.</x:v>
      </x:c>
      <x:c r="U788" s="51" t="str">
        <x:v>The programme remains evolving and implementation-dependent.</x:v>
      </x:c>
      <x:c r="V788" s="51" t="str">
        <x:v>Active/evolving</x:v>
      </x:c>
      <x:c r="W788" s="51" t="str">
        <x:v>43;57</x:v>
      </x:c>
      <x:c r="X788" s="51" t="str">
        <x:v>2026-07-27</x:v>
      </x:c>
    </x:row>
    <x:row r="789">
      <x:c r="A789" s="51" t="str">
        <x:v>V12ADS-007</x:v>
      </x:c>
      <x:c r="B789" s="51" t="str">
        <x:v>Advertising auctions, attention and consent</x:v>
      </x:c>
      <x:c r="C789" s="51" t="str">
        <x:v>ACT-GOOGLEPRIVACYSANDBOX</x:v>
      </x:c>
      <x:c r="D789" s="51" t="str">
        <x:v>Google Privacy Sandbox</x:v>
      </x:c>
      <x:c r="E789" s="51" t="str">
        <x:v>ACT-PUBLISHERSANDAPPINVENTOR</x:v>
      </x:c>
      <x:c r="F789" s="51" t="str">
        <x:v>Publishers and app inventory suppliers</x:v>
      </x:c>
      <x:c r="G789" s="51" t="str">
        <x:v>Privacy API programme → supply side</x:v>
      </x:c>
      <x:c r="H789" s="51" t="str">
        <x:v>Current 2026</x:v>
      </x:c>
      <x:c r="I789" s="51" t="str">
        <x:v>Publisher and browser integration</x:v>
      </x:c>
      <x:c r="J789" s="51" t="str">
        <x:v>INS-267</x:v>
      </x:c>
      <x:c r="K789" s="51" t="str">
        <x:v>API-specific</x:v>
      </x:c>
      <x:c r="L789" s="51" t="str">
        <x:v>Publisher inventory and browser signals</x:v>
      </x:c>
      <x:c r="M789" s="51" t="str">
        <x:v>Advertising monetisation and measurement interfaces</x:v>
      </x:c>
      <x:c r="N789" s="51" t="str">
        <x:v>Browser-level APIs move part of ad-market governance into client software</x:v>
      </x:c>
      <x:c r="O789" s="51" t="str">
        <x:v>Informational; technological; financial</x:v>
      </x:c>
      <x:c r="P789" s="51" t="str">
        <x:v>S1</x:v>
      </x:c>
      <x:c r="Q789" s="51" t="str">
        <x:v>High</x:v>
      </x:c>
      <x:c r="R789" s="51" t="str">
        <x:v>SRC-515</x:v>
      </x:c>
      <x:c r="S789" s="51" t="str">
        <x:v>The programme includes private advertising and measurement interfaces.</x:v>
      </x:c>
      <x:c r="T789" s="51" t="str">
        <x:v>Google ownership of publisher content or guaranteed revenue preservation.</x:v>
      </x:c>
      <x:c r="U789" s="51" t="str">
        <x:v>Publisher outcomes depend on adoption, competition and policy.</x:v>
      </x:c>
      <x:c r="V789" s="51" t="str">
        <x:v>Active/evolving</x:v>
      </x:c>
      <x:c r="W789" s="51" t="str">
        <x:v>43;57</x:v>
      </x:c>
      <x:c r="X789" s="51" t="str">
        <x:v>2026-07-27</x:v>
      </x:c>
    </x:row>
    <x:row r="790">
      <x:c r="A790" s="51" t="str">
        <x:v>V12DATA-001</x:v>
      </x:c>
      <x:c r="B790" s="51" t="str">
        <x:v>Identity resolution and commercial data collaboration</x:v>
      </x:c>
      <x:c r="C790" s="51" t="str">
        <x:v>ACT-THIRDPARTYDATAPROVIDERS</x:v>
      </x:c>
      <x:c r="D790" s="51" t="str">
        <x:v>Third-party data providers</x:v>
      </x:c>
      <x:c r="E790" s="51" t="str">
        <x:v>ACT-LIVERAMP</x:v>
      </x:c>
      <x:c r="F790" s="51" t="str">
        <x:v>LiveRamp</x:v>
      </x:c>
      <x:c r="G790" s="51" t="str">
        <x:v>Data provider → collaboration network</x:v>
      </x:c>
      <x:c r="H790" s="51" t="str">
        <x:v>Ongoing</x:v>
      </x:c>
      <x:c r="I790" s="51" t="str">
        <x:v>Data marketplace and identity connection</x:v>
      </x:c>
      <x:c r="J790" s="51" t="str">
        <x:v>INS-268</x:v>
      </x:c>
      <x:c r="K790" s="51" t="str">
        <x:v>225+ data providers described in fiscal 2026 filing</x:v>
      </x:c>
      <x:c r="L790" s="51" t="str">
        <x:v>Audience and attribute data</x:v>
      </x:c>
      <x:c r="M790" s="51" t="str">
        <x:v>RampID-connected data product</x:v>
      </x:c>
      <x:c r="N790" s="51" t="str">
        <x:v>Data suppliers convert heterogeneous records into interoperable commercial audience signals</x:v>
      </x:c>
      <x:c r="O790" s="51" t="str">
        <x:v>Informational; financial; relational</x:v>
      </x:c>
      <x:c r="P790" s="51" t="str">
        <x:v>E1</x:v>
      </x:c>
      <x:c r="Q790" s="51" t="str">
        <x:v>Very high</x:v>
      </x:c>
      <x:c r="R790" s="51" t="str">
        <x:v>SRC-516</x:v>
      </x:c>
      <x:c r="S790" s="51" t="str">
        <x:v>LiveRamp reports more than 225 data providers and a data marketplace.</x:v>
      </x:c>
      <x:c r="T790" s="51" t="str">
        <x:v>Accuracy of every record or consent for every downstream use.</x:v>
      </x:c>
      <x:c r="U790" s="51" t="str">
        <x:v>Data quality, rights and jurisdiction differ by source.</x:v>
      </x:c>
      <x:c r="V790" s="51" t="str">
        <x:v>Active</x:v>
      </x:c>
      <x:c r="W790" s="51" t="str">
        <x:v>43;57</x:v>
      </x:c>
      <x:c r="X790" s="51" t="str">
        <x:v>2026-07-27</x:v>
      </x:c>
    </x:row>
    <x:row r="791">
      <x:c r="A791" s="51" t="str">
        <x:v>V12DATA-002</x:v>
      </x:c>
      <x:c r="B791" s="51" t="str">
        <x:v>Identity resolution and commercial data collaboration</x:v>
      </x:c>
      <x:c r="C791" s="51" t="str">
        <x:v>ACT-LIVERAMP</x:v>
      </x:c>
      <x:c r="D791" s="51" t="str">
        <x:v>LiveRamp</x:v>
      </x:c>
      <x:c r="E791" s="51" t="str">
        <x:v>ACT-RAMPID</x:v>
      </x:c>
      <x:c r="F791" s="51" t="str">
        <x:v>RampID</x:v>
      </x:c>
      <x:c r="G791" s="51" t="str">
        <x:v>Platform → identity layer</x:v>
      </x:c>
      <x:c r="H791" s="51" t="str">
        <x:v>Ongoing</x:v>
      </x:c>
      <x:c r="I791" s="51" t="str">
        <x:v>Deterministic and pseudonymous identity resolution</x:v>
      </x:c>
      <x:c r="J791" s="51" t="str">
        <x:v>INS-268</x:v>
      </x:c>
      <x:c r="K791" s="51" t="str">
        <x:v>500+ ecosystem partners</x:v>
      </x:c>
      <x:c r="L791" s="51" t="str">
        <x:v>Offline and online identifiers</x:v>
      </x:c>
      <x:c r="M791" s="51" t="str">
        <x:v>Portable pseudonymous identity link</x:v>
      </x:c>
      <x:c r="N791" s="51" t="str">
        <x:v>An identity graph converts separate identifiers into a reusable cross-system matching key</x:v>
      </x:c>
      <x:c r="O791" s="51" t="str">
        <x:v>Informational; technological; financial</x:v>
      </x:c>
      <x:c r="P791" s="51" t="str">
        <x:v>E1</x:v>
      </x:c>
      <x:c r="Q791" s="51" t="str">
        <x:v>Very high</x:v>
      </x:c>
      <x:c r="R791" s="51" t="str">
        <x:v>SRC-516</x:v>
      </x:c>
      <x:c r="S791" s="51" t="str">
        <x:v>LiveRamp describes deterministic identity resolution and RampID connectivity.</x:v>
      </x:c>
      <x:c r="T791" s="51" t="str">
        <x:v>A natural or infallible identity, or public legal identity credential.</x:v>
      </x:c>
      <x:c r="U791" s="51" t="str">
        <x:v>Identity resolution is probabilistic or rules-based commercial infrastructure.</x:v>
      </x:c>
      <x:c r="V791" s="51" t="str">
        <x:v>Active</x:v>
      </x:c>
      <x:c r="W791" s="51" t="str">
        <x:v>43;57</x:v>
      </x:c>
      <x:c r="X791" s="51" t="str">
        <x:v>2026-07-27</x:v>
      </x:c>
    </x:row>
    <x:row r="792">
      <x:c r="A792" s="51" t="str">
        <x:v>V12DATA-003</x:v>
      </x:c>
      <x:c r="B792" s="51" t="str">
        <x:v>Identity resolution and commercial data collaboration</x:v>
      </x:c>
      <x:c r="C792" s="51" t="str">
        <x:v>ACT-ADVERTISERS</x:v>
      </x:c>
      <x:c r="D792" s="51" t="str">
        <x:v>Advertisers</x:v>
      </x:c>
      <x:c r="E792" s="51" t="str">
        <x:v>ACT-LIVERAMP</x:v>
      </x:c>
      <x:c r="F792" s="51" t="str">
        <x:v>LiveRamp</x:v>
      </x:c>
      <x:c r="G792" s="51" t="str">
        <x:v>Brand → collaboration network</x:v>
      </x:c>
      <x:c r="H792" s="51" t="str">
        <x:v>Ongoing</x:v>
      </x:c>
      <x:c r="I792" s="51" t="str">
        <x:v>First-party data onboarding and collaboration</x:v>
      </x:c>
      <x:c r="J792" s="51" t="str">
        <x:v>INS-268</x:v>
      </x:c>
      <x:c r="K792" s="51" t="str">
        <x:v>846 direct subscription customers reported on investor portal around 2026</x:v>
      </x:c>
      <x:c r="L792" s="51" t="str">
        <x:v>Customer and prospect records</x:v>
      </x:c>
      <x:c r="M792" s="51" t="str">
        <x:v>Matched audiences and measurement data</x:v>
      </x:c>
      <x:c r="N792" s="51" t="str">
        <x:v>A brand converts its customer data into addressable and measurable media audiences</x:v>
      </x:c>
      <x:c r="O792" s="51" t="str">
        <x:v>Informational; financial; relational</x:v>
      </x:c>
      <x:c r="P792" s="51" t="str">
        <x:v>E1</x:v>
      </x:c>
      <x:c r="Q792" s="51" t="str">
        <x:v>High</x:v>
      </x:c>
      <x:c r="R792" s="51" t="str">
        <x:v>SRC-516; SRC-517</x:v>
      </x:c>
      <x:c r="S792" s="51" t="str">
        <x:v>LiveRamp provides first-party data unification and connectivity to marketing partners.</x:v>
      </x:c>
      <x:c r="T792" s="51" t="str">
        <x:v>Advertiser receipt of partners' raw customer databases.</x:v>
      </x:c>
      <x:c r="U792" s="51" t="str">
        <x:v>Clean-room and identity workflows may limit direct disclosure.</x:v>
      </x:c>
      <x:c r="V792" s="51" t="str">
        <x:v>Active</x:v>
      </x:c>
      <x:c r="W792" s="51" t="str">
        <x:v>43;57</x:v>
      </x:c>
      <x:c r="X792" s="51" t="str">
        <x:v>2026-07-27</x:v>
      </x:c>
    </x:row>
    <x:row r="793">
      <x:c r="A793" s="51" t="str">
        <x:v>V12DATA-004</x:v>
      </x:c>
      <x:c r="B793" s="51" t="str">
        <x:v>Identity resolution and commercial data collaboration</x:v>
      </x:c>
      <x:c r="C793" s="51" t="str">
        <x:v>ACT-PUBLICISGROUPE</x:v>
      </x:c>
      <x:c r="D793" s="51" t="str">
        <x:v>Publicis Groupe</x:v>
      </x:c>
      <x:c r="E793" s="51" t="str">
        <x:v>ACT-LIVERAMP</x:v>
      </x:c>
      <x:c r="F793" s="51" t="str">
        <x:v>LiveRamp</x:v>
      </x:c>
      <x:c r="G793" s="51" t="str">
        <x:v>Acquirer → data-collaboration company</x:v>
      </x:c>
      <x:c r="H793" s="51" t="str">
        <x:v>2026</x:v>
      </x:c>
      <x:c r="I793" s="51" t="str">
        <x:v>Definitive all-cash acquisition agreement</x:v>
      </x:c>
      <x:c r="J793" s="51" t="str">
        <x:v>INS-268</x:v>
      </x:c>
      <x:c r="K793" s="51" t="str">
        <x:v>$2.5 billion equity value announced</x:v>
      </x:c>
      <x:c r="L793" s="51" t="str">
        <x:v>Acquisition capital and regulatory process</x:v>
      </x:c>
      <x:c r="M793" s="51" t="str">
        <x:v>Potential ownership of LiveRamp</x:v>
      </x:c>
      <x:c r="N793" s="51" t="str">
        <x:v>An agency holding company seeks to internalise identity and data-collaboration infrastructure</x:v>
      </x:c>
      <x:c r="O793" s="51" t="str">
        <x:v>Ownership; financial; relational</x:v>
      </x:c>
      <x:c r="P793" s="51" t="str">
        <x:v>E1</x:v>
      </x:c>
      <x:c r="Q793" s="51" t="str">
        <x:v>Very high</x:v>
      </x:c>
      <x:c r="R793" s="51" t="str">
        <x:v>SRC-517</x:v>
      </x:c>
      <x:c r="S793" s="51" t="str">
        <x:v>LiveRamp announced a definitive agreement to be acquired by Publicis Groupe.</x:v>
      </x:c>
      <x:c r="T793" s="51" t="str">
        <x:v>Completed ownership before closing or control of every LiveRamp partner's data.</x:v>
      </x:c>
      <x:c r="U793" s="51" t="str">
        <x:v>Closing remains subject to transaction conditions.</x:v>
      </x:c>
      <x:c r="V793" s="51" t="str">
        <x:v>Pending/announced</x:v>
      </x:c>
      <x:c r="W793" s="51" t="str">
        <x:v>43;57</x:v>
      </x:c>
      <x:c r="X793" s="51" t="str">
        <x:v>2026-07-27</x:v>
      </x:c>
    </x:row>
    <x:row r="794">
      <x:c r="A794" s="51" t="str">
        <x:v>V12EXEC-001</x:v>
      </x:c>
      <x:c r="B794" s="51" t="str">
        <x:v>Payments, data and surveillance executive authority</x:v>
      </x:c>
      <x:c r="C794" s="51" t="str">
        <x:v>ACT-RYANMCINERNEY</x:v>
      </x:c>
      <x:c r="D794" s="51" t="str">
        <x:v>Ryan McInerney</x:v>
      </x:c>
      <x:c r="E794" s="51" t="str">
        <x:v>ACT-VISA</x:v>
      </x:c>
      <x:c r="F794" s="51" t="str">
        <x:v>Visa</x:v>
      </x:c>
      <x:c r="G794" s="51" t="str">
        <x:v>Executive → company</x:v>
      </x:c>
      <x:c r="H794" s="51" t="str">
        <x:v>Current 2026</x:v>
      </x:c>
      <x:c r="I794" s="51" t="str">
        <x:v>Chief Executive Officer role</x:v>
      </x:c>
      <x:c r="J794" s="51" t="str">
        <x:v>INS-258</x:v>
      </x:c>
      <x:c r="K794" s="51" t="str">
        <x:v>Formal corporate role</x:v>
      </x:c>
      <x:c r="L794" s="51" t="str">
        <x:v>Board and delegated managerial authority</x:v>
      </x:c>
      <x:c r="M794" s="51" t="str">
        <x:v>Leadership over Visa network and services strategy</x:v>
      </x:c>
      <x:c r="N794" s="51" t="str">
        <x:v>Executive authority coordinates network investment and client strategy inside public-company governance</x:v>
      </x:c>
      <x:c r="O794" s="51" t="str">
        <x:v>Institutional; financial; relational</x:v>
      </x:c>
      <x:c r="P794" s="51" t="str">
        <x:v>E1</x:v>
      </x:c>
      <x:c r="Q794" s="51" t="str">
        <x:v>Very high</x:v>
      </x:c>
      <x:c r="R794" s="51" t="str">
        <x:v>SRC-528; SRC-491</x:v>
      </x:c>
      <x:c r="S794" s="51" t="str">
        <x:v>Ryan McInerney is Visa's current CEO.</x:v>
      </x:c>
      <x:c r="T794" s="51" t="str">
        <x:v>Personal ownership of client banks, merchant funds or global payment policy.</x:v>
      </x:c>
      <x:c r="U794" s="51" t="str">
        <x:v>Board, law, regulators and contracts constrain authority.</x:v>
      </x:c>
      <x:c r="V794" s="51" t="str">
        <x:v>Active</x:v>
      </x:c>
      <x:c r="W794" s="51" t="str">
        <x:v>45;57</x:v>
      </x:c>
      <x:c r="X794" s="51" t="str">
        <x:v>2026-07-27</x:v>
      </x:c>
    </x:row>
    <x:row r="795">
      <x:c r="A795" s="51" t="str">
        <x:v>V12EXEC-002</x:v>
      </x:c>
      <x:c r="B795" s="51" t="str">
        <x:v>Payments, data and surveillance executive authority</x:v>
      </x:c>
      <x:c r="C795" s="51" t="str">
        <x:v>ACT-MICHAELMIEBACH</x:v>
      </x:c>
      <x:c r="D795" s="51" t="str">
        <x:v>Michael Miebach</x:v>
      </x:c>
      <x:c r="E795" s="51" t="str">
        <x:v>ACT-MASTERCARD</x:v>
      </x:c>
      <x:c r="F795" s="51" t="str">
        <x:v>Mastercard</x:v>
      </x:c>
      <x:c r="G795" s="51" t="str">
        <x:v>Executive → company</x:v>
      </x:c>
      <x:c r="H795" s="51" t="str">
        <x:v>Current 2026</x:v>
      </x:c>
      <x:c r="I795" s="51" t="str">
        <x:v>President and Chief Executive Officer role</x:v>
      </x:c>
      <x:c r="J795" s="51" t="str">
        <x:v>INS-259</x:v>
      </x:c>
      <x:c r="K795" s="51" t="str">
        <x:v>Formal corporate role</x:v>
      </x:c>
      <x:c r="L795" s="51" t="str">
        <x:v>Board and managerial authority</x:v>
      </x:c>
      <x:c r="M795" s="51" t="str">
        <x:v>Leadership over Mastercard network and services</x:v>
      </x:c>
      <x:c r="N795" s="51" t="str">
        <x:v>Executive authority connects payment-network strategy with data, identity and security products</x:v>
      </x:c>
      <x:c r="O795" s="51" t="str">
        <x:v>Institutional; financial; relational</x:v>
      </x:c>
      <x:c r="P795" s="51" t="str">
        <x:v>E1</x:v>
      </x:c>
      <x:c r="Q795" s="51" t="str">
        <x:v>Very high</x:v>
      </x:c>
      <x:c r="R795" s="51" t="str">
        <x:v>SRC-529; SRC-493</x:v>
      </x:c>
      <x:c r="S795" s="51" t="str">
        <x:v>Michael Miebach is Mastercard's CEO and president.</x:v>
      </x:c>
      <x:c r="T795" s="51" t="str">
        <x:v>Personal ownership of participating financial institutions or user transaction data.</x:v>
      </x:c>
      <x:c r="U795" s="51" t="str">
        <x:v>Corporate governance and regulation remain distinct.</x:v>
      </x:c>
      <x:c r="V795" s="51" t="str">
        <x:v>Active</x:v>
      </x:c>
      <x:c r="W795" s="51" t="str">
        <x:v>45;57</x:v>
      </x:c>
      <x:c r="X795" s="51" t="str">
        <x:v>2026-07-27</x:v>
      </x:c>
    </x:row>
    <x:row r="796">
      <x:c r="A796" s="51" t="str">
        <x:v>V12EXEC-003</x:v>
      </x:c>
      <x:c r="B796" s="51" t="str">
        <x:v>Payments, data and surveillance executive authority</x:v>
      </x:c>
      <x:c r="C796" s="51" t="str">
        <x:v>ACT-PATRICKCOLLISON</x:v>
      </x:c>
      <x:c r="D796" s="51" t="str">
        <x:v>Patrick Collison</x:v>
      </x:c>
      <x:c r="E796" s="51" t="str">
        <x:v>ACT-STRIPE</x:v>
      </x:c>
      <x:c r="F796" s="51" t="str">
        <x:v>Stripe</x:v>
      </x:c>
      <x:c r="G796" s="51" t="str">
        <x:v>Executive → company</x:v>
      </x:c>
      <x:c r="H796" s="51" t="str">
        <x:v>Current 2026</x:v>
      </x:c>
      <x:c r="I796" s="51" t="str">
        <x:v>Co-founder and Chief Executive Officer role</x:v>
      </x:c>
      <x:c r="J796" s="51" t="str">
        <x:v>INS-260</x:v>
      </x:c>
      <x:c r="K796" s="51" t="str">
        <x:v>Formal corporate role</x:v>
      </x:c>
      <x:c r="L796" s="51" t="str">
        <x:v>Founder and executive authority</x:v>
      </x:c>
      <x:c r="M796" s="51" t="str">
        <x:v>Leadership over Stripe product and platform strategy</x:v>
      </x:c>
      <x:c r="N796" s="51" t="str">
        <x:v>Founder-CEO authority coordinates payment orchestration, billing and financial infrastructure</x:v>
      </x:c>
      <x:c r="O796" s="51" t="str">
        <x:v>Institutional; financial; technological</x:v>
      </x:c>
      <x:c r="P796" s="51" t="str">
        <x:v>E1</x:v>
      </x:c>
      <x:c r="Q796" s="51" t="str">
        <x:v>Very high</x:v>
      </x:c>
      <x:c r="R796" s="51" t="str">
        <x:v>SRC-496; SRC-530</x:v>
      </x:c>
      <x:c r="S796" s="51" t="str">
        <x:v>Patrick Collison is Stripe's co-founder and CEO.</x:v>
      </x:c>
      <x:c r="T796" s="51" t="str">
        <x:v>Personal ownership of merchant businesses or card networks.</x:v>
      </x:c>
      <x:c r="U796" s="51" t="str">
        <x:v>Stripe and its partners remain separate institutions.</x:v>
      </x:c>
      <x:c r="V796" s="51" t="str">
        <x:v>Active</x:v>
      </x:c>
      <x:c r="W796" s="51" t="str">
        <x:v>45;57</x:v>
      </x:c>
      <x:c r="X796" s="51" t="str">
        <x:v>2026-07-27</x:v>
      </x:c>
    </x:row>
    <x:row r="797">
      <x:c r="A797" s="51" t="str">
        <x:v>V12EXEC-004</x:v>
      </x:c>
      <x:c r="B797" s="51" t="str">
        <x:v>Payments, data and surveillance executive authority</x:v>
      </x:c>
      <x:c r="C797" s="51" t="str">
        <x:v>ACT-ALEXKARP</x:v>
      </x:c>
      <x:c r="D797" s="51" t="str">
        <x:v>Alex Karp</x:v>
      </x:c>
      <x:c r="E797" s="51" t="str">
        <x:v>ACT-PALANTIRTECHNOLOGIES</x:v>
      </x:c>
      <x:c r="F797" s="51" t="str">
        <x:v>Palantir Technologies</x:v>
      </x:c>
      <x:c r="G797" s="51" t="str">
        <x:v>Executive → company</x:v>
      </x:c>
      <x:c r="H797" s="51" t="str">
        <x:v>Current 2026</x:v>
      </x:c>
      <x:c r="I797" s="51" t="str">
        <x:v>Co-founder, CEO and director role</x:v>
      </x:c>
      <x:c r="J797" s="51" t="str">
        <x:v>INS-270</x:v>
      </x:c>
      <x:c r="K797" s="51" t="str">
        <x:v>Formal corporate role</x:v>
      </x:c>
      <x:c r="L797" s="51" t="str">
        <x:v>Board and delegated managerial authority</x:v>
      </x:c>
      <x:c r="M797" s="51" t="str">
        <x:v>Leadership over government and commercial platform strategy</x:v>
      </x:c>
      <x:c r="N797" s="51" t="str">
        <x:v>Executive authority links product design, public-sector contracting and corporate ideology</x:v>
      </x:c>
      <x:c r="O797" s="51" t="str">
        <x:v>Institutional; relational; informational</x:v>
      </x:c>
      <x:c r="P797" s="51" t="str">
        <x:v>E1</x:v>
      </x:c>
      <x:c r="Q797" s="51" t="str">
        <x:v>Very high</x:v>
      </x:c>
      <x:c r="R797" s="51" t="str">
        <x:v>SRC-521; SRC-533</x:v>
      </x:c>
      <x:c r="S797" s="51" t="str">
        <x:v>Alex Karp is Palantir's co-founder, CEO and director.</x:v>
      </x:c>
      <x:c r="T797" s="51" t="str">
        <x:v>Personal authority over customer agencies or every operational decision made using Palantir.</x:v>
      </x:c>
      <x:c r="U797" s="51" t="str">
        <x:v>Customer governance and law remain separate.</x:v>
      </x:c>
      <x:c r="V797" s="51" t="str">
        <x:v>Active</x:v>
      </x:c>
      <x:c r="W797" s="51" t="str">
        <x:v>45;57</x:v>
      </x:c>
      <x:c r="X797" s="51" t="str">
        <x:v>2026-07-27</x:v>
      </x:c>
    </x:row>
    <x:row r="798">
      <x:c r="A798" s="51" t="str">
        <x:v>V12EXEC-005</x:v>
      </x:c>
      <x:c r="B798" s="51" t="str">
        <x:v>Payments, data and surveillance executive authority</x:v>
      </x:c>
      <x:c r="C798" s="51" t="str">
        <x:v>ACT-RICKSMITH</x:v>
      </x:c>
      <x:c r="D798" s="51" t="str">
        <x:v>Rick Smith</x:v>
      </x:c>
      <x:c r="E798" s="51" t="str">
        <x:v>ACT-AXONENTERPRISE</x:v>
      </x:c>
      <x:c r="F798" s="51" t="str">
        <x:v>Axon Enterprise</x:v>
      </x:c>
      <x:c r="G798" s="51" t="str">
        <x:v>Executive → company</x:v>
      </x:c>
      <x:c r="H798" s="51" t="str">
        <x:v>Current 2026</x:v>
      </x:c>
      <x:c r="I798" s="51" t="str">
        <x:v>Founder and Chief Executive Officer role</x:v>
      </x:c>
      <x:c r="J798" s="51" t="str">
        <x:v>INS-271</x:v>
      </x:c>
      <x:c r="K798" s="51" t="str">
        <x:v>Formal corporate role</x:v>
      </x:c>
      <x:c r="L798" s="51" t="str">
        <x:v>Board and managerial authority</x:v>
      </x:c>
      <x:c r="M798" s="51" t="str">
        <x:v>Leadership over connected public-safety platform strategy</x:v>
      </x:c>
      <x:c r="N798" s="51" t="str">
        <x:v>Founder-CEO authority coordinates devices, evidence, AI and public-safety market expansion</x:v>
      </x:c>
      <x:c r="O798" s="51" t="str">
        <x:v>Institutional; relational; technological</x:v>
      </x:c>
      <x:c r="P798" s="51" t="str">
        <x:v>E1</x:v>
      </x:c>
      <x:c r="Q798" s="51" t="str">
        <x:v>Very high</x:v>
      </x:c>
      <x:c r="R798" s="51" t="str">
        <x:v>SRC-524; SRC-522</x:v>
      </x:c>
      <x:c r="S798" s="51" t="str">
        <x:v>Rick Smith is Axon's founder and CEO.</x:v>
      </x:c>
      <x:c r="T798" s="51" t="str">
        <x:v>Police authority or ownership of agency evidence outside contract terms.</x:v>
      </x:c>
      <x:c r="U798" s="51" t="str">
        <x:v>Agencies and courts retain public authority.</x:v>
      </x:c>
      <x:c r="V798" s="51" t="str">
        <x:v>Active</x:v>
      </x:c>
      <x:c r="W798" s="51" t="str">
        <x:v>45;57</x:v>
      </x:c>
      <x:c r="X798" s="51" t="str">
        <x:v>2026-07-27</x:v>
      </x:c>
    </x:row>
    <x:row r="799">
      <x:c r="A799" s="51" t="str">
        <x:v>V12ID-001</x:v>
      </x:c>
      <x:c r="B799" s="51" t="str">
        <x:v>Digital identity, credentials and authentication</x:v>
      </x:c>
      <x:c r="C799" s="51" t="str">
        <x:v>ACT-UIDAI</x:v>
      </x:c>
      <x:c r="D799" s="51" t="str">
        <x:v>UIDAI</x:v>
      </x:c>
      <x:c r="E799" s="51" t="str">
        <x:v>ACT-AADHAAR</x:v>
      </x:c>
      <x:c r="F799" s="51" t="str">
        <x:v>Aadhaar</x:v>
      </x:c>
      <x:c r="G799" s="51" t="str">
        <x:v>Authority → identity system</x:v>
      </x:c>
      <x:c r="H799" s="51" t="str">
        <x:v>Ongoing</x:v>
      </x:c>
      <x:c r="I799" s="51" t="str">
        <x:v>Governance, issuance and authentication rules</x:v>
      </x:c>
      <x:c r="J799" s="51" t="str">
        <x:v>INS-256</x:v>
      </x:c>
      <x:c r="K799" s="51" t="str">
        <x:v>National scale</x:v>
      </x:c>
      <x:c r="L799" s="51" t="str">
        <x:v>Resident enrolment and identity records</x:v>
      </x:c>
      <x:c r="M799" s="51" t="str">
        <x:v>Unique identifier and authentication service</x:v>
      </x:c>
      <x:c r="N799" s="51" t="str">
        <x:v>A public authority converts enrolment and standards into a reusable identity credential</x:v>
      </x:c>
      <x:c r="O799" s="51" t="str">
        <x:v>Institutional; informational; enforcement</x:v>
      </x:c>
      <x:c r="P799" s="51" t="str">
        <x:v>E1</x:v>
      </x:c>
      <x:c r="Q799" s="51" t="str">
        <x:v>Very high</x:v>
      </x:c>
      <x:c r="R799" s="51" t="str">
        <x:v>SRC-502; SRC-503; SRC-504</x:v>
      </x:c>
      <x:c r="S799" s="51" t="str">
        <x:v>UIDAI governs Aadhaar and its authentication ecosystem.</x:v>
      </x:c>
      <x:c r="T799" s="51" t="str">
        <x:v>Perfect accuracy, universal service eligibility or ownership of relying-party databases.</x:v>
      </x:c>
      <x:c r="U799" s="51" t="str">
        <x:v>Authentication is a response to a request, not a complete decision about service entitlement.</x:v>
      </x:c>
      <x:c r="V799" s="51" t="str">
        <x:v>Active</x:v>
      </x:c>
      <x:c r="W799" s="51" t="str">
        <x:v>43;57</x:v>
      </x:c>
      <x:c r="X799" s="51" t="str">
        <x:v>2026-07-27</x:v>
      </x:c>
    </x:row>
    <x:row r="800">
      <x:c r="A800" s="51" t="str">
        <x:v>V12ID-002</x:v>
      </x:c>
      <x:c r="B800" s="51" t="str">
        <x:v>Digital identity, credentials and authentication</x:v>
      </x:c>
      <x:c r="C800" s="51" t="str">
        <x:v>ACT-AADHAARNUMBERHOLDERS</x:v>
      </x:c>
      <x:c r="D800" s="51" t="str">
        <x:v>Aadhaar number holders</x:v>
      </x:c>
      <x:c r="E800" s="51" t="str">
        <x:v>ACT-AADHAAR</x:v>
      </x:c>
      <x:c r="F800" s="51" t="str">
        <x:v>Aadhaar</x:v>
      </x:c>
      <x:c r="G800" s="51" t="str">
        <x:v>Identity holder → credential</x:v>
      </x:c>
      <x:c r="H800" s="51" t="str">
        <x:v>Ongoing</x:v>
      </x:c>
      <x:c r="I800" s="51" t="str">
        <x:v>Use of identifier and authentication factors</x:v>
      </x:c>
      <x:c r="J800" s="51" t="str">
        <x:v>INS-256</x:v>
      </x:c>
      <x:c r="K800" s="51" t="str">
        <x:v>Resident-specific</x:v>
      </x:c>
      <x:c r="L800" s="51" t="str">
        <x:v>Aadhaar number, biometric or OTP factors</x:v>
      </x:c>
      <x:c r="M800" s="51" t="str">
        <x:v>Authentication response and transaction history</x:v>
      </x:c>
      <x:c r="N800" s="51" t="str">
        <x:v>A resident credential becomes a reusable authentication input across approved services</x:v>
      </x:c>
      <x:c r="O800" s="51" t="str">
        <x:v>Informational; institutional; relational</x:v>
      </x:c>
      <x:c r="P800" s="51" t="str">
        <x:v>E1</x:v>
      </x:c>
      <x:c r="Q800" s="51" t="str">
        <x:v>High</x:v>
      </x:c>
      <x:c r="R800" s="51" t="str">
        <x:v>SRC-504</x:v>
      </x:c>
      <x:c r="S800" s="51" t="str">
        <x:v>Number holders can review recent Aadhaar authentication history and transaction details.</x:v>
      </x:c>
      <x:c r="T800" s="51" t="str">
        <x:v>Control over every downstream service decision or complete visibility into all retained relying-party data.</x:v>
      </x:c>
      <x:c r="U800" s="51" t="str">
        <x:v>Requesting agencies operate their own service and decision systems.</x:v>
      </x:c>
      <x:c r="V800" s="51" t="str">
        <x:v>Active</x:v>
      </x:c>
      <x:c r="W800" s="51" t="str">
        <x:v>43;57</x:v>
      </x:c>
      <x:c r="X800" s="51" t="str">
        <x:v>2026-07-27</x:v>
      </x:c>
    </x:row>
    <x:row r="801">
      <x:c r="A801" s="51" t="str">
        <x:v>V12ID-003</x:v>
      </x:c>
      <x:c r="B801" s="51" t="str">
        <x:v>Digital identity, credentials and authentication</x:v>
      </x:c>
      <x:c r="C801" s="51" t="str">
        <x:v>ACT-AADHAARAUTHENTICATIONUSE</x:v>
      </x:c>
      <x:c r="D801" s="51" t="str">
        <x:v>Aadhaar Authentication User Agencies</x:v>
      </x:c>
      <x:c r="E801" s="51" t="str">
        <x:v>ACT-UIDAI</x:v>
      </x:c>
      <x:c r="F801" s="51" t="str">
        <x:v>UIDAI</x:v>
      </x:c>
      <x:c r="G801" s="51" t="str">
        <x:v>Relying party → authority</x:v>
      </x:c>
      <x:c r="H801" s="51" t="str">
        <x:v>Per authentication</x:v>
      </x:c>
      <x:c r="I801" s="51" t="str">
        <x:v>Authorised authentication request</x:v>
      </x:c>
      <x:c r="J801" s="51" t="str">
        <x:v>INS-256</x:v>
      </x:c>
      <x:c r="K801" s="51" t="str">
        <x:v>221 crore transactions in August 2025 across ecosystem</x:v>
      </x:c>
      <x:c r="L801" s="51" t="str">
        <x:v>Service request and identity factors</x:v>
      </x:c>
      <x:c r="M801" s="51" t="str">
        <x:v>UIDAI authentication response</x:v>
      </x:c>
      <x:c r="N801" s="51" t="str">
        <x:v>An approved service provider converts a user credential into a machine-readable yes/no or demographic response</x:v>
      </x:c>
      <x:c r="O801" s="51" t="str">
        <x:v>Institutional; informational; enforcement</x:v>
      </x:c>
      <x:c r="P801" s="51" t="str">
        <x:v>E1</x:v>
      </x:c>
      <x:c r="Q801" s="51" t="str">
        <x:v>High</x:v>
      </x:c>
      <x:c r="R801" s="51" t="str">
        <x:v>SRC-502; SRC-503</x:v>
      </x:c>
      <x:c r="S801" s="51" t="str">
        <x:v>UIDAI records and governs authentication transactions from authorised agencies.</x:v>
      </x:c>
      <x:c r="T801" s="51" t="str">
        <x:v>Automatic entitlement, payment or guilt determination.</x:v>
      </x:c>
      <x:c r="U801" s="51" t="str">
        <x:v>The relying party makes the downstream decision.</x:v>
      </x:c>
      <x:c r="V801" s="51" t="str">
        <x:v>Active</x:v>
      </x:c>
      <x:c r="W801" s="51" t="str">
        <x:v>43;57</x:v>
      </x:c>
      <x:c r="X801" s="51" t="str">
        <x:v>2026-07-27</x:v>
      </x:c>
    </x:row>
    <x:row r="802">
      <x:c r="A802" s="51" t="str">
        <x:v>V12ID-004</x:v>
      </x:c>
      <x:c r="B802" s="51" t="str">
        <x:v>Digital identity, credentials and authentication</x:v>
      </x:c>
      <x:c r="C802" s="51" t="str">
        <x:v>ACT-AADHAARAUTHENTICATIONSER</x:v>
      </x:c>
      <x:c r="D802" s="51" t="str">
        <x:v>Aadhaar Authentication Service Agencies</x:v>
      </x:c>
      <x:c r="E802" s="51" t="str">
        <x:v>ACT-AADHAARAUTHENTICATIONUSE</x:v>
      </x:c>
      <x:c r="F802" s="51" t="str">
        <x:v>Aadhaar Authentication User Agencies</x:v>
      </x:c>
      <x:c r="G802" s="51" t="str">
        <x:v>Infrastructure intermediary → relying party</x:v>
      </x:c>
      <x:c r="H802" s="51" t="str">
        <x:v>Ongoing</x:v>
      </x:c>
      <x:c r="I802" s="51" t="str">
        <x:v>Secure authentication connectivity</x:v>
      </x:c>
      <x:c r="J802" s="51" t="str">
        <x:v>INS-256</x:v>
      </x:c>
      <x:c r="K802" s="51" t="str">
        <x:v>Agency-specific</x:v>
      </x:c>
      <x:c r="L802" s="51" t="str">
        <x:v>Encrypted network request</x:v>
      </x:c>
      <x:c r="M802" s="51" t="str">
        <x:v>UIDAI-routed authentication transaction</x:v>
      </x:c>
      <x:c r="N802" s="51" t="str">
        <x:v>Infrastructure intermediaries make large-scale identity requests operational</x:v>
      </x:c>
      <x:c r="O802" s="51" t="str">
        <x:v>Technological; relational; institutional</x:v>
      </x:c>
      <x:c r="P802" s="51" t="str">
        <x:v>S1</x:v>
      </x:c>
      <x:c r="Q802" s="51" t="str">
        <x:v>High</x:v>
      </x:c>
      <x:c r="R802" s="51" t="str">
        <x:v>SRC-503</x:v>
      </x:c>
      <x:c r="S802" s="51" t="str">
        <x:v>UIDAI distinguishes transaction identifiers and ecosystem participants.</x:v>
      </x:c>
      <x:c r="T802" s="51" t="str">
        <x:v>Control over the relying party's business decision.</x:v>
      </x:c>
      <x:c r="U802" s="51" t="str">
        <x:v>Connectivity does not imply service governance.</x:v>
      </x:c>
      <x:c r="V802" s="51" t="str">
        <x:v>Active</x:v>
      </x:c>
      <x:c r="W802" s="51" t="str">
        <x:v>43;57</x:v>
      </x:c>
      <x:c r="X802" s="51" t="str">
        <x:v>2026-07-27</x:v>
      </x:c>
    </x:row>
    <x:row r="803">
      <x:c r="A803" s="51" t="str">
        <x:v>V12ID-005</x:v>
      </x:c>
      <x:c r="B803" s="51" t="str">
        <x:v>Digital identity, credentials and authentication</x:v>
      </x:c>
      <x:c r="C803" s="51" t="str">
        <x:v>ACT-EUROPEANUNIONMEMBERSTATE</x:v>
      </x:c>
      <x:c r="D803" s="51" t="str">
        <x:v>European Union Member States</x:v>
      </x:c>
      <x:c r="E803" s="51" t="str">
        <x:v>ACT-EUDIGITALIDENTITYWALLET</x:v>
      </x:c>
      <x:c r="F803" s="51" t="str">
        <x:v>EU Digital Identity Wallet</x:v>
      </x:c>
      <x:c r="G803" s="51" t="str">
        <x:v>Member State → wallet ecosystem</x:v>
      </x:c>
      <x:c r="H803" s="51" t="str">
        <x:v>By end-2026</x:v>
      </x:c>
      <x:c r="I803" s="51" t="str">
        <x:v>Provision or recognition of wallet</x:v>
      </x:c>
      <x:c r="J803" s="51" t="str">
        <x:v>INS-257</x:v>
      </x:c>
      <x:c r="K803" s="51" t="str">
        <x:v>EU-wide legal mandate</x:v>
      </x:c>
      <x:c r="L803" s="51" t="str">
        <x:v>National identity systems and implementing rules</x:v>
      </x:c>
      <x:c r="M803" s="51" t="str">
        <x:v>Citizen and business wallet availability</x:v>
      </x:c>
      <x:c r="N803" s="51" t="str">
        <x:v>Public law converts national identity credentials into interoperable wallet infrastructure</x:v>
      </x:c>
      <x:c r="O803" s="51" t="str">
        <x:v>Institutional; geopolitical; informational</x:v>
      </x:c>
      <x:c r="P803" s="51" t="str">
        <x:v>E1</x:v>
      </x:c>
      <x:c r="Q803" s="51" t="str">
        <x:v>Very high</x:v>
      </x:c>
      <x:c r="R803" s="51" t="str">
        <x:v>SRC-505; SRC-506; SRC-507</x:v>
      </x:c>
      <x:c r="S803" s="51" t="str">
        <x:v>Member States are required to provide at least one wallet under the framework.</x:v>
      </x:c>
      <x:c r="T803" s="51" t="str">
        <x:v>One centrally operated EU database or mandatory use for every transaction.</x:v>
      </x:c>
      <x:c r="U803" s="51" t="str">
        <x:v>Wallets can be state-built, mandated or recognised and remain nationally implemented.</x:v>
      </x:c>
      <x:c r="V803" s="51" t="str">
        <x:v>Implementation</x:v>
      </x:c>
      <x:c r="W803" s="51" t="str">
        <x:v>43;57</x:v>
      </x:c>
      <x:c r="X803" s="51" t="str">
        <x:v>2026-07-27</x:v>
      </x:c>
    </x:row>
    <x:row r="804">
      <x:c r="A804" s="51" t="str">
        <x:v>V12ID-006</x:v>
      </x:c>
      <x:c r="B804" s="51" t="str">
        <x:v>Digital identity, credentials and authentication</x:v>
      </x:c>
      <x:c r="C804" s="51" t="str">
        <x:v>ACT-EUDICREDENTIALISSUERS</x:v>
      </x:c>
      <x:c r="D804" s="51" t="str">
        <x:v>EUDI credential issuers</x:v>
      </x:c>
      <x:c r="E804" s="51" t="str">
        <x:v>ACT-EUDIGITALIDENTITYWALLET</x:v>
      </x:c>
      <x:c r="F804" s="51" t="str">
        <x:v>EU Digital Identity Wallet</x:v>
      </x:c>
      <x:c r="G804" s="51" t="str">
        <x:v>Issuer → wallet</x:v>
      </x:c>
      <x:c r="H804" s="51" t="str">
        <x:v>Credential lifecycle</x:v>
      </x:c>
      <x:c r="I804" s="51" t="str">
        <x:v>Electronic attestation issuance</x:v>
      </x:c>
      <x:c r="J804" s="51" t="str">
        <x:v>INS-257</x:v>
      </x:c>
      <x:c r="K804" s="51" t="str">
        <x:v>Credential-specific</x:v>
      </x:c>
      <x:c r="L804" s="51" t="str">
        <x:v>Verified source data</x:v>
      </x:c>
      <x:c r="M804" s="51" t="str">
        <x:v>Signed person or organisational credential</x:v>
      </x:c>
      <x:c r="N804" s="51" t="str">
        <x:v>Issuers convert authoritative records into selectively presentable digital attestations</x:v>
      </x:c>
      <x:c r="O804" s="51" t="str">
        <x:v>Informational; institutional; relational</x:v>
      </x:c>
      <x:c r="P804" s="51" t="str">
        <x:v>E1</x:v>
      </x:c>
      <x:c r="Q804" s="51" t="str">
        <x:v>High</x:v>
      </x:c>
      <x:c r="R804" s="51" t="str">
        <x:v>SRC-505; SRC-507</x:v>
      </x:c>
      <x:c r="S804" s="51" t="str">
        <x:v>The architecture distinguishes issuers, wallet providers and relying parties.</x:v>
      </x:c>
      <x:c r="T804" s="51" t="str">
        <x:v>Wallet provider ownership of source registries or unlimited data disclosure.</x:v>
      </x:c>
      <x:c r="U804" s="51" t="str">
        <x:v>Credential scope and user presentation are controlled by rules and consent.</x:v>
      </x:c>
      <x:c r="V804" s="51" t="str">
        <x:v>Pilot/implementation</x:v>
      </x:c>
      <x:c r="W804" s="51" t="str">
        <x:v>43;57</x:v>
      </x:c>
      <x:c r="X804" s="51" t="str">
        <x:v>2026-07-27</x:v>
      </x:c>
    </x:row>
    <x:row r="805">
      <x:c r="A805" s="51" t="str">
        <x:v>V12ID-007</x:v>
      </x:c>
      <x:c r="B805" s="51" t="str">
        <x:v>Digital identity, credentials and authentication</x:v>
      </x:c>
      <x:c r="C805" s="51" t="str">
        <x:v>ACT-EUDIGITALIDENTITYWALLET</x:v>
      </x:c>
      <x:c r="D805" s="51" t="str">
        <x:v>EU Digital Identity Wallet</x:v>
      </x:c>
      <x:c r="E805" s="51" t="str">
        <x:v>ACT-EUDIRELYINGPARTIES</x:v>
      </x:c>
      <x:c r="F805" s="51" t="str">
        <x:v>EUDI relying parties</x:v>
      </x:c>
      <x:c r="G805" s="51" t="str">
        <x:v>Wallet holder → service provider</x:v>
      </x:c>
      <x:c r="H805" s="51" t="str">
        <x:v>Per transaction</x:v>
      </x:c>
      <x:c r="I805" s="51" t="str">
        <x:v>Selective presentation and verification</x:v>
      </x:c>
      <x:c r="J805" s="51" t="str">
        <x:v>INS-257</x:v>
      </x:c>
      <x:c r="K805" s="51" t="str">
        <x:v>Use-case specific</x:v>
      </x:c>
      <x:c r="L805" s="51" t="str">
        <x:v>User-held identity attributes</x:v>
      </x:c>
      <x:c r="M805" s="51" t="str">
        <x:v>Verified proof or service access</x:v>
      </x:c>
      <x:c r="N805" s="51" t="str">
        <x:v>A wallet can disclose a required attribute without transmitting every underlying identity field</x:v>
      </x:c>
      <x:c r="O805" s="51" t="str">
        <x:v>Informational; institutional; privacy</x:v>
      </x:c>
      <x:c r="P805" s="51" t="str">
        <x:v>E1</x:v>
      </x:c>
      <x:c r="Q805" s="51" t="str">
        <x:v>High</x:v>
      </x:c>
      <x:c r="R805" s="51" t="str">
        <x:v>SRC-505; SRC-506; SRC-507</x:v>
      </x:c>
      <x:c r="S805" s="51" t="str">
        <x:v>The EUDI framework is designed for user-controlled presentation to public and private relying parties.</x:v>
      </x:c>
      <x:c r="T805" s="51" t="str">
        <x:v>Automatic privacy in every implementation or absence of metadata leakage.</x:v>
      </x:c>
      <x:c r="U805" s="51" t="str">
        <x:v>Technical and governance implementation determines practical privacy.</x:v>
      </x:c>
      <x:c r="V805" s="51" t="str">
        <x:v>Pilot/implementation</x:v>
      </x:c>
      <x:c r="W805" s="51" t="str">
        <x:v>43;57</x:v>
      </x:c>
      <x:c r="X805" s="51" t="str">
        <x:v>2026-07-27</x:v>
      </x:c>
    </x:row>
    <x:row r="806">
      <x:c r="A806" s="51" t="str">
        <x:v>V12INST-001</x:v>
      </x:c>
      <x:c r="B806" s="51" t="str">
        <x:v>Instant-payment rails and bank access</x:v>
      </x:c>
      <x:c r="C806" s="51" t="str">
        <x:v>ACT-FEDERALRESERVEBANKS</x:v>
      </x:c>
      <x:c r="D806" s="51" t="str">
        <x:v>Federal Reserve Banks</x:v>
      </x:c>
      <x:c r="E806" s="51" t="str">
        <x:v>ACT-FEDNOWSERVICE</x:v>
      </x:c>
      <x:c r="F806" s="51" t="str">
        <x:v>FedNow Service</x:v>
      </x:c>
      <x:c r="G806" s="51" t="str">
        <x:v>Operator → settlement system</x:v>
      </x:c>
      <x:c r="H806" s="51" t="str">
        <x:v>2023 onward</x:v>
      </x:c>
      <x:c r="I806" s="51" t="str">
        <x:v>Central-bank operation and settlement</x:v>
      </x:c>
      <x:c r="J806" s="51" t="str">
        <x:v>INS-261</x:v>
      </x:c>
      <x:c r="K806" s="51" t="str">
        <x:v>8.41 million payments and $853.4 billion in 2025</x:v>
      </x:c>
      <x:c r="L806" s="51" t="str">
        <x:v>Participant payment messages and reserve accounts</x:v>
      </x:c>
      <x:c r="M806" s="51" t="str">
        <x:v>Immediate final interbank settlement</x:v>
      </x:c>
      <x:c r="N806" s="51" t="str">
        <x:v>The central bank converts reserve-account access into a 24/7 instant-payment rail</x:v>
      </x:c>
      <x:c r="O806" s="51" t="str">
        <x:v>Financial; institutional; technological</x:v>
      </x:c>
      <x:c r="P806" s="51" t="str">
        <x:v>E1</x:v>
      </x:c>
      <x:c r="Q806" s="51" t="str">
        <x:v>Very high</x:v>
      </x:c>
      <x:c r="R806" s="51" t="str">
        <x:v>SRC-497; SRC-498; SRC-535</x:v>
      </x:c>
      <x:c r="S806" s="51" t="str">
        <x:v>Federal Reserve Financial Services operates FedNow for eligible institutions.</x:v>
      </x:c>
      <x:c r="T806" s="51" t="str">
        <x:v>Direct retail account service to every consumer or control of bank user interfaces.</x:v>
      </x:c>
      <x:c r="U806" s="51" t="str">
        <x:v>Banks build customer products on top of the rail.</x:v>
      </x:c>
      <x:c r="V806" s="51" t="str">
        <x:v>Active</x:v>
      </x:c>
      <x:c r="W806" s="51" t="str">
        <x:v>43;57</x:v>
      </x:c>
      <x:c r="X806" s="51" t="str">
        <x:v>2026-07-27</x:v>
      </x:c>
    </x:row>
    <x:row r="807">
      <x:c r="A807" s="51" t="str">
        <x:v>V12INST-002</x:v>
      </x:c>
      <x:c r="B807" s="51" t="str">
        <x:v>Instant-payment rails and bank access</x:v>
      </x:c>
      <x:c r="C807" s="51" t="str">
        <x:v>ACT-PARTICIPATINGFINANCIALIN</x:v>
      </x:c>
      <x:c r="D807" s="51" t="str">
        <x:v>Participating financial institutions</x:v>
      </x:c>
      <x:c r="E807" s="51" t="str">
        <x:v>ACT-FEDNOWSERVICE</x:v>
      </x:c>
      <x:c r="F807" s="51" t="str">
        <x:v>FedNow Service</x:v>
      </x:c>
      <x:c r="G807" s="51" t="str">
        <x:v>Bank/credit union → rail</x:v>
      </x:c>
      <x:c r="H807" s="51" t="str">
        <x:v>Ongoing</x:v>
      </x:c>
      <x:c r="I807" s="51" t="str">
        <x:v>Participant connection and settlement</x:v>
      </x:c>
      <x:c r="J807" s="51" t="str">
        <x:v>INS-261</x:v>
      </x:c>
      <x:c r="K807" s="51" t="str">
        <x:v>More than 1,500 participants reported by late 2025 updates</x:v>
      </x:c>
      <x:c r="L807" s="51" t="str">
        <x:v>Customer instruction and settlement account</x:v>
      </x:c>
      <x:c r="M807" s="51" t="str">
        <x:v>Final instant payment</x:v>
      </x:c>
      <x:c r="N807" s="51" t="str">
        <x:v>Bank participation converts customer account access into central-bank-settled instant transfers</x:v>
      </x:c>
      <x:c r="O807" s="51" t="str">
        <x:v>Financial; technological; relational</x:v>
      </x:c>
      <x:c r="P807" s="51" t="str">
        <x:v>E1</x:v>
      </x:c>
      <x:c r="Q807" s="51" t="str">
        <x:v>High</x:v>
      </x:c>
      <x:c r="R807" s="51" t="str">
        <x:v>SRC-498; SRC-535</x:v>
      </x:c>
      <x:c r="S807" s="51" t="str">
        <x:v>FedNow has a large and growing participant base.</x:v>
      </x:c>
      <x:c r="T807" s="51" t="str">
        <x:v>Universal send capability or identical customer access at every participant.</x:v>
      </x:c>
      <x:c r="U807" s="51" t="str">
        <x:v>Some institutions receive only or use service providers.</x:v>
      </x:c>
      <x:c r="V807" s="51" t="str">
        <x:v>Active</x:v>
      </x:c>
      <x:c r="W807" s="51" t="str">
        <x:v>43;57</x:v>
      </x:c>
      <x:c r="X807" s="51" t="str">
        <x:v>2026-07-27</x:v>
      </x:c>
    </x:row>
    <x:row r="808">
      <x:c r="A808" s="51" t="str">
        <x:v>V12INST-003</x:v>
      </x:c>
      <x:c r="B808" s="51" t="str">
        <x:v>Instant-payment rails and bank access</x:v>
      </x:c>
      <x:c r="C808" s="51" t="str">
        <x:v>ACT-THECLEARINGHOUSE</x:v>
      </x:c>
      <x:c r="D808" s="51" t="str">
        <x:v>The Clearing House</x:v>
      </x:c>
      <x:c r="E808" s="51" t="str">
        <x:v>ACT-RTPNETWORK</x:v>
      </x:c>
      <x:c r="F808" s="51" t="str">
        <x:v>RTP network</x:v>
      </x:c>
      <x:c r="G808" s="51" t="str">
        <x:v>Operator → settlement network</x:v>
      </x:c>
      <x:c r="H808" s="51" t="str">
        <x:v>2017 onward</x:v>
      </x:c>
      <x:c r="I808" s="51" t="str">
        <x:v>Private-sector operation and rules</x:v>
      </x:c>
      <x:c r="J808" s="51" t="str">
        <x:v>INS-262</x:v>
      </x:c>
      <x:c r="K808" s="51" t="str">
        <x:v>142 million payments and $576 billion in Q2 2026</x:v>
      </x:c>
      <x:c r="L808" s="51" t="str">
        <x:v>Participant messages and prefunded positions</x:v>
      </x:c>
      <x:c r="M808" s="51" t="str">
        <x:v>Final real-time payment</x:v>
      </x:c>
      <x:c r="N808" s="51" t="str">
        <x:v>A bank-owned operator converts common rules and settlement infrastructure into private instant payments</x:v>
      </x:c>
      <x:c r="O808" s="51" t="str">
        <x:v>Financial; institutional; technological</x:v>
      </x:c>
      <x:c r="P808" s="51" t="str">
        <x:v>E1</x:v>
      </x:c>
      <x:c r="Q808" s="51" t="str">
        <x:v>Very high</x:v>
      </x:c>
      <x:c r="R808" s="51" t="str">
        <x:v>SRC-499; SRC-500</x:v>
      </x:c>
      <x:c r="S808" s="51" t="str">
        <x:v>The Clearing House operates RTP with published rules and metrics.</x:v>
      </x:c>
      <x:c r="T808" s="51" t="str">
        <x:v>Ownership of customer deposits or government monetary authority.</x:v>
      </x:c>
      <x:c r="U808" s="51" t="str">
        <x:v>Participant banks retain customer relationships and funding.</x:v>
      </x:c>
      <x:c r="V808" s="51" t="str">
        <x:v>Active</x:v>
      </x:c>
      <x:c r="W808" s="51" t="str">
        <x:v>43;57</x:v>
      </x:c>
      <x:c r="X808" s="51" t="str">
        <x:v>2026-07-27</x:v>
      </x:c>
    </x:row>
    <x:row r="809">
      <x:c r="A809" s="51" t="str">
        <x:v>V12INST-004</x:v>
      </x:c>
      <x:c r="B809" s="51" t="str">
        <x:v>Instant-payment rails and bank access</x:v>
      </x:c>
      <x:c r="C809" s="51" t="str">
        <x:v>ACT-PARTICIPATINGFINANCIALIN</x:v>
      </x:c>
      <x:c r="D809" s="51" t="str">
        <x:v>Participating financial institutions</x:v>
      </x:c>
      <x:c r="E809" s="51" t="str">
        <x:v>ACT-RTPNETWORK</x:v>
      </x:c>
      <x:c r="F809" s="51" t="str">
        <x:v>RTP network</x:v>
      </x:c>
      <x:c r="G809" s="51" t="str">
        <x:v>Institution → rail</x:v>
      </x:c>
      <x:c r="H809" s="51" t="str">
        <x:v>Ongoing</x:v>
      </x:c>
      <x:c r="I809" s="51" t="str">
        <x:v>Participation and customer payment service</x:v>
      </x:c>
      <x:c r="J809" s="51" t="str">
        <x:v>INS-262</x:v>
      </x:c>
      <x:c r="K809" s="51" t="str">
        <x:v>1,280+ participants in June 2026</x:v>
      </x:c>
      <x:c r="L809" s="51" t="str">
        <x:v>Customer account instruction</x:v>
      </x:c>
      <x:c r="M809" s="51" t="str">
        <x:v>Final ISO 20022 payment and message</x:v>
      </x:c>
      <x:c r="N809" s="51" t="str">
        <x:v>Participants transform a wholesale rail into retail and commercial payment products</x:v>
      </x:c>
      <x:c r="O809" s="51" t="str">
        <x:v>Financial; technological; relational</x:v>
      </x:c>
      <x:c r="P809" s="51" t="str">
        <x:v>E1</x:v>
      </x:c>
      <x:c r="Q809" s="51" t="str">
        <x:v>High</x:v>
      </x:c>
      <x:c r="R809" s="51" t="str">
        <x:v>SRC-499; SRC-500</x:v>
      </x:c>
      <x:c r="S809" s="51" t="str">
        <x:v>RTP connects a large number of institutions.</x:v>
      </x:c>
      <x:c r="T809" s="51" t="str">
        <x:v>Universal reach to every account or identical product features.</x:v>
      </x:c>
      <x:c r="U809" s="51" t="str">
        <x:v>Participant implementation varies.</x:v>
      </x:c>
      <x:c r="V809" s="51" t="str">
        <x:v>Active</x:v>
      </x:c>
      <x:c r="W809" s="51" t="str">
        <x:v>43;57</x:v>
      </x:c>
      <x:c r="X809" s="51" t="str">
        <x:v>2026-07-27</x:v>
      </x:c>
    </x:row>
    <x:row r="810">
      <x:c r="A810" s="51" t="str">
        <x:v>V12INST-005</x:v>
      </x:c>
      <x:c r="B810" s="51" t="str">
        <x:v>Instant-payment rails and bank access</x:v>
      </x:c>
      <x:c r="C810" s="51" t="str">
        <x:v>ACT-PARTICIPATINGFINANCIALIN</x:v>
      </x:c>
      <x:c r="D810" s="51" t="str">
        <x:v>Participating financial institutions</x:v>
      </x:c>
      <x:c r="E810" s="51" t="str">
        <x:v>ACT-TARGETINSTANTPAYMENTSETT</x:v>
      </x:c>
      <x:c r="F810" s="51" t="str">
        <x:v>TARGET Instant Payment Settlement (TIPS)</x:v>
      </x:c>
      <x:c r="G810" s="51" t="str">
        <x:v>Payment service provider → central-bank platform</x:v>
      </x:c>
      <x:c r="H810" s="51" t="str">
        <x:v>Ongoing</x:v>
      </x:c>
      <x:c r="I810" s="51" t="str">
        <x:v>Account or reachable-party participation</x:v>
      </x:c>
      <x:c r="J810" s="51" t="str">
        <x:v>INS-263</x:v>
      </x:c>
      <x:c r="K810" s="51" t="str">
        <x:v>24/7/365</x:v>
      </x:c>
      <x:c r="L810" s="51" t="str">
        <x:v>Instant payment instruction and central-bank liquidity</x:v>
      </x:c>
      <x:c r="M810" s="51" t="str">
        <x:v>Settlement within seconds</x:v>
      </x:c>
      <x:c r="N810" s="51" t="str">
        <x:v>Central-bank money settlement reduces interbank credit exposure while PSPs retain user interfaces</x:v>
      </x:c>
      <x:c r="O810" s="51" t="str">
        <x:v>Financial; institutional; technological</x:v>
      </x:c>
      <x:c r="P810" s="51" t="str">
        <x:v>E1</x:v>
      </x:c>
      <x:c r="Q810" s="51" t="str">
        <x:v>High</x:v>
      </x:c>
      <x:c r="R810" s="51" t="str">
        <x:v>SRC-501</x:v>
      </x:c>
      <x:c r="S810" s="51" t="str">
        <x:v>TIPS settles instant payments for participating providers.</x:v>
      </x:c>
      <x:c r="T810" s="51" t="str">
        <x:v>One European retail app or exclusive use for all instant payments.</x:v>
      </x:c>
      <x:c r="U810" s="51" t="str">
        <x:v>Multiple schemes and front ends connect to settlement.</x:v>
      </x:c>
      <x:c r="V810" s="51" t="str">
        <x:v>Active</x:v>
      </x:c>
      <x:c r="W810" s="51" t="str">
        <x:v>43;57</x:v>
      </x:c>
      <x:c r="X810" s="51" t="str">
        <x:v>2026-07-27</x:v>
      </x:c>
    </x:row>
    <x:row r="811">
      <x:c r="A811" s="51" t="str">
        <x:v>V12INST-006</x:v>
      </x:c>
      <x:c r="B811" s="51" t="str">
        <x:v>Instant-payment rails and bank access</x:v>
      </x:c>
      <x:c r="C811" s="51" t="str">
        <x:v>ACT-PAYMENTACCOUNTHOLDERS</x:v>
      </x:c>
      <x:c r="D811" s="51" t="str">
        <x:v>Payment account holders</x:v>
      </x:c>
      <x:c r="E811" s="51" t="str">
        <x:v>ACT-PARTICIPATINGFINANCIALIN</x:v>
      </x:c>
      <x:c r="F811" s="51" t="str">
        <x:v>Participating financial institutions</x:v>
      </x:c>
      <x:c r="G811" s="51" t="str">
        <x:v>Customer → bank or PSP</x:v>
      </x:c>
      <x:c r="H811" s="51" t="str">
        <x:v>Per transaction</x:v>
      </x:c>
      <x:c r="I811" s="51" t="str">
        <x:v>Account-based payment instruction</x:v>
      </x:c>
      <x:c r="J811" s="51" t="str">
        <x:v>INS-261; INS-262; INS-263</x:v>
      </x:c>
      <x:c r="K811" s="51" t="str">
        <x:v>Customer-specific</x:v>
      </x:c>
      <x:c r="L811" s="51" t="str">
        <x:v>Authenticated transfer request</x:v>
      </x:c>
      <x:c r="M811" s="51" t="str">
        <x:v>Instantly settled beneficiary payment</x:v>
      </x:c>
      <x:c r="N811" s="51" t="str">
        <x:v>Instant rails do not remove the bank as identity, account and compliance gatekeeper</x:v>
      </x:c>
      <x:c r="O811" s="51" t="str">
        <x:v>Financial; informational; enforcement</x:v>
      </x:c>
      <x:c r="P811" s="51" t="str">
        <x:v>S1</x:v>
      </x:c>
      <x:c r="Q811" s="51" t="str">
        <x:v>High</x:v>
      </x:c>
      <x:c r="R811" s="51" t="str">
        <x:v>SRC-497; SRC-499; SRC-501</x:v>
      </x:c>
      <x:c r="S811" s="51" t="str">
        <x:v>Retail access is delivered through participating financial institutions.</x:v>
      </x:c>
      <x:c r="T811" s="51" t="str">
        <x:v>Direct customer membership in the wholesale rail.</x:v>
      </x:c>
      <x:c r="U811" s="51" t="str">
        <x:v>Banks maintain account, fraud and compliance controls.</x:v>
      </x:c>
      <x:c r="V811" s="51" t="str">
        <x:v>Active mechanism</x:v>
      </x:c>
      <x:c r="W811" s="51" t="str">
        <x:v>43;57</x:v>
      </x:c>
      <x:c r="X811" s="51" t="str">
        <x:v>2026-07-27</x:v>
      </x:c>
    </x:row>
    <x:row r="812">
      <x:c r="A812" s="51" t="str">
        <x:v>V12PAY-001</x:v>
      </x:c>
      <x:c r="B812" s="51" t="str">
        <x:v>Card networks, tokenisation and merchant payments</x:v>
      </x:c>
      <x:c r="C812" s="51" t="str">
        <x:v>ACT-CARDISSUINGFINANCIALINST</x:v>
      </x:c>
      <x:c r="D812" s="51" t="str">
        <x:v>Card-issuing financial institutions</x:v>
      </x:c>
      <x:c r="E812" s="51" t="str">
        <x:v>ACT-VISA</x:v>
      </x:c>
      <x:c r="F812" s="51" t="str">
        <x:v>Visa</x:v>
      </x:c>
      <x:c r="G812" s="51" t="str">
        <x:v>Issuer → network</x:v>
      </x:c>
      <x:c r="H812" s="51" t="str">
        <x:v>Ongoing</x:v>
      </x:c>
      <x:c r="I812" s="51" t="str">
        <x:v>Credential issuance and authorisation participation</x:v>
      </x:c>
      <x:c r="J812" s="51" t="str">
        <x:v>INS-258</x:v>
      </x:c>
      <x:c r="K812" s="51" t="str">
        <x:v>Nearly 14,500 financial-institution clients reported by Visa</x:v>
      </x:c>
      <x:c r="L812" s="51" t="str">
        <x:v>Customer account and payment credential</x:v>
      </x:c>
      <x:c r="M812" s="51" t="str">
        <x:v>Visa-branded transaction authorisation and settlement messaging</x:v>
      </x:c>
      <x:c r="N812" s="51" t="str">
        <x:v>Issuers convert deposit or credit relationships into network-usable credentials</x:v>
      </x:c>
      <x:c r="O812" s="51" t="str">
        <x:v>Financial; relational; informational</x:v>
      </x:c>
      <x:c r="P812" s="51" t="str">
        <x:v>E1</x:v>
      </x:c>
      <x:c r="Q812" s="51" t="str">
        <x:v>Very high</x:v>
      </x:c>
      <x:c r="R812" s="51" t="str">
        <x:v>SRC-491; SRC-492</x:v>
      </x:c>
      <x:c r="S812" s="51" t="str">
        <x:v>Visa serves financial institutions that issue Visa-branded credentials.</x:v>
      </x:c>
      <x:c r="T812" s="51" t="str">
        <x:v>Visa ownership of customer deposits or issuer credit decisions.</x:v>
      </x:c>
      <x:c r="U812" s="51" t="str">
        <x:v>Issuers set accounts, underwriting and many approval rules.</x:v>
      </x:c>
      <x:c r="V812" s="51" t="str">
        <x:v>Active</x:v>
      </x:c>
      <x:c r="W812" s="51" t="str">
        <x:v>43;57</x:v>
      </x:c>
      <x:c r="X812" s="51" t="str">
        <x:v>2026-07-27</x:v>
      </x:c>
    </x:row>
    <x:row r="813">
      <x:c r="A813" s="51" t="str">
        <x:v>V12PAY-002</x:v>
      </x:c>
      <x:c r="B813" s="51" t="str">
        <x:v>Card networks, tokenisation and merchant payments</x:v>
      </x:c>
      <x:c r="C813" s="51" t="str">
        <x:v>ACT-MERCHANTACQUIRERSANDPROC</x:v>
      </x:c>
      <x:c r="D813" s="51" t="str">
        <x:v>Merchant acquirers and processors</x:v>
      </x:c>
      <x:c r="E813" s="51" t="str">
        <x:v>ACT-VISA</x:v>
      </x:c>
      <x:c r="F813" s="51" t="str">
        <x:v>Visa</x:v>
      </x:c>
      <x:c r="G813" s="51" t="str">
        <x:v>Acquirer → network</x:v>
      </x:c>
      <x:c r="H813" s="51" t="str">
        <x:v>Ongoing</x:v>
      </x:c>
      <x:c r="I813" s="51" t="str">
        <x:v>Merchant acceptance and transaction submission</x:v>
      </x:c>
      <x:c r="J813" s="51" t="str">
        <x:v>INS-258</x:v>
      </x:c>
      <x:c r="K813" s="51" t="str">
        <x:v>257.5 billion Visa-processed transactions in fiscal 2025</x:v>
      </x:c>
      <x:c r="L813" s="51" t="str">
        <x:v>Merchant transaction message</x:v>
      </x:c>
      <x:c r="M813" s="51" t="str">
        <x:v>Authorisation, clearing and settlement message flow</x:v>
      </x:c>
      <x:c r="N813" s="51" t="str">
        <x:v>Acquirers convert merchant sales into standardised network messages</x:v>
      </x:c>
      <x:c r="O813" s="51" t="str">
        <x:v>Financial; technological; relational</x:v>
      </x:c>
      <x:c r="P813" s="51" t="str">
        <x:v>E1</x:v>
      </x:c>
      <x:c r="Q813" s="51" t="str">
        <x:v>Very high</x:v>
      </x:c>
      <x:c r="R813" s="51" t="str">
        <x:v>SRC-491; SRC-492</x:v>
      </x:c>
      <x:c r="S813" s="51" t="str">
        <x:v>Visa processes transactions submitted through client institutions and acquirers.</x:v>
      </x:c>
      <x:c r="T813" s="51" t="str">
        <x:v>Visa being the merchant of record or setting every retail price.</x:v>
      </x:c>
      <x:c r="U813" s="51" t="str">
        <x:v>Merchant, acquirer and issuer retain distinct roles.</x:v>
      </x:c>
      <x:c r="V813" s="51" t="str">
        <x:v>Active</x:v>
      </x:c>
      <x:c r="W813" s="51" t="str">
        <x:v>43;57</x:v>
      </x:c>
      <x:c r="X813" s="51" t="str">
        <x:v>2026-07-27</x:v>
      </x:c>
    </x:row>
    <x:row r="814">
      <x:c r="A814" s="51" t="str">
        <x:v>V12PAY-003</x:v>
      </x:c>
      <x:c r="B814" s="51" t="str">
        <x:v>Card networks, tokenisation and merchant payments</x:v>
      </x:c>
      <x:c r="C814" s="51" t="str">
        <x:v>ACT-PAYMENTACCOUNTHOLDERS</x:v>
      </x:c>
      <x:c r="D814" s="51" t="str">
        <x:v>Payment account holders</x:v>
      </x:c>
      <x:c r="E814" s="51" t="str">
        <x:v>ACT-VISA</x:v>
      </x:c>
      <x:c r="F814" s="51" t="str">
        <x:v>Visa</x:v>
      </x:c>
      <x:c r="G814" s="51" t="str">
        <x:v>Credential holder → network</x:v>
      </x:c>
      <x:c r="H814" s="51" t="str">
        <x:v>Per transaction</x:v>
      </x:c>
      <x:c r="I814" s="51" t="str">
        <x:v>Payment authorisation through Visa credential</x:v>
      </x:c>
      <x:c r="J814" s="51" t="str">
        <x:v>INS-258</x:v>
      </x:c>
      <x:c r="K814" s="51" t="str">
        <x:v>$17 trillion payments and cash volume in fiscal 2025</x:v>
      </x:c>
      <x:c r="L814" s="51" t="str">
        <x:v>Purchase instruction and credential</x:v>
      </x:c>
      <x:c r="M814" s="51" t="str">
        <x:v>Network-routed authorisation and settlement</x:v>
      </x:c>
      <x:c r="N814" s="51" t="str">
        <x:v>A branded credential converts account access into globally accepted payment messaging</x:v>
      </x:c>
      <x:c r="O814" s="51" t="str">
        <x:v>Financial; informational; relational</x:v>
      </x:c>
      <x:c r="P814" s="51" t="str">
        <x:v>E1</x:v>
      </x:c>
      <x:c r="Q814" s="51" t="str">
        <x:v>High</x:v>
      </x:c>
      <x:c r="R814" s="51" t="str">
        <x:v>SRC-491</x:v>
      </x:c>
      <x:c r="S814" s="51" t="str">
        <x:v>Visa-branded products generated very large global volume.</x:v>
      </x:c>
      <x:c r="T814" s="51" t="str">
        <x:v>Visa holding the customer's account balance or guaranteeing every transaction.</x:v>
      </x:c>
      <x:c r="U814" s="51" t="str">
        <x:v>Issuers and merchants remain counterparties.</x:v>
      </x:c>
      <x:c r="V814" s="51" t="str">
        <x:v>Active</x:v>
      </x:c>
      <x:c r="W814" s="51" t="str">
        <x:v>43;57</x:v>
      </x:c>
      <x:c r="X814" s="51" t="str">
        <x:v>2026-07-27</x:v>
      </x:c>
    </x:row>
    <x:row r="815">
      <x:c r="A815" s="51" t="str">
        <x:v>V12PAY-004</x:v>
      </x:c>
      <x:c r="B815" s="51" t="str">
        <x:v>Card networks, tokenisation and merchant payments</x:v>
      </x:c>
      <x:c r="C815" s="51" t="str">
        <x:v>ACT-CARDISSUINGFINANCIALINST</x:v>
      </x:c>
      <x:c r="D815" s="51" t="str">
        <x:v>Card-issuing financial institutions</x:v>
      </x:c>
      <x:c r="E815" s="51" t="str">
        <x:v>ACT-MASTERCARD</x:v>
      </x:c>
      <x:c r="F815" s="51" t="str">
        <x:v>Mastercard</x:v>
      </x:c>
      <x:c r="G815" s="51" t="str">
        <x:v>Issuer → network</x:v>
      </x:c>
      <x:c r="H815" s="51" t="str">
        <x:v>Ongoing</x:v>
      </x:c>
      <x:c r="I815" s="51" t="str">
        <x:v>Credential issuance and network participation</x:v>
      </x:c>
      <x:c r="J815" s="51" t="str">
        <x:v>INS-259</x:v>
      </x:c>
      <x:c r="K815" s="51" t="str">
        <x:v>Global network</x:v>
      </x:c>
      <x:c r="L815" s="51" t="str">
        <x:v>Customer account and branded credential</x:v>
      </x:c>
      <x:c r="M815" s="51" t="str">
        <x:v>Switched authorisation and settlement messages</x:v>
      </x:c>
      <x:c r="N815" s="51" t="str">
        <x:v>Mastercard connects issuer accounts to a standardised global acceptance network</x:v>
      </x:c>
      <x:c r="O815" s="51" t="str">
        <x:v>Financial; relational; informational</x:v>
      </x:c>
      <x:c r="P815" s="51" t="str">
        <x:v>E1</x:v>
      </x:c>
      <x:c r="Q815" s="51" t="str">
        <x:v>Very high</x:v>
      </x:c>
      <x:c r="R815" s="51" t="str">
        <x:v>SRC-493; SRC-494</x:v>
      </x:c>
      <x:c r="S815" s="51" t="str">
        <x:v>Mastercard operates a network serving issuers and other payment participants.</x:v>
      </x:c>
      <x:c r="T815" s="51" t="str">
        <x:v>Mastercard lending directly on every card or controlling issuer risk models.</x:v>
      </x:c>
      <x:c r="U815" s="51" t="str">
        <x:v>Issuers own customer and credit relationships.</x:v>
      </x:c>
      <x:c r="V815" s="51" t="str">
        <x:v>Active</x:v>
      </x:c>
      <x:c r="W815" s="51" t="str">
        <x:v>43;57</x:v>
      </x:c>
      <x:c r="X815" s="51" t="str">
        <x:v>2026-07-27</x:v>
      </x:c>
    </x:row>
    <x:row r="816">
      <x:c r="A816" s="51" t="str">
        <x:v>V12PAY-005</x:v>
      </x:c>
      <x:c r="B816" s="51" t="str">
        <x:v>Card networks, tokenisation and merchant payments</x:v>
      </x:c>
      <x:c r="C816" s="51" t="str">
        <x:v>ACT-MASTERCARD</x:v>
      </x:c>
      <x:c r="D816" s="51" t="str">
        <x:v>Mastercard</x:v>
      </x:c>
      <x:c r="E816" s="51" t="str">
        <x:v>ACT-MERCHANTACQUIRERSANDPROC</x:v>
      </x:c>
      <x:c r="F816" s="51" t="str">
        <x:v>Merchant acquirers and processors</x:v>
      </x:c>
      <x:c r="G816" s="51" t="str">
        <x:v>Network → acquirers</x:v>
      </x:c>
      <x:c r="H816" s="51" t="str">
        <x:v>Ongoing</x:v>
      </x:c>
      <x:c r="I816" s="51" t="str">
        <x:v>Switching, clearing and services</x:v>
      </x:c>
      <x:c r="J816" s="51" t="str">
        <x:v>INS-259</x:v>
      </x:c>
      <x:c r="K816" s="51" t="str">
        <x:v>Switched transactions grew 10% in 2025</x:v>
      </x:c>
      <x:c r="L816" s="51" t="str">
        <x:v>Authorisation and settlement messages</x:v>
      </x:c>
      <x:c r="M816" s="51" t="str">
        <x:v>Merchant-side transaction routing and reconciliation</x:v>
      </x:c>
      <x:c r="N816" s="51" t="str">
        <x:v>The network translates many bilateral payment relationships into standardised messaging</x:v>
      </x:c>
      <x:c r="O816" s="51" t="str">
        <x:v>Financial; technological; relational</x:v>
      </x:c>
      <x:c r="P816" s="51" t="str">
        <x:v>E1</x:v>
      </x:c>
      <x:c r="Q816" s="51" t="str">
        <x:v>Very high</x:v>
      </x:c>
      <x:c r="R816" s="51" t="str">
        <x:v>SRC-493; SRC-494</x:v>
      </x:c>
      <x:c r="S816" s="51" t="str">
        <x:v>Mastercard measures and charges for switched transactions and network services.</x:v>
      </x:c>
      <x:c r="T816" s="51" t="str">
        <x:v>Mastercard ownership of acquirer balance sheets or merchants.</x:v>
      </x:c>
      <x:c r="U816" s="51" t="str">
        <x:v>Pricing and contracts differ across customers.</x:v>
      </x:c>
      <x:c r="V816" s="51" t="str">
        <x:v>Active</x:v>
      </x:c>
      <x:c r="W816" s="51" t="str">
        <x:v>43;57</x:v>
      </x:c>
      <x:c r="X816" s="51" t="str">
        <x:v>2026-07-27</x:v>
      </x:c>
    </x:row>
    <x:row r="817">
      <x:c r="A817" s="51" t="str">
        <x:v>V12PAY-006</x:v>
      </x:c>
      <x:c r="B817" s="51" t="str">
        <x:v>Card networks, tokenisation and merchant payments</x:v>
      </x:c>
      <x:c r="C817" s="51" t="str">
        <x:v>ACT-PAYMENTTOKENSERVICEPROVI</x:v>
      </x:c>
      <x:c r="D817" s="51" t="str">
        <x:v>Payment token service providers</x:v>
      </x:c>
      <x:c r="E817" s="51" t="str">
        <x:v>ACT-MERCHANTSANDPLATFORMS</x:v>
      </x:c>
      <x:c r="F817" s="51" t="str">
        <x:v>Merchants and platforms</x:v>
      </x:c>
      <x:c r="G817" s="51" t="str">
        <x:v>Token service → merchant ecosystem</x:v>
      </x:c>
      <x:c r="H817" s="51" t="str">
        <x:v>Per credential and device</x:v>
      </x:c>
      <x:c r="I817" s="51" t="str">
        <x:v>Network or device tokenisation</x:v>
      </x:c>
      <x:c r="J817" s="51" t="str">
        <x:v>INS-258; INS-259</x:v>
      </x:c>
      <x:c r="K817" s="51" t="str">
        <x:v>Transaction-specific</x:v>
      </x:c>
      <x:c r="L817" s="51" t="str">
        <x:v>Primary account number and device context</x:v>
      </x:c>
      <x:c r="M817" s="51" t="str">
        <x:v>Restricted-use token</x:v>
      </x:c>
      <x:c r="N817" s="51" t="str">
        <x:v>Tokenisation reduces exposure of the underlying account identifier while preserving network reach</x:v>
      </x:c>
      <x:c r="O817" s="51" t="str">
        <x:v>Technological; informational; financial</x:v>
      </x:c>
      <x:c r="P817" s="51" t="str">
        <x:v>S1</x:v>
      </x:c>
      <x:c r="Q817" s="51" t="str">
        <x:v>High</x:v>
      </x:c>
      <x:c r="R817" s="51" t="str">
        <x:v>SRC-491; SRC-493</x:v>
      </x:c>
      <x:c r="S817" s="51" t="str">
        <x:v>Card networks provide security and authentication services around credentials and transactions.</x:v>
      </x:c>
      <x:c r="T817" s="51" t="str">
        <x:v>Elimination of fraud or the issuer's underlying account relationship.</x:v>
      </x:c>
      <x:c r="U817" s="51" t="str">
        <x:v>Tokens can still be abused and require lifecycle management.</x:v>
      </x:c>
      <x:c r="V817" s="51" t="str">
        <x:v>Active mechanism</x:v>
      </x:c>
      <x:c r="W817" s="51" t="str">
        <x:v>43;57</x:v>
      </x:c>
      <x:c r="X817" s="51" t="str">
        <x:v>2026-07-27</x:v>
      </x:c>
    </x:row>
    <x:row r="818">
      <x:c r="A818" s="51" t="str">
        <x:v>V12PAY-007</x:v>
      </x:c>
      <x:c r="B818" s="51" t="str">
        <x:v>Payment orchestration and embedded finance</x:v>
      </x:c>
      <x:c r="C818" s="51" t="str">
        <x:v>ACT-MERCHANTSANDPLATFORMS</x:v>
      </x:c>
      <x:c r="D818" s="51" t="str">
        <x:v>Merchants and platforms</x:v>
      </x:c>
      <x:c r="E818" s="51" t="str">
        <x:v>ACT-STRIPE</x:v>
      </x:c>
      <x:c r="F818" s="51" t="str">
        <x:v>Stripe</x:v>
      </x:c>
      <x:c r="G818" s="51" t="str">
        <x:v>Merchant/platform → orchestrator</x:v>
      </x:c>
      <x:c r="H818" s="51" t="str">
        <x:v>Ongoing</x:v>
      </x:c>
      <x:c r="I818" s="51" t="str">
        <x:v>Payment processing, billing and platform integration</x:v>
      </x:c>
      <x:c r="J818" s="51" t="str">
        <x:v>INS-260</x:v>
      </x:c>
      <x:c r="K818" s="51" t="str">
        <x:v>$1.9 trillion generated on Stripe in 2025</x:v>
      </x:c>
      <x:c r="L818" s="51" t="str">
        <x:v>Checkout, customer and transaction instructions</x:v>
      </x:c>
      <x:c r="M818" s="51" t="str">
        <x:v>Payment routing, billing, fraud signal and payout workflow</x:v>
      </x:c>
      <x:c r="N818" s="51" t="str">
        <x:v>A software integration converts access to many payment methods and banks into one programmable interface</x:v>
      </x:c>
      <x:c r="O818" s="51" t="str">
        <x:v>Financial; technological; informational</x:v>
      </x:c>
      <x:c r="P818" s="51" t="str">
        <x:v>E1</x:v>
      </x:c>
      <x:c r="Q818" s="51" t="str">
        <x:v>Very high</x:v>
      </x:c>
      <x:c r="R818" s="51" t="str">
        <x:v>SRC-495; SRC-496</x:v>
      </x:c>
      <x:c r="S818" s="51" t="str">
        <x:v>Stripe supports millions of businesses and $1.9 trillion of 2025 payment volume.</x:v>
      </x:c>
      <x:c r="T818" s="51" t="str">
        <x:v>Stripe being the seller in every transaction or owning the underlying card and bank networks.</x:v>
      </x:c>
      <x:c r="U818" s="51" t="str">
        <x:v>Stripe orchestrates services provided with financial and network partners.</x:v>
      </x:c>
      <x:c r="V818" s="51" t="str">
        <x:v>Active</x:v>
      </x:c>
      <x:c r="W818" s="51" t="str">
        <x:v>43;57</x:v>
      </x:c>
      <x:c r="X818" s="51" t="str">
        <x:v>2026-07-27</x:v>
      </x:c>
    </x:row>
    <x:row r="819">
      <x:c r="A819" s="51" t="str">
        <x:v>V12PAY-008</x:v>
      </x:c>
      <x:c r="B819" s="51" t="str">
        <x:v>Payment orchestration and embedded finance</x:v>
      </x:c>
      <x:c r="C819" s="51" t="str">
        <x:v>ACT-STRIPE</x:v>
      </x:c>
      <x:c r="D819" s="51" t="str">
        <x:v>Stripe</x:v>
      </x:c>
      <x:c r="E819" s="51" t="str">
        <x:v>ACT-VISA</x:v>
      </x:c>
      <x:c r="F819" s="51" t="str">
        <x:v>Visa</x:v>
      </x:c>
      <x:c r="G819" s="51" t="str">
        <x:v>Payment orchestrator → card network</x:v>
      </x:c>
      <x:c r="H819" s="51" t="str">
        <x:v>Ongoing</x:v>
      </x:c>
      <x:c r="I819" s="51" t="str">
        <x:v>Network processing and acceptance relationship</x:v>
      </x:c>
      <x:c r="J819" s="51" t="str">
        <x:v>INS-258; INS-260</x:v>
      </x:c>
      <x:c r="K819" s="51" t="str">
        <x:v>Transaction-specific</x:v>
      </x:c>
      <x:c r="L819" s="51" t="str">
        <x:v>Merchant card payment</x:v>
      </x:c>
      <x:c r="M819" s="51" t="str">
        <x:v>Visa network authorisation and settlement</x:v>
      </x:c>
      <x:c r="N819" s="51" t="str">
        <x:v>Payment platforms depend on underlying network rules while abstracting them from merchants</x:v>
      </x:c>
      <x:c r="O819" s="51" t="str">
        <x:v>Financial; technological; relational</x:v>
      </x:c>
      <x:c r="P819" s="51" t="str">
        <x:v>S1</x:v>
      </x:c>
      <x:c r="Q819" s="51" t="str">
        <x:v>High</x:v>
      </x:c>
      <x:c r="R819" s="51" t="str">
        <x:v>SRC-491; SRC-495</x:v>
      </x:c>
      <x:c r="S819" s="51" t="str">
        <x:v>Stripe supports card payments and Visa operates the underlying network.</x:v>
      </x:c>
      <x:c r="T819" s="51" t="str">
        <x:v>Exclusive dependence or Visa ownership of Stripe.</x:v>
      </x:c>
      <x:c r="U819" s="51" t="str">
        <x:v>Stripe routes across multiple networks and methods.</x:v>
      </x:c>
      <x:c r="V819" s="51" t="str">
        <x:v>Active</x:v>
      </x:c>
      <x:c r="W819" s="51" t="str">
        <x:v>43;57</x:v>
      </x:c>
      <x:c r="X819" s="51" t="str">
        <x:v>2026-07-27</x:v>
      </x:c>
    </x:row>
    <x:row r="820">
      <x:c r="A820" s="51" t="str">
        <x:v>V12PAY-009</x:v>
      </x:c>
      <x:c r="B820" s="51" t="str">
        <x:v>Payment orchestration and embedded finance</x:v>
      </x:c>
      <x:c r="C820" s="51" t="str">
        <x:v>ACT-STRIPE</x:v>
      </x:c>
      <x:c r="D820" s="51" t="str">
        <x:v>Stripe</x:v>
      </x:c>
      <x:c r="E820" s="51" t="str">
        <x:v>ACT-MASTERCARD</x:v>
      </x:c>
      <x:c r="F820" s="51" t="str">
        <x:v>Mastercard</x:v>
      </x:c>
      <x:c r="G820" s="51" t="str">
        <x:v>Payment orchestrator → card network</x:v>
      </x:c>
      <x:c r="H820" s="51" t="str">
        <x:v>Ongoing</x:v>
      </x:c>
      <x:c r="I820" s="51" t="str">
        <x:v>Network processing and acceptance relationship</x:v>
      </x:c>
      <x:c r="J820" s="51" t="str">
        <x:v>INS-259; INS-260</x:v>
      </x:c>
      <x:c r="K820" s="51" t="str">
        <x:v>Transaction-specific</x:v>
      </x:c>
      <x:c r="L820" s="51" t="str">
        <x:v>Merchant card payment</x:v>
      </x:c>
      <x:c r="M820" s="51" t="str">
        <x:v>Mastercard switching and settlement</x:v>
      </x:c>
      <x:c r="N820" s="51" t="str">
        <x:v>Orchestration consolidates multiple network connections into one merchant platform</x:v>
      </x:c>
      <x:c r="O820" s="51" t="str">
        <x:v>Financial; technological; relational</x:v>
      </x:c>
      <x:c r="P820" s="51" t="str">
        <x:v>S1</x:v>
      </x:c>
      <x:c r="Q820" s="51" t="str">
        <x:v>High</x:v>
      </x:c>
      <x:c r="R820" s="51" t="str">
        <x:v>SRC-493; SRC-495</x:v>
      </x:c>
      <x:c r="S820" s="51" t="str">
        <x:v>Stripe supports card transactions and Mastercard supplies network services.</x:v>
      </x:c>
      <x:c r="T820" s="51" t="str">
        <x:v>Mastercard control of Stripe product strategy.</x:v>
      </x:c>
      <x:c r="U820" s="51" t="str">
        <x:v>Commercial dependence is contract-specific and multi-network.</x:v>
      </x:c>
      <x:c r="V820" s="51" t="str">
        <x:v>Active</x:v>
      </x:c>
      <x:c r="W820" s="51" t="str">
        <x:v>43;57</x:v>
      </x:c>
      <x:c r="X820" s="51" t="str">
        <x:v>2026-07-27</x:v>
      </x:c>
    </x:row>
    <x:row r="821">
      <x:c r="A821" s="51" t="str">
        <x:v>V12RISK-001</x:v>
      </x:c>
      <x:c r="B821" s="51" t="str">
        <x:v>Fraud, identity, risk scoring and compliance</x:v>
      </x:c>
      <x:c r="C821" s="51" t="str">
        <x:v>ACT-LEXISNEXISRISKSOLUTIONS</x:v>
      </x:c>
      <x:c r="D821" s="51" t="str">
        <x:v>LexisNexis Risk Solutions</x:v>
      </x:c>
      <x:c r="E821" s="51" t="str">
        <x:v>ACT-FINANCIALCRIMECOMPLIANCE</x:v>
      </x:c>
      <x:c r="F821" s="51" t="str">
        <x:v>Financial crime compliance teams</x:v>
      </x:c>
      <x:c r="G821" s="51" t="str">
        <x:v>Risk platform → institutional users</x:v>
      </x:c>
      <x:c r="H821" s="51" t="str">
        <x:v>Ongoing</x:v>
      </x:c>
      <x:c r="I821" s="51" t="str">
        <x:v>Identity, fraud, sanctions and behavioural-intelligence services</x:v>
      </x:c>
      <x:c r="J821" s="51" t="str">
        <x:v>INS-269</x:v>
      </x:c>
      <x:c r="K821" s="51" t="str">
        <x:v>£3.485 billion 2025 RELX Risk revenue across segment</x:v>
      </x:c>
      <x:c r="L821" s="51" t="str">
        <x:v>Identity and transaction data</x:v>
      </x:c>
      <x:c r="M821" s="51" t="str">
        <x:v>Risk score, alert or investigative workflow</x:v>
      </x:c>
      <x:c r="N821" s="51" t="str">
        <x:v>Risk platforms convert shared data and models into approval, review or denial signals</x:v>
      </x:c>
      <x:c r="O821" s="51" t="str">
        <x:v>Informational; enforcement; financial</x:v>
      </x:c>
      <x:c r="P821" s="51" t="str">
        <x:v>E1</x:v>
      </x:c>
      <x:c r="Q821" s="51" t="str">
        <x:v>Very high</x:v>
      </x:c>
      <x:c r="R821" s="51" t="str">
        <x:v>SRC-518; SRC-519</x:v>
      </x:c>
      <x:c r="S821" s="51" t="str">
        <x:v>RELX reports strong growth in fraud, identity and financial-crime compliance solutions.</x:v>
      </x:c>
      <x:c r="T821" s="51" t="str">
        <x:v>A single universal score or automatic legal conclusion.</x:v>
      </x:c>
      <x:c r="U821" s="51" t="str">
        <x:v>Customers choose policies and remain responsible for decisions.</x:v>
      </x:c>
      <x:c r="V821" s="51" t="str">
        <x:v>Active</x:v>
      </x:c>
      <x:c r="W821" s="51" t="str">
        <x:v>43;57</x:v>
      </x:c>
      <x:c r="X821" s="51" t="str">
        <x:v>2026-07-27</x:v>
      </x:c>
    </x:row>
    <x:row r="822">
      <x:c r="A822" s="51" t="str">
        <x:v>V12RISK-002</x:v>
      </x:c>
      <x:c r="B822" s="51" t="str">
        <x:v>Fraud, identity, risk scoring and compliance</x:v>
      </x:c>
      <x:c r="C822" s="51" t="str">
        <x:v>ACT-LEXISNEXISRISKSOLUTIONS</x:v>
      </x:c>
      <x:c r="D822" s="51" t="str">
        <x:v>LexisNexis Risk Solutions</x:v>
      </x:c>
      <x:c r="E822" s="51" t="str">
        <x:v>ACT-GOVERNMENTBENEFITANDREVE</x:v>
      </x:c>
      <x:c r="F822" s="51" t="str">
        <x:v>Government benefit and revenue agencies</x:v>
      </x:c>
      <x:c r="G822" s="51" t="str">
        <x:v>Analytics provider → public agency</x:v>
      </x:c>
      <x:c r="H822" s="51" t="str">
        <x:v>Ongoing</x:v>
      </x:c>
      <x:c r="I822" s="51" t="str">
        <x:v>Eligibility, fraud, tax and identity analytics</x:v>
      </x:c>
      <x:c r="J822" s="51" t="str">
        <x:v>INS-269</x:v>
      </x:c>
      <x:c r="K822" s="51" t="str">
        <x:v>Contract-specific</x:v>
      </x:c>
      <x:c r="L822" s="51" t="str">
        <x:v>Government and commercial records</x:v>
      </x:c>
      <x:c r="M822" s="51" t="str">
        <x:v>Investigation lead, eligibility signal or fraud alert</x:v>
      </x:c>
      <x:c r="N822" s="51" t="str">
        <x:v>Private analytics can become an input into public allocation and enforcement</x:v>
      </x:c>
      <x:c r="O822" s="51" t="str">
        <x:v>Informational; institutional; enforcement</x:v>
      </x:c>
      <x:c r="P822" s="51" t="str">
        <x:v>E1</x:v>
      </x:c>
      <x:c r="Q822" s="51" t="str">
        <x:v>High</x:v>
      </x:c>
      <x:c r="R822" s="51" t="str">
        <x:v>SRC-518; SRC-519</x:v>
      </x:c>
      <x:c r="S822" s="51" t="str">
        <x:v>RELX describes government analytics for tax, identity fraud, benefits and crime prevention.</x:v>
      </x:c>
      <x:c r="T822" s="51" t="str">
        <x:v>Private company issuing final legal determinations or owning government records.</x:v>
      </x:c>
      <x:c r="U822" s="51" t="str">
        <x:v>Agency law, due process and contracts define final action.</x:v>
      </x:c>
      <x:c r="V822" s="51" t="str">
        <x:v>Active</x:v>
      </x:c>
      <x:c r="W822" s="51" t="str">
        <x:v>43;57</x:v>
      </x:c>
      <x:c r="X822" s="51" t="str">
        <x:v>2026-07-27</x:v>
      </x:c>
    </x:row>
    <x:row r="823">
      <x:c r="A823" s="51" t="str">
        <x:v>V12RISK-003</x:v>
      </x:c>
      <x:c r="B823" s="51" t="str">
        <x:v>Fraud, identity, risk scoring and compliance</x:v>
      </x:c>
      <x:c r="C823" s="51" t="str">
        <x:v>ACT-PALANTIRTECHNOLOGIES</x:v>
      </x:c>
      <x:c r="D823" s="51" t="str">
        <x:v>Palantir Technologies</x:v>
      </x:c>
      <x:c r="E823" s="51" t="str">
        <x:v>ACT-GOVERNMENTOPERATIONALCUS</x:v>
      </x:c>
      <x:c r="F823" s="51" t="str">
        <x:v>Government operational customers</x:v>
      </x:c>
      <x:c r="G823" s="51" t="str">
        <x:v>Software provider → public operations</x:v>
      </x:c>
      <x:c r="H823" s="51" t="str">
        <x:v>Ongoing</x:v>
      </x:c>
      <x:c r="I823" s="51" t="str">
        <x:v>Data integration, modelling and operational workflows</x:v>
      </x:c>
      <x:c r="J823" s="51" t="str">
        <x:v>INS-270</x:v>
      </x:c>
      <x:c r="K823" s="51" t="str">
        <x:v>$687 million US government revenue in Q1 2026</x:v>
      </x:c>
      <x:c r="L823" s="51" t="str">
        <x:v>Agency data and operational objectives</x:v>
      </x:c>
      <x:c r="M823" s="51" t="str">
        <x:v>Integrated decision support and action workflow</x:v>
      </x:c>
      <x:c r="N823" s="51" t="str">
        <x:v>A software platform converts fragmented public data into a common operational picture</x:v>
      </x:c>
      <x:c r="O823" s="51" t="str">
        <x:v>Informational; institutional; enforcement</x:v>
      </x:c>
      <x:c r="P823" s="51" t="str">
        <x:v>E1</x:v>
      </x:c>
      <x:c r="Q823" s="51" t="str">
        <x:v>Very high</x:v>
      </x:c>
      <x:c r="R823" s="51" t="str">
        <x:v>SRC-520; SRC-533</x:v>
      </x:c>
      <x:c r="S823" s="51" t="str">
        <x:v>Palantir reports large and growing government business and operational software deployments.</x:v>
      </x:c>
      <x:c r="T823" s="51" t="str">
        <x:v>Palantir making every governmental decision or owning all agency data.</x:v>
      </x:c>
      <x:c r="U823" s="51" t="str">
        <x:v>Customers configure objectives, permissions and actions.</x:v>
      </x:c>
      <x:c r="V823" s="51" t="str">
        <x:v>Active</x:v>
      </x:c>
      <x:c r="W823" s="51" t="str">
        <x:v>43;57</x:v>
      </x:c>
      <x:c r="X823" s="51" t="str">
        <x:v>2026-07-27</x:v>
      </x:c>
    </x:row>
    <x:row r="824">
      <x:c r="A824" s="51" t="str">
        <x:v>V12RISK-004</x:v>
      </x:c>
      <x:c r="B824" s="51" t="str">
        <x:v>Fraud, identity, risk scoring and compliance</x:v>
      </x:c>
      <x:c r="C824" s="51" t="str">
        <x:v>ACT-PALANTIRTECHNOLOGIES</x:v>
      </x:c>
      <x:c r="D824" s="51" t="str">
        <x:v>Palantir Technologies</x:v>
      </x:c>
      <x:c r="E824" s="51" t="str">
        <x:v>ACT-COMMERCIALCUSTOMERS</x:v>
      </x:c>
      <x:c r="F824" s="51" t="str">
        <x:v>Commercial customers</x:v>
      </x:c>
      <x:c r="G824" s="51" t="str">
        <x:v>Software provider → enterprises</x:v>
      </x:c>
      <x:c r="H824" s="51" t="str">
        <x:v>Ongoing</x:v>
      </x:c>
      <x:c r="I824" s="51" t="str">
        <x:v>AIP and operational data platform deployment</x:v>
      </x:c>
      <x:c r="J824" s="51" t="str">
        <x:v>INS-270</x:v>
      </x:c>
      <x:c r="K824" s="51" t="str">
        <x:v>US commercial remaining deal value $4.92 billion in Q1 2026 update</x:v>
      </x:c>
      <x:c r="L824" s="51" t="str">
        <x:v>Enterprise data, models and processes</x:v>
      </x:c>
      <x:c r="M824" s="51" t="str">
        <x:v>Integrated workflow and decision support</x:v>
      </x:c>
      <x:c r="N824" s="51" t="str">
        <x:v>The same integration architecture can convert private operational data into automated recommendations and actions</x:v>
      </x:c>
      <x:c r="O824" s="51" t="str">
        <x:v>Informational; financial; adaptive</x:v>
      </x:c>
      <x:c r="P824" s="51" t="str">
        <x:v>E1</x:v>
      </x:c>
      <x:c r="Q824" s="51" t="str">
        <x:v>High</x:v>
      </x:c>
      <x:c r="R824" s="51" t="str">
        <x:v>SRC-520; SRC-533</x:v>
      </x:c>
      <x:c r="S824" s="51" t="str">
        <x:v>Palantir reports substantial commercial deal value and revenue growth.</x:v>
      </x:c>
      <x:c r="T824" s="51" t="str">
        <x:v>A common covert system shared with government customers.</x:v>
      </x:c>
      <x:c r="U824" s="51" t="str">
        <x:v>Deployments are contract- and customer-specific.</x:v>
      </x:c>
      <x:c r="V824" s="51" t="str">
        <x:v>Active</x:v>
      </x:c>
      <x:c r="W824" s="51" t="str">
        <x:v>43;57</x:v>
      </x:c>
      <x:c r="X824" s="51" t="str">
        <x:v>2026-07-27</x:v>
      </x:c>
    </x:row>
    <x:row r="825">
      <x:c r="A825" s="51" t="str">
        <x:v>V12SAFE-001</x:v>
      </x:c>
      <x:c r="B825" s="51" t="str">
        <x:v>Sensor, evidence and public-safety networks</x:v>
      </x:c>
      <x:c r="C825" s="51" t="str">
        <x:v>ACT-AXONENTERPRISE</x:v>
      </x:c>
      <x:c r="D825" s="51" t="str">
        <x:v>Axon Enterprise</x:v>
      </x:c>
      <x:c r="E825" s="51" t="str">
        <x:v>ACT-LAWENFORCEMENTANDPUBLICS</x:v>
      </x:c>
      <x:c r="F825" s="51" t="str">
        <x:v>Law-enforcement and public-safety agencies</x:v>
      </x:c>
      <x:c r="G825" s="51" t="str">
        <x:v>Platform provider → agency</x:v>
      </x:c>
      <x:c r="H825" s="51" t="str">
        <x:v>Ongoing</x:v>
      </x:c>
      <x:c r="I825" s="51" t="str">
        <x:v>Devices, sensors, evidence and software subscription</x:v>
      </x:c>
      <x:c r="J825" s="51" t="str">
        <x:v>INS-271</x:v>
      </x:c>
      <x:c r="K825" s="51" t="str">
        <x:v>$807 million Q1 2026 revenue</x:v>
      </x:c>
      <x:c r="L825" s="51" t="str">
        <x:v>Body cameras, TASER, drones, records and agency workflows</x:v>
      </x:c>
      <x:c r="M825" s="51" t="str">
        <x:v>Connected public-safety platform</x:v>
      </x:c>
      <x:c r="N825" s="51" t="str">
        <x:v>Bundled devices and software convert field events into institutional evidence and operational data</x:v>
      </x:c>
      <x:c r="O825" s="51" t="str">
        <x:v>Informational; institutional; enforcement</x:v>
      </x:c>
      <x:c r="P825" s="51" t="str">
        <x:v>E1</x:v>
      </x:c>
      <x:c r="Q825" s="51" t="str">
        <x:v>Very high</x:v>
      </x:c>
      <x:c r="R825" s="51" t="str">
        <x:v>SRC-522; SRC-523; SRC-534</x:v>
      </x:c>
      <x:c r="S825" s="51" t="str">
        <x:v>Axon supplies integrated devices, evidence and AI-enabled public-safety tools.</x:v>
      </x:c>
      <x:c r="T825" s="51" t="str">
        <x:v>Axon exercising police authority or determining legal guilt.</x:v>
      </x:c>
      <x:c r="U825" s="51" t="str">
        <x:v>Agencies operate the tools under law and policy.</x:v>
      </x:c>
      <x:c r="V825" s="51" t="str">
        <x:v>Active</x:v>
      </x:c>
      <x:c r="W825" s="51" t="str">
        <x:v>43;57</x:v>
      </x:c>
      <x:c r="X825" s="51" t="str">
        <x:v>2026-07-27</x:v>
      </x:c>
    </x:row>
    <x:row r="826">
      <x:c r="A826" s="51" t="str">
        <x:v>V12SAFE-002</x:v>
      </x:c>
      <x:c r="B826" s="51" t="str">
        <x:v>Sensor, evidence and public-safety networks</x:v>
      </x:c>
      <x:c r="C826" s="51" t="str">
        <x:v>ACT-LAWENFORCEMENTANDPUBLICS</x:v>
      </x:c>
      <x:c r="D826" s="51" t="str">
        <x:v>Law-enforcement and public-safety agencies</x:v>
      </x:c>
      <x:c r="E826" s="51" t="str">
        <x:v>ACT-AXONEVIDENCE</x:v>
      </x:c>
      <x:c r="F826" s="51" t="str">
        <x:v>Axon Evidence</x:v>
      </x:c>
      <x:c r="G826" s="51" t="str">
        <x:v>Agency → evidence platform</x:v>
      </x:c>
      <x:c r="H826" s="51" t="str">
        <x:v>Ongoing</x:v>
      </x:c>
      <x:c r="I826" s="51" t="str">
        <x:v>Digital evidence storage and management</x:v>
      </x:c>
      <x:c r="J826" s="51" t="str">
        <x:v>INS-271</x:v>
      </x:c>
      <x:c r="K826" s="51" t="str">
        <x:v>Agency-specific</x:v>
      </x:c>
      <x:c r="L826" s="51" t="str">
        <x:v>Video, audio, records and metadata</x:v>
      </x:c>
      <x:c r="M826" s="51" t="str">
        <x:v>Searchable, shareable evidence record</x:v>
      </x:c>
      <x:c r="N826" s="51" t="str">
        <x:v>Cloud evidence systems convert distributed sensor output into persistent institutional memory</x:v>
      </x:c>
      <x:c r="O826" s="51" t="str">
        <x:v>Informational; enforcement; legal</x:v>
      </x:c>
      <x:c r="P826" s="51" t="str">
        <x:v>E1</x:v>
      </x:c>
      <x:c r="Q826" s="51" t="str">
        <x:v>High</x:v>
      </x:c>
      <x:c r="R826" s="51" t="str">
        <x:v>SRC-523</x:v>
      </x:c>
      <x:c r="S826" s="51" t="str">
        <x:v>Axon describes a cloud platform for managing and sharing evidence.</x:v>
      </x:c>
      <x:c r="T826" s="51" t="str">
        <x:v>Evidence accuracy, admissibility or lawful collection in every case.</x:v>
      </x:c>
      <x:c r="U826" s="51" t="str">
        <x:v>Chain of custody and legal standards remain case-specific.</x:v>
      </x:c>
      <x:c r="V826" s="51" t="str">
        <x:v>Active</x:v>
      </x:c>
      <x:c r="W826" s="51" t="str">
        <x:v>43;57</x:v>
      </x:c>
      <x:c r="X826" s="51" t="str">
        <x:v>2026-07-27</x:v>
      </x:c>
    </x:row>
    <x:row r="827">
      <x:c r="A827" s="51" t="str">
        <x:v>V12SAFE-003</x:v>
      </x:c>
      <x:c r="B827" s="51" t="str">
        <x:v>Sensor, evidence and public-safety networks</x:v>
      </x:c>
      <x:c r="C827" s="51" t="str">
        <x:v>ACT-FLOCKSAFETY</x:v>
      </x:c>
      <x:c r="D827" s="51" t="str">
        <x:v>Flock Safety</x:v>
      </x:c>
      <x:c r="E827" s="51" t="str">
        <x:v>ACT-LOCALPOLICECAMERANETWORK</x:v>
      </x:c>
      <x:c r="F827" s="51" t="str">
        <x:v>Local police camera networks</x:v>
      </x:c>
      <x:c r="G827" s="51" t="str">
        <x:v>Vendor → local network</x:v>
      </x:c>
      <x:c r="H827" s="51" t="str">
        <x:v>Ongoing</x:v>
      </x:c>
      <x:c r="I827" s="51" t="str">
        <x:v>LPR, video, drone and evidence platform</x:v>
      </x:c>
      <x:c r="J827" s="51" t="str">
        <x:v>INS-272</x:v>
      </x:c>
      <x:c r="K827" s="51" t="str">
        <x:v>Contract- and locality-specific</x:v>
      </x:c>
      <x:c r="L827" s="51" t="str">
        <x:v>Roadside and aerial sensor detections</x:v>
      </x:c>
      <x:c r="M827" s="51" t="str">
        <x:v>Searchable vehicle and incident evidence</x:v>
      </x:c>
      <x:c r="N827" s="51" t="str">
        <x:v>A shared software platform converts many local sensors into rapid cross-event search</x:v>
      </x:c>
      <x:c r="O827" s="51" t="str">
        <x:v>Informational; enforcement; relational</x:v>
      </x:c>
      <x:c r="P827" s="51" t="str">
        <x:v>E1</x:v>
      </x:c>
      <x:c r="Q827" s="51" t="str">
        <x:v>High</x:v>
      </x:c>
      <x:c r="R827" s="51" t="str">
        <x:v>SRC-525; SRC-526</x:v>
      </x:c>
      <x:c r="S827" s="51" t="str">
        <x:v>Flock supplies connected detection, investigation and response tools.</x:v>
      </x:c>
      <x:c r="T827" s="51" t="str">
        <x:v>National ownership of every camera or automatic federal access.</x:v>
      </x:c>
      <x:c r="U827" s="51" t="str">
        <x:v>Local agencies control contracts and sharing settings subject to platform design.</x:v>
      </x:c>
      <x:c r="V827" s="51" t="str">
        <x:v>Active</x:v>
      </x:c>
      <x:c r="W827" s="51" t="str">
        <x:v>43;57</x:v>
      </x:c>
      <x:c r="X827" s="51" t="str">
        <x:v>2026-07-27</x:v>
      </x:c>
    </x:row>
    <x:row r="828">
      <x:c r="A828" s="51" t="str">
        <x:v>V12SAFE-004</x:v>
      </x:c>
      <x:c r="B828" s="51" t="str">
        <x:v>Sensor, evidence and public-safety networks</x:v>
      </x:c>
      <x:c r="C828" s="51" t="str">
        <x:v>ACT-LOCALPOLICECAMERANETWORK</x:v>
      </x:c>
      <x:c r="D828" s="51" t="str">
        <x:v>Local police camera networks</x:v>
      </x:c>
      <x:c r="E828" s="51" t="str">
        <x:v>ACT-LAWENFORCEMENTANDPUBLICS</x:v>
      </x:c>
      <x:c r="F828" s="51" t="str">
        <x:v>Law-enforcement and public-safety agencies</x:v>
      </x:c>
      <x:c r="G828" s="51" t="str">
        <x:v>Local network → authorised agencies</x:v>
      </x:c>
      <x:c r="H828" s="51" t="str">
        <x:v>Configurable sharing</x:v>
      </x:c>
      <x:c r="I828" s="51" t="str">
        <x:v>One-to-one, radius or state-level evidence sharing</x:v>
      </x:c>
      <x:c r="J828" s="51" t="str">
        <x:v>INS-272</x:v>
      </x:c>
      <x:c r="K828" s="51" t="str">
        <x:v>Agency-selected</x:v>
      </x:c>
      <x:c r="L828" s="51" t="str">
        <x:v>Locally collected plate and video data</x:v>
      </x:c>
      <x:c r="M828" s="51" t="str">
        <x:v>Cross-jurisdictional search access</x:v>
      </x:c>
      <x:c r="N828" s="51" t="str">
        <x:v>Configurable sharing converts local surveillance into a wider investigative network</x:v>
      </x:c>
      <x:c r="O828" s="51" t="str">
        <x:v>Informational; institutional; enforcement</x:v>
      </x:c>
      <x:c r="P828" s="51" t="str">
        <x:v>E1</x:v>
      </x:c>
      <x:c r="Q828" s="51" t="str">
        <x:v>High</x:v>
      </x:c>
      <x:c r="R828" s="51" t="str">
        <x:v>SRC-526; SRC-527</x:v>
      </x:c>
      <x:c r="S828" s="51" t="str">
        <x:v>Flock states agencies can configure sharing and has acknowledged cases of inadvertent out-of-state access in California.</x:v>
      </x:c>
      <x:c r="T828" s="51" t="str">
        <x:v>Universal national access or error-free governance.</x:v>
      </x:c>
      <x:c r="U828" s="51" t="str">
        <x:v>Platform settings and agency practice can produce accidental over-sharing.</x:v>
      </x:c>
      <x:c r="V828" s="51" t="str">
        <x:v>Active with revised guardrails</x:v>
      </x:c>
      <x:c r="W828" s="51" t="str">
        <x:v>43;57</x:v>
      </x:c>
      <x:c r="X828" s="51" t="str">
        <x:v>2026-07-27</x:v>
      </x:c>
    </x:row>
    <x:row r="829">
      <x:c r="A829" s="51" t="str">
        <x:v>V13AML-001</x:v>
      </x:c>
      <x:c r="B829" s="51" t="str">
        <x:v>Global AML standards, evaluation and monitoring</x:v>
      </x:c>
      <x:c r="C829" s="51" t="str">
        <x:v>ACT-FINANCIALACTIONTASKFORCE</x:v>
      </x:c>
      <x:c r="D829" s="51" t="str">
        <x:v>Financial Action Task Force</x:v>
      </x:c>
      <x:c r="E829" s="51" t="str">
        <x:v>ACT-FATFMEMBERJURISDICTIONS</x:v>
      </x:c>
      <x:c r="F829" s="51" t="str">
        <x:v>FATF member jurisdictions</x:v>
      </x:c>
      <x:c r="G829" s="51" t="str">
        <x:v>Standards body → jurisdictions</x:v>
      </x:c>
      <x:c r="H829" s="51" t="str">
        <x:v>Ongoing</x:v>
      </x:c>
      <x:c r="I829" s="51" t="str">
        <x:v>Recommendations and assessment methodology</x:v>
      </x:c>
      <x:c r="J829" s="51" t="str">
        <x:v>INS-273</x:v>
      </x:c>
      <x:c r="K829" s="51" t="str">
        <x:v>Forty recommendations</x:v>
      </x:c>
      <x:c r="L829" s="51" t="str">
        <x:v>International consensus and risk evidence</x:v>
      </x:c>
      <x:c r="M829" s="51" t="str">
        <x:v>Domestic AML/CFT laws, institutions and supervision</x:v>
      </x:c>
      <x:c r="N829" s="51" t="str">
        <x:v>Standards become operational only through national implementation and evaluation</x:v>
      </x:c>
      <x:c r="O829" s="51" t="str">
        <x:v>Institutional; geopolitical; informational</x:v>
      </x:c>
      <x:c r="P829" s="51" t="str">
        <x:v>E1</x:v>
      </x:c>
      <x:c r="Q829" s="51" t="str">
        <x:v>Very high</x:v>
      </x:c>
      <x:c r="R829" s="51" t="str">
        <x:v>SRC-536</x:v>
      </x:c>
      <x:c r="S829" s="51" t="str">
        <x:v>FATF sets internationally recognised AML/CFT standards.</x:v>
      </x:c>
      <x:c r="T829" s="51" t="str">
        <x:v>Directly enforceable domestic law in every jurisdiction.</x:v>
      </x:c>
      <x:c r="U829" s="51" t="str">
        <x:v>National legal systems and implementation quality vary.</x:v>
      </x:c>
      <x:c r="V829" s="51" t="str">
        <x:v>Active</x:v>
      </x:c>
      <x:c r="W829" s="51" t="str">
        <x:v>44;57</x:v>
      </x:c>
      <x:c r="X829" s="51" t="str">
        <x:v>2026-07-27</x:v>
      </x:c>
    </x:row>
    <x:row r="830">
      <x:c r="A830" s="51" t="str">
        <x:v>V13AML-002</x:v>
      </x:c>
      <x:c r="B830" s="51" t="str">
        <x:v>Global AML standards, evaluation and monitoring</x:v>
      </x:c>
      <x:c r="C830" s="51" t="str">
        <x:v>ACT-FATFSTYLEREGIONALBODIES</x:v>
      </x:c>
      <x:c r="D830" s="51" t="str">
        <x:v>FATF-style regional bodies</x:v>
      </x:c>
      <x:c r="E830" s="51" t="str">
        <x:v>ACT-FATFMEMBERJURISDICTIONS</x:v>
      </x:c>
      <x:c r="F830" s="51" t="str">
        <x:v>FATF member jurisdictions</x:v>
      </x:c>
      <x:c r="G830" s="51" t="str">
        <x:v>Regional evaluators → jurisdictions</x:v>
      </x:c>
      <x:c r="H830" s="51" t="str">
        <x:v>Evaluation cycle</x:v>
      </x:c>
      <x:c r="I830" s="51" t="str">
        <x:v>Mutual evaluation and follow-up</x:v>
      </x:c>
      <x:c r="J830" s="51" t="str">
        <x:v>INS-273</x:v>
      </x:c>
      <x:c r="K830" s="51" t="str">
        <x:v>Jurisdiction-specific</x:v>
      </x:c>
      <x:c r="L830" s="51" t="str">
        <x:v>Laws, supervision and effectiveness evidence</x:v>
      </x:c>
      <x:c r="M830" s="51" t="str">
        <x:v>Ratings, recommendations and follow-up pressure</x:v>
      </x:c>
      <x:c r="N830" s="51" t="str">
        <x:v>Peer review converts technical standards into reputational and reform pressure</x:v>
      </x:c>
      <x:c r="O830" s="51" t="str">
        <x:v>Institutional; geopolitical; informational</x:v>
      </x:c>
      <x:c r="P830" s="51" t="str">
        <x:v>E1</x:v>
      </x:c>
      <x:c r="Q830" s="51" t="str">
        <x:v>High</x:v>
      </x:c>
      <x:c r="R830" s="51" t="str">
        <x:v>SRC-536; SRC-541</x:v>
      </x:c>
      <x:c r="S830" s="51" t="str">
        <x:v>Regional bodies support evaluations and follow-up within the FATF network.</x:v>
      </x:c>
      <x:c r="T830" s="51" t="str">
        <x:v>Automatic penalties or identical ratings across time.</x:v>
      </x:c>
      <x:c r="U830" s="51" t="str">
        <x:v>Assessments remain periodic and evidence dependent.</x:v>
      </x:c>
      <x:c r="V830" s="51" t="str">
        <x:v>Active</x:v>
      </x:c>
      <x:c r="W830" s="51" t="str">
        <x:v>44;57</x:v>
      </x:c>
      <x:c r="X830" s="51" t="str">
        <x:v>2026-07-27</x:v>
      </x:c>
    </x:row>
    <x:row r="831">
      <x:c r="A831" s="51" t="str">
        <x:v>V13AML-003</x:v>
      </x:c>
      <x:c r="B831" s="51" t="str">
        <x:v>Global AML standards, evaluation and monitoring</x:v>
      </x:c>
      <x:c r="C831" s="51" t="str">
        <x:v>ACT-FINANCIALACTIONTASKFORCE</x:v>
      </x:c>
      <x:c r="D831" s="51" t="str">
        <x:v>Financial Action Task Force</x:v>
      </x:c>
      <x:c r="E831" s="51" t="str">
        <x:v>ACT-JURISDICTIONSUNDERINCREA</x:v>
      </x:c>
      <x:c r="F831" s="51" t="str">
        <x:v>Jurisdictions under increased monitoring</x:v>
      </x:c>
      <x:c r="G831" s="51" t="str">
        <x:v>Standards body → monitored jurisdictions</x:v>
      </x:c>
      <x:c r="H831" s="51" t="str">
        <x:v>Current 2026</x:v>
      </x:c>
      <x:c r="I831" s="51" t="str">
        <x:v>Public monitoring and action plan</x:v>
      </x:c>
      <x:c r="J831" s="51" t="str">
        <x:v>INS-276</x:v>
      </x:c>
      <x:c r="K831" s="51" t="str">
        <x:v>Jurisdiction-specific commitments</x:v>
      </x:c>
      <x:c r="L831" s="51" t="str">
        <x:v>Evaluation deficiencies and political commitment</x:v>
      </x:c>
      <x:c r="M831" s="51" t="str">
        <x:v>Enhanced monitoring and reform milestones</x:v>
      </x:c>
      <x:c r="N831" s="51" t="str">
        <x:v>Public monitoring creates market and diplomatic pressure without constituting FATF economic sanctions</x:v>
      </x:c>
      <x:c r="O831" s="51" t="str">
        <x:v>Geopolitical; financial; institutional</x:v>
      </x:c>
      <x:c r="P831" s="51" t="str">
        <x:v>E1</x:v>
      </x:c>
      <x:c r="Q831" s="51" t="str">
        <x:v>Very high</x:v>
      </x:c>
      <x:c r="R831" s="51" t="str">
        <x:v>SRC-541; SRC-542</x:v>
      </x:c>
      <x:c r="S831" s="51" t="str">
        <x:v>FATF publicly identifies jurisdictions working through action plans.</x:v>
      </x:c>
      <x:c r="T831" s="51" t="str">
        <x:v>A legal prohibition on all transactions with the jurisdiction.</x:v>
      </x:c>
      <x:c r="U831" s="51" t="str">
        <x:v>Private institutions may react more strongly than FATF formally requires.</x:v>
      </x:c>
      <x:c r="V831" s="51" t="str">
        <x:v>Active</x:v>
      </x:c>
      <x:c r="W831" s="51" t="str">
        <x:v>44;57</x:v>
      </x:c>
      <x:c r="X831" s="51" t="str">
        <x:v>2026-07-27</x:v>
      </x:c>
    </x:row>
    <x:row r="832">
      <x:c r="A832" s="51" t="str">
        <x:v>V13AML-004</x:v>
      </x:c>
      <x:c r="B832" s="51" t="str">
        <x:v>Global AML standards, evaluation and monitoring</x:v>
      </x:c>
      <x:c r="C832" s="51" t="str">
        <x:v>ACT-FATFMEMBERJURISDICTIONS</x:v>
      </x:c>
      <x:c r="D832" s="51" t="str">
        <x:v>FATF member jurisdictions</x:v>
      </x:c>
      <x:c r="E832" s="51" t="str">
        <x:v>ACT-FINANCIALINSTITUTIONS</x:v>
      </x:c>
      <x:c r="F832" s="51" t="str">
        <x:v>Financial institutions</x:v>
      </x:c>
      <x:c r="G832" s="51" t="str">
        <x:v>Jurisdiction → obliged entities</x:v>
      </x:c>
      <x:c r="H832" s="51" t="str">
        <x:v>Domestic implementation</x:v>
      </x:c>
      <x:c r="I832" s="51" t="str">
        <x:v>Risk-based AML/CFT obligations</x:v>
      </x:c>
      <x:c r="J832" s="51" t="str">
        <x:v>INS-273; INS-274</x:v>
      </x:c>
      <x:c r="K832" s="51" t="str">
        <x:v>Institution-specific</x:v>
      </x:c>
      <x:c r="L832" s="51" t="str">
        <x:v>FATF standard and national law</x:v>
      </x:c>
      <x:c r="M832" s="51" t="str">
        <x:v>Customer due diligence, payment data, monitoring and reporting</x:v>
      </x:c>
      <x:c r="N832" s="51" t="str">
        <x:v>National law converts standards into private compliance duties</x:v>
      </x:c>
      <x:c r="O832" s="51" t="str">
        <x:v>Institutional; financial; informational</x:v>
      </x:c>
      <x:c r="P832" s="51" t="str">
        <x:v>S1</x:v>
      </x:c>
      <x:c r="Q832" s="51" t="str">
        <x:v>High</x:v>
      </x:c>
      <x:c r="R832" s="51" t="str">
        <x:v>SRC-536; SRC-539</x:v>
      </x:c>
      <x:c r="S832" s="51" t="str">
        <x:v>FATF standards are implemented through national rules imposed on institutions.</x:v>
      </x:c>
      <x:c r="T832" s="51" t="str">
        <x:v>Uniform global rules or identical risk thresholds.</x:v>
      </x:c>
      <x:c r="U832" s="51" t="str">
        <x:v>Domestic law and supervision determine details.</x:v>
      </x:c>
      <x:c r="V832" s="51" t="str">
        <x:v>Active</x:v>
      </x:c>
      <x:c r="W832" s="51" t="str">
        <x:v>44;57</x:v>
      </x:c>
      <x:c r="X832" s="51" t="str">
        <x:v>2026-07-27</x:v>
      </x:c>
    </x:row>
    <x:row r="833">
      <x:c r="A833" s="51" t="str">
        <x:v>V13AML-005</x:v>
      </x:c>
      <x:c r="B833" s="51" t="str">
        <x:v>Global AML standards, evaluation and monitoring</x:v>
      </x:c>
      <x:c r="C833" s="51" t="str">
        <x:v>ACT-GILESTHOMSON</x:v>
      </x:c>
      <x:c r="D833" s="51" t="str">
        <x:v>Giles Thomson</x:v>
      </x:c>
      <x:c r="E833" s="51" t="str">
        <x:v>ACT-FINANCIALACTIONTASKFORCE</x:v>
      </x:c>
      <x:c r="F833" s="51" t="str">
        <x:v>Financial Action Task Force</x:v>
      </x:c>
      <x:c r="G833" s="51" t="str">
        <x:v>President → standards body</x:v>
      </x:c>
      <x:c r="H833" s="51" t="str">
        <x:v>2026-07-01 to 2028-06-30</x:v>
      </x:c>
      <x:c r="I833" s="51" t="str">
        <x:v>FATF Presidency</x:v>
      </x:c>
      <x:c r="J833" s="51" t="str">
        <x:v>INS-273; INS-276</x:v>
      </x:c>
      <x:c r="K833" s="51" t="str">
        <x:v>Two-year term</x:v>
      </x:c>
      <x:c r="L833" s="51" t="str">
        <x:v>Plenary mandate and member appointment</x:v>
      </x:c>
      <x:c r="M833" s="51" t="str">
        <x:v>Agenda leadership and representation</x:v>
      </x:c>
      <x:c r="N833" s="51" t="str">
        <x:v>Formal presidency shapes priorities but does not unilaterally set standards</x:v>
      </x:c>
      <x:c r="O833" s="51" t="str">
        <x:v>Institutional; relational; geopolitical</x:v>
      </x:c>
      <x:c r="P833" s="51" t="str">
        <x:v>E1</x:v>
      </x:c>
      <x:c r="Q833" s="51" t="str">
        <x:v>Very high</x:v>
      </x:c>
      <x:c r="R833" s="51" t="str">
        <x:v>SRC-540; SRC-541</x:v>
      </x:c>
      <x:c r="S833" s="51" t="str">
        <x:v>Giles Thomson is FATF President for the stated term.</x:v>
      </x:c>
      <x:c r="T833" s="51" t="str">
        <x:v>Personal authority to impose national law or sanctions.</x:v>
      </x:c>
      <x:c r="U833" s="51" t="str">
        <x:v>FATF decisions remain member-driven.</x:v>
      </x:c>
      <x:c r="V833" s="51" t="str">
        <x:v>Active</x:v>
      </x:c>
      <x:c r="W833" s="51" t="str">
        <x:v>45;57</x:v>
      </x:c>
      <x:c r="X833" s="51" t="str">
        <x:v>2026-07-27</x:v>
      </x:c>
    </x:row>
    <x:row r="834">
      <x:c r="A834" s="51" t="str">
        <x:v>V13BO-001</x:v>
      </x:c>
      <x:c r="B834" s="51" t="str">
        <x:v>Beneficial ownership and legal-person transparency</x:v>
      </x:c>
      <x:c r="C834" s="51" t="str">
        <x:v>ACT-BENEFICIALOWNERS</x:v>
      </x:c>
      <x:c r="D834" s="51" t="str">
        <x:v>Beneficial owners</x:v>
      </x:c>
      <x:c r="E834" s="51" t="str">
        <x:v>ACT-LEGALPERSONS</x:v>
      </x:c>
      <x:c r="F834" s="51" t="str">
        <x:v>Legal persons</x:v>
      </x:c>
      <x:c r="G834" s="51" t="str">
        <x:v>Natural person → legal entity</x:v>
      </x:c>
      <x:c r="H834" s="51" t="str">
        <x:v>Ongoing</x:v>
      </x:c>
      <x:c r="I834" s="51" t="str">
        <x:v>Ultimate ownership or control relationship</x:v>
      </x:c>
      <x:c r="J834" s="51" t="str">
        <x:v>INS-275</x:v>
      </x:c>
      <x:c r="K834" s="51" t="str">
        <x:v>Ownership/control-specific</x:v>
      </x:c>
      <x:c r="L834" s="51" t="str">
        <x:v>Capital, voting, control or benefit</x:v>
      </x:c>
      <x:c r="M834" s="51" t="str">
        <x:v>Beneficial ownership status</x:v>
      </x:c>
      <x:c r="N834" s="51" t="str">
        <x:v>Beneficial ownership identifies the natural person behind formal legal structures</x:v>
      </x:c>
      <x:c r="O834" s="51" t="str">
        <x:v>Ownership; informational; financial</x:v>
      </x:c>
      <x:c r="P834" s="51" t="str">
        <x:v>S1</x:v>
      </x:c>
      <x:c r="Q834" s="51" t="str">
        <x:v>High</x:v>
      </x:c>
      <x:c r="R834" s="51" t="str">
        <x:v>SRC-537</x:v>
      </x:c>
      <x:c r="S834" s="51" t="str">
        <x:v>FATF standards focus on natural persons who ultimately own or control legal persons.</x:v>
      </x:c>
      <x:c r="T834" s="51" t="str">
        <x:v>Automatic proof of criminality or identical legal threshold everywhere.</x:v>
      </x:c>
      <x:c r="U834" s="51" t="str">
        <x:v>Definitions and thresholds vary by jurisdiction.</x:v>
      </x:c>
      <x:c r="V834" s="51" t="str">
        <x:v>Active</x:v>
      </x:c>
      <x:c r="W834" s="51" t="str">
        <x:v>44;57</x:v>
      </x:c>
      <x:c r="X834" s="51" t="str">
        <x:v>2026-07-27</x:v>
      </x:c>
    </x:row>
    <x:row r="835">
      <x:c r="A835" s="51" t="str">
        <x:v>V13BO-002</x:v>
      </x:c>
      <x:c r="B835" s="51" t="str">
        <x:v>Beneficial ownership and legal-person transparency</x:v>
      </x:c>
      <x:c r="C835" s="51" t="str">
        <x:v>ACT-LEGALPERSONS</x:v>
      </x:c>
      <x:c r="D835" s="51" t="str">
        <x:v>Legal persons</x:v>
      </x:c>
      <x:c r="E835" s="51" t="str">
        <x:v>ACT-COMPANYANDBENEFICIALOWNE</x:v>
      </x:c>
      <x:c r="F835" s="51" t="str">
        <x:v>Company and beneficial-ownership registries</x:v>
      </x:c>
      <x:c r="G835" s="51" t="str">
        <x:v>Entity → registry</x:v>
      </x:c>
      <x:c r="H835" s="51" t="str">
        <x:v>Formation and update cycle</x:v>
      </x:c>
      <x:c r="I835" s="51" t="str">
        <x:v>Legal and beneficial ownership filing</x:v>
      </x:c>
      <x:c r="J835" s="51" t="str">
        <x:v>INS-275</x:v>
      </x:c>
      <x:c r="K835" s="51" t="str">
        <x:v>Jurisdiction-specific</x:v>
      </x:c>
      <x:c r="L835" s="51" t="str">
        <x:v>Formation documents and ownership information</x:v>
      </x:c>
      <x:c r="M835" s="51" t="str">
        <x:v>Registry record accessible to authorised users</x:v>
      </x:c>
      <x:c r="N835" s="51" t="str">
        <x:v>Registry requirements convert private corporate structure into an official information trail</x:v>
      </x:c>
      <x:c r="O835" s="51" t="str">
        <x:v>Institutional; informational; ownership</x:v>
      </x:c>
      <x:c r="P835" s="51" t="str">
        <x:v>S1</x:v>
      </x:c>
      <x:c r="Q835" s="51" t="str">
        <x:v>High</x:v>
      </x:c>
      <x:c r="R835" s="51" t="str">
        <x:v>SRC-537</x:v>
      </x:c>
      <x:c r="S835" s="51" t="str">
        <x:v>FATF calls for adequate, accurate and up-to-date beneficial ownership information.</x:v>
      </x:c>
      <x:c r="T835" s="51" t="str">
        <x:v>Public universal access or perfect accuracy.</x:v>
      </x:c>
      <x:c r="U835" s="51" t="str">
        <x:v>Verification and access models differ.</x:v>
      </x:c>
      <x:c r="V835" s="51" t="str">
        <x:v>Active</x:v>
      </x:c>
      <x:c r="W835" s="51" t="str">
        <x:v>44;57</x:v>
      </x:c>
      <x:c r="X835" s="51" t="str">
        <x:v>2026-07-27</x:v>
      </x:c>
    </x:row>
    <x:row r="836">
      <x:c r="A836" s="51" t="str">
        <x:v>V13BO-003</x:v>
      </x:c>
      <x:c r="B836" s="51" t="str">
        <x:v>Beneficial ownership and legal-person transparency</x:v>
      </x:c>
      <x:c r="C836" s="51" t="str">
        <x:v>ACT-LEGALARRANGEMENTSANDTRUS</x:v>
      </x:c>
      <x:c r="D836" s="51" t="str">
        <x:v>Legal arrangements and trusts</x:v>
      </x:c>
      <x:c r="E836" s="51" t="str">
        <x:v>ACT-COMPANYANDBENEFICIALOWNE</x:v>
      </x:c>
      <x:c r="F836" s="51" t="str">
        <x:v>Company and beneficial-ownership registries</x:v>
      </x:c>
      <x:c r="G836" s="51" t="str">
        <x:v>Arrangement → competent information system</x:v>
      </x:c>
      <x:c r="H836" s="51" t="str">
        <x:v>Ongoing</x:v>
      </x:c>
      <x:c r="I836" s="51" t="str">
        <x:v>Trustee and beneficial-interest information</x:v>
      </x:c>
      <x:c r="J836" s="51" t="str">
        <x:v>INS-275</x:v>
      </x:c>
      <x:c r="K836" s="51" t="str">
        <x:v>Arrangement-specific</x:v>
      </x:c>
      <x:c r="L836" s="51" t="str">
        <x:v>Settlor, trustee, protector and beneficiary information</x:v>
      </x:c>
      <x:c r="M836" s="51" t="str">
        <x:v>Traceable control and benefit record</x:v>
      </x:c>
      <x:c r="N836" s="51" t="str">
        <x:v>Transparency rules aim to reveal control and benefit hidden behind legal title</x:v>
      </x:c>
      <x:c r="O836" s="51" t="str">
        <x:v>Ownership; informational; enforcement</x:v>
      </x:c>
      <x:c r="P836" s="51" t="str">
        <x:v>S1</x:v>
      </x:c>
      <x:c r="Q836" s="51" t="str">
        <x:v>High</x:v>
      </x:c>
      <x:c r="R836" s="51" t="str">
        <x:v>SRC-538</x:v>
      </x:c>
      <x:c r="S836" s="51" t="str">
        <x:v>FATF Recommendation 25 addresses legal arrangements and trust information.</x:v>
      </x:c>
      <x:c r="T836" s="51" t="str">
        <x:v>A trust always having separate legal personality or public registration.</x:v>
      </x:c>
      <x:c r="U836" s="51" t="str">
        <x:v>Implementation varies by legal tradition.</x:v>
      </x:c>
      <x:c r="V836" s="51" t="str">
        <x:v>Active</x:v>
      </x:c>
      <x:c r="W836" s="51" t="str">
        <x:v>44;57</x:v>
      </x:c>
      <x:c r="X836" s="51" t="str">
        <x:v>2026-07-27</x:v>
      </x:c>
    </x:row>
    <x:row r="837">
      <x:c r="A837" s="51" t="str">
        <x:v>V13BO-004</x:v>
      </x:c>
      <x:c r="B837" s="51" t="str">
        <x:v>Beneficial ownership and legal-person transparency</x:v>
      </x:c>
      <x:c r="C837" s="51" t="str">
        <x:v>ACT-FINCEN</x:v>
      </x:c>
      <x:c r="D837" s="51" t="str">
        <x:v>FinCEN</x:v>
      </x:c>
      <x:c r="E837" s="51" t="str">
        <x:v>ACT-FOREIGNREPORTINGCOMPANIE</x:v>
      </x:c>
      <x:c r="F837" s="51" t="str">
        <x:v>Foreign reporting companies</x:v>
      </x:c>
      <x:c r="G837" s="51" t="str">
        <x:v>Regulator → foreign entities</x:v>
      </x:c>
      <x:c r="H837" s="51" t="str">
        <x:v>Current 2026</x:v>
      </x:c>
      <x:c r="I837" s="51" t="str">
        <x:v>BOI reporting obligation</x:v>
      </x:c>
      <x:c r="J837" s="51" t="str">
        <x:v>INS-278</x:v>
      </x:c>
      <x:c r="K837" s="51" t="str">
        <x:v>Foreign-formed U.S.-registered entities within rule scope</x:v>
      </x:c>
      <x:c r="L837" s="51" t="str">
        <x:v>Entity and beneficial-owner information</x:v>
      </x:c>
      <x:c r="M837" s="51" t="str">
        <x:v>FinCEN BOI report</x:v>
      </x:c>
      <x:c r="N837" s="51" t="str">
        <x:v>The current interim rule narrows federal BOI reporting to qualifying foreign reporting companies</x:v>
      </x:c>
      <x:c r="O837" s="51" t="str">
        <x:v>Institutional; informational; enforcement</x:v>
      </x:c>
      <x:c r="P837" s="51" t="str">
        <x:v>E1</x:v>
      </x:c>
      <x:c r="Q837" s="51" t="str">
        <x:v>Very high</x:v>
      </x:c>
      <x:c r="R837" s="51" t="str">
        <x:v>SRC-545; SRC-546; SRC-547</x:v>
      </x:c>
      <x:c r="S837" s="51" t="str">
        <x:v>Foreign reporting companies remain within the revised reporting-company definition subject to exemptions.</x:v>
      </x:c>
      <x:c r="T837" s="51" t="str">
        <x:v>A universal U.S. company registry or reporting by every domestic company.</x:v>
      </x:c>
      <x:c r="U837" s="51" t="str">
        <x:v>The rule exempts domestic U.S.-created entities.</x:v>
      </x:c>
      <x:c r="V837" s="51" t="str">
        <x:v>Active interim rule</x:v>
      </x:c>
      <x:c r="W837" s="51" t="str">
        <x:v>44;57</x:v>
      </x:c>
      <x:c r="X837" s="51" t="str">
        <x:v>2026-07-27</x:v>
      </x:c>
    </x:row>
    <x:row r="838">
      <x:c r="A838" s="51" t="str">
        <x:v>V13BO-005</x:v>
      </x:c>
      <x:c r="B838" s="51" t="str">
        <x:v>Beneficial ownership and legal-person transparency</x:v>
      </x:c>
      <x:c r="C838" s="51" t="str">
        <x:v>ACT-FINCEN</x:v>
      </x:c>
      <x:c r="D838" s="51" t="str">
        <x:v>FinCEN</x:v>
      </x:c>
      <x:c r="E838" s="51" t="str">
        <x:v>ACT-DOMESTICUSLEGALENTITIES</x:v>
      </x:c>
      <x:c r="F838" s="51" t="str">
        <x:v>Domestic U.S. legal entities</x:v>
      </x:c>
      <x:c r="G838" s="51" t="str">
        <x:v>Regulator → domestic entities</x:v>
      </x:c>
      <x:c r="H838" s="51" t="str">
        <x:v>From 2025-03-26</x:v>
      </x:c>
      <x:c r="I838" s="51" t="str">
        <x:v>Regulatory exemption</x:v>
      </x:c>
      <x:c r="J838" s="51" t="str">
        <x:v>INS-278</x:v>
      </x:c>
      <x:c r="K838" s="51" t="str">
        <x:v>All U.S.-created entities under interim rule</x:v>
      </x:c>
      <x:c r="L838" s="51" t="str">
        <x:v>Prior reporting obligation</x:v>
      </x:c>
      <x:c r="M838" s="51" t="str">
        <x:v>Exemption from federal BOI reporting</x:v>
      </x:c>
      <x:c r="N838" s="51" t="str">
        <x:v>Regulatory change removed a broad reporting duty from domestic entities</x:v>
      </x:c>
      <x:c r="O838" s="51" t="str">
        <x:v>Institutional; informational; political</x:v>
      </x:c>
      <x:c r="P838" s="51" t="str">
        <x:v>E1</x:v>
      </x:c>
      <x:c r="Q838" s="51" t="str">
        <x:v>Very high</x:v>
      </x:c>
      <x:c r="R838" s="51" t="str">
        <x:v>SRC-545; SRC-546; SRC-547</x:v>
      </x:c>
      <x:c r="S838" s="51" t="str">
        <x:v>Domestic U.S. entities and U.S. persons are exempt under the interim final rule.</x:v>
      </x:c>
      <x:c r="T838" s="51" t="str">
        <x:v>Absence of ownership information in all state, tax or bank records.</x:v>
      </x:c>
      <x:c r="U838" s="51" t="str">
        <x:v>Other laws and private due diligence still apply.</x:v>
      </x:c>
      <x:c r="V838" s="51" t="str">
        <x:v>Active interim rule</x:v>
      </x:c>
      <x:c r="W838" s="51" t="str">
        <x:v>44;57</x:v>
      </x:c>
      <x:c r="X838" s="51" t="str">
        <x:v>2026-07-27</x:v>
      </x:c>
    </x:row>
    <x:row r="839">
      <x:c r="A839" s="51" t="str">
        <x:v>V13EU-001</x:v>
      </x:c>
      <x:c r="B839" s="51" t="str">
        <x:v>EU AML supervision and FIU coordination</x:v>
      </x:c>
      <x:c r="C839" s="51" t="str">
        <x:v>ACT-EUNATIONALAMLSUPERVISORS</x:v>
      </x:c>
      <x:c r="D839" s="51" t="str">
        <x:v>EU national AML supervisors</x:v>
      </x:c>
      <x:c r="E839" s="51" t="str">
        <x:v>ACT-AMLA</x:v>
      </x:c>
      <x:c r="F839" s="51" t="str">
        <x:v>AMLA</x:v>
      </x:c>
      <x:c r="G839" s="51" t="str">
        <x:v>National supervisors → EU authority</x:v>
      </x:c>
      <x:c r="H839" s="51" t="str">
        <x:v>2026–2027 selection process</x:v>
      </x:c>
      <x:c r="I839" s="51" t="str">
        <x:v>Risk-data submission and supervisory coordination</x:v>
      </x:c>
      <x:c r="J839" s="51" t="str">
        <x:v>INS-279</x:v>
      </x:c>
      <x:c r="K839" s="51" t="str">
        <x:v>Data for eligible institutions due in selection process</x:v>
      </x:c>
      <x:c r="L839" s="51" t="str">
        <x:v>National supervisory and institution-risk data</x:v>
      </x:c>
      <x:c r="M839" s="51" t="str">
        <x:v>EU-level risk model and eligible-entity list</x:v>
      </x:c>
      <x:c r="N839" s="51" t="str">
        <x:v>Centralised data collection converts separate national supervision into comparable EU risk selection</x:v>
      </x:c>
      <x:c r="O839" s="51" t="str">
        <x:v>Institutional; informational; geopolitical</x:v>
      </x:c>
      <x:c r="P839" s="51" t="str">
        <x:v>E1</x:v>
      </x:c>
      <x:c r="Q839" s="51" t="str">
        <x:v>Very high</x:v>
      </x:c>
      <x:c r="R839" s="51" t="str">
        <x:v>SRC-549; SRC-550; SRC-551</x:v>
      </x:c>
      <x:c r="S839" s="51" t="str">
        <x:v>AMLA is collecting and calibrating data for future direct-supervision selection.</x:v>
      </x:c>
      <x:c r="T839" s="51" t="str">
        <x:v>Current direct supervision of 40 institutions in 2026.</x:v>
      </x:c>
      <x:c r="U839" s="51" t="str">
        <x:v>Direct supervision begins in 2028 after selection.</x:v>
      </x:c>
      <x:c r="V839" s="51" t="str">
        <x:v>Implementation</x:v>
      </x:c>
      <x:c r="W839" s="51" t="str">
        <x:v>44;57</x:v>
      </x:c>
      <x:c r="X839" s="51" t="str">
        <x:v>2026-07-27</x:v>
      </x:c>
    </x:row>
    <x:row r="840">
      <x:c r="A840" s="51" t="str">
        <x:v>V13EU-002</x:v>
      </x:c>
      <x:c r="B840" s="51" t="str">
        <x:v>EU AML supervision and FIU coordination</x:v>
      </x:c>
      <x:c r="C840" s="51" t="str">
        <x:v>ACT-AMLA</x:v>
      </x:c>
      <x:c r="D840" s="51" t="str">
        <x:v>AMLA</x:v>
      </x:c>
      <x:c r="E840" s="51" t="str">
        <x:v>ACT-EUHIGHRISKFINANCIALINSTI</x:v>
      </x:c>
      <x:c r="F840" s="51" t="str">
        <x:v>EU high-risk financial institutions</x:v>
      </x:c>
      <x:c r="G840" s="51" t="str">
        <x:v>EU authority → selected institutions</x:v>
      </x:c>
      <x:c r="H840" s="51" t="str">
        <x:v>From 2028</x:v>
      </x:c>
      <x:c r="I840" s="51" t="str">
        <x:v>Direct AML/CFT supervision</x:v>
      </x:c>
      <x:c r="J840" s="51" t="str">
        <x:v>INS-279</x:v>
      </x:c>
      <x:c r="K840" s="51" t="str">
        <x:v>Up to 40 high-risk institutions or groups</x:v>
      </x:c>
      <x:c r="L840" s="51" t="str">
        <x:v>EU selection methodology and risk evidence</x:v>
      </x:c>
      <x:c r="M840" s="51" t="str">
        <x:v>Direct supervisory relationship</x:v>
      </x:c>
      <x:c r="N840" s="51" t="str">
        <x:v>AMLA will centralise supervision of a limited set of high-impact institutions</x:v>
      </x:c>
      <x:c r="O840" s="51" t="str">
        <x:v>Institutional; enforcement; financial</x:v>
      </x:c>
      <x:c r="P840" s="51" t="str">
        <x:v>E1</x:v>
      </x:c>
      <x:c r="Q840" s="51" t="str">
        <x:v>Very high</x:v>
      </x:c>
      <x:c r="R840" s="51" t="str">
        <x:v>SRC-549; SRC-550</x:v>
      </x:c>
      <x:c r="S840" s="51" t="str">
        <x:v>AMLA plans direct supervision of up to 40 selected groups from 2028.</x:v>
      </x:c>
      <x:c r="T840" s="51" t="str">
        <x:v>Supervision of every EU bank or direct authority in 2026.</x:v>
      </x:c>
      <x:c r="U840" s="51" t="str">
        <x:v>Most institutions remain under national supervision.</x:v>
      </x:c>
      <x:c r="V840" s="51" t="str">
        <x:v>Future implementation</x:v>
      </x:c>
      <x:c r="W840" s="51" t="str">
        <x:v>44;57</x:v>
      </x:c>
      <x:c r="X840" s="51" t="str">
        <x:v>2026-07-27</x:v>
      </x:c>
    </x:row>
    <x:row r="841">
      <x:c r="A841" s="51" t="str">
        <x:v>V13EU-003</x:v>
      </x:c>
      <x:c r="B841" s="51" t="str">
        <x:v>EU AML supervision and FIU coordination</x:v>
      </x:c>
      <x:c r="C841" s="51" t="str">
        <x:v>ACT-AMLA</x:v>
      </x:c>
      <x:c r="D841" s="51" t="str">
        <x:v>AMLA</x:v>
      </x:c>
      <x:c r="E841" s="51" t="str">
        <x:v>ACT-EUFINANCIALINTELLIGENCEU</x:v>
      </x:c>
      <x:c r="F841" s="51" t="str">
        <x:v>EU financial intelligence units</x:v>
      </x:c>
      <x:c r="G841" s="51" t="str">
        <x:v>EU authority → national FIUs</x:v>
      </x:c>
      <x:c r="H841" s="51" t="str">
        <x:v>2025 onward</x:v>
      </x:c>
      <x:c r="I841" s="51" t="str">
        <x:v>Coordination, support and information infrastructure</x:v>
      </x:c>
      <x:c r="J841" s="51" t="str">
        <x:v>INS-279</x:v>
      </x:c>
      <x:c r="K841" s="51" t="str">
        <x:v>EU-wide network</x:v>
      </x:c>
      <x:c r="L841" s="51" t="str">
        <x:v>National FIU data and cooperation needs</x:v>
      </x:c>
      <x:c r="M841" s="51" t="str">
        <x:v>More consistent cross-border FIU cooperation</x:v>
      </x:c>
      <x:c r="N841" s="51" t="str">
        <x:v>AMLA adds a supranational coordination layer without replacing national FIUs</x:v>
      </x:c>
      <x:c r="O841" s="51" t="str">
        <x:v>Institutional; informational; geopolitical</x:v>
      </x:c>
      <x:c r="P841" s="51" t="str">
        <x:v>E1</x:v>
      </x:c>
      <x:c r="Q841" s="51" t="str">
        <x:v>High</x:v>
      </x:c>
      <x:c r="R841" s="51" t="str">
        <x:v>SRC-549</x:v>
      </x:c>
      <x:c r="S841" s="51" t="str">
        <x:v>AMLA has an EU role across supervision and FIU coordination.</x:v>
      </x:c>
      <x:c r="T841" s="51" t="str">
        <x:v>AMLA ownership of every national intelligence database or enforcement case.</x:v>
      </x:c>
      <x:c r="U841" s="51" t="str">
        <x:v>National FIUs retain statutory mandates.</x:v>
      </x:c>
      <x:c r="V841" s="51" t="str">
        <x:v>Implementation</x:v>
      </x:c>
      <x:c r="W841" s="51" t="str">
        <x:v>44;57</x:v>
      </x:c>
      <x:c r="X841" s="51" t="str">
        <x:v>2026-07-27</x:v>
      </x:c>
    </x:row>
    <x:row r="842">
      <x:c r="A842" s="51" t="str">
        <x:v>V13EU-004</x:v>
      </x:c>
      <x:c r="B842" s="51" t="str">
        <x:v>EU AML supervision and FIU coordination</x:v>
      </x:c>
      <x:c r="C842" s="51" t="str">
        <x:v>ACT-BRUNASZEGO</x:v>
      </x:c>
      <x:c r="D842" s="51" t="str">
        <x:v>Bruna Szego</x:v>
      </x:c>
      <x:c r="E842" s="51" t="str">
        <x:v>ACT-AMLA</x:v>
      </x:c>
      <x:c r="F842" s="51" t="str">
        <x:v>AMLA</x:v>
      </x:c>
      <x:c r="G842" s="51" t="str">
        <x:v>Chair → authority</x:v>
      </x:c>
      <x:c r="H842" s="51" t="str">
        <x:v>Current 2026</x:v>
      </x:c>
      <x:c r="I842" s="51" t="str">
        <x:v>Chair and governance role</x:v>
      </x:c>
      <x:c r="J842" s="51" t="str">
        <x:v>INS-279</x:v>
      </x:c>
      <x:c r="K842" s="51" t="str">
        <x:v>First AMLA Chair</x:v>
      </x:c>
      <x:c r="L842" s="51" t="str">
        <x:v>Council appointment and formal office</x:v>
      </x:c>
      <x:c r="M842" s="51" t="str">
        <x:v>Strategic leadership and representation</x:v>
      </x:c>
      <x:c r="N842" s="51" t="str">
        <x:v>Formal chair authority shapes institution-building but remains bounded by EU law and governing boards</x:v>
      </x:c>
      <x:c r="O842" s="51" t="str">
        <x:v>Institutional; relational; geopolitical</x:v>
      </x:c>
      <x:c r="P842" s="51" t="str">
        <x:v>E1</x:v>
      </x:c>
      <x:c r="Q842" s="51" t="str">
        <x:v>Very high</x:v>
      </x:c>
      <x:c r="R842" s="51" t="str">
        <x:v>SRC-552</x:v>
      </x:c>
      <x:c r="S842" s="51" t="str">
        <x:v>Bruna Szego is AMLA's first Chair.</x:v>
      </x:c>
      <x:c r="T842" s="51" t="str">
        <x:v>Personal authority over every national supervisor or regulated institution.</x:v>
      </x:c>
      <x:c r="U842" s="51" t="str">
        <x:v>AMLA governance is collective and legally defined.</x:v>
      </x:c>
      <x:c r="V842" s="51" t="str">
        <x:v>Active</x:v>
      </x:c>
      <x:c r="W842" s="51" t="str">
        <x:v>45;57</x:v>
      </x:c>
      <x:c r="X842" s="51" t="str">
        <x:v>2026-07-27</x:v>
      </x:c>
    </x:row>
    <x:row r="843">
      <x:c r="A843" s="51" t="str">
        <x:v>V13FIU-001</x:v>
      </x:c>
      <x:c r="B843" s="51" t="str">
        <x:v>Financial intelligence, suspicious reporting and dissemination</x:v>
      </x:c>
      <x:c r="C843" s="51" t="str">
        <x:v>ACT-USFINANCIALINSTITUTIONS</x:v>
      </x:c>
      <x:c r="D843" s="51" t="str">
        <x:v>U.S. financial institutions</x:v>
      </x:c>
      <x:c r="E843" s="51" t="str">
        <x:v>ACT-FINCEN</x:v>
      </x:c>
      <x:c r="F843" s="51" t="str">
        <x:v>FinCEN</x:v>
      </x:c>
      <x:c r="G843" s="51" t="str">
        <x:v>Reporting institutions → FIU</x:v>
      </x:c>
      <x:c r="H843" s="51" t="str">
        <x:v>Ongoing</x:v>
      </x:c>
      <x:c r="I843" s="51" t="str">
        <x:v>SAR, CTR and other BSA reporting</x:v>
      </x:c>
      <x:c r="J843" s="51" t="str">
        <x:v>INS-277</x:v>
      </x:c>
      <x:c r="K843" s="51" t="str">
        <x:v>Large annual reporting system</x:v>
      </x:c>
      <x:c r="L843" s="51" t="str">
        <x:v>Customer and transaction activity</x:v>
      </x:c>
      <x:c r="M843" s="51" t="str">
        <x:v>Financial-intelligence report</x:v>
      </x:c>
      <x:c r="N843" s="51" t="str">
        <x:v>Mandatory reporting converts private financial monitoring into state intelligence inputs</x:v>
      </x:c>
      <x:c r="O843" s="51" t="str">
        <x:v>Informational; institutional; enforcement</x:v>
      </x:c>
      <x:c r="P843" s="51" t="str">
        <x:v>E1</x:v>
      </x:c>
      <x:c r="Q843" s="51" t="str">
        <x:v>Very high</x:v>
      </x:c>
      <x:c r="R843" s="51" t="str">
        <x:v>SRC-543; SRC-544; SRC-548</x:v>
      </x:c>
      <x:c r="S843" s="51" t="str">
        <x:v>U.S. institutions file BSA reports including suspicious activity reports.</x:v>
      </x:c>
      <x:c r="T843" s="51" t="str">
        <x:v>Proof that the reported customer committed a crime.</x:v>
      </x:c>
      <x:c r="U843" s="51" t="str">
        <x:v>SARs are leads and must be assessed with other evidence.</x:v>
      </x:c>
      <x:c r="V843" s="51" t="str">
        <x:v>Active</x:v>
      </x:c>
      <x:c r="W843" s="51" t="str">
        <x:v>44;57</x:v>
      </x:c>
      <x:c r="X843" s="51" t="str">
        <x:v>2026-07-27</x:v>
      </x:c>
    </x:row>
    <x:row r="844">
      <x:c r="A844" s="51" t="str">
        <x:v>V13FIU-002</x:v>
      </x:c>
      <x:c r="B844" s="51" t="str">
        <x:v>Financial intelligence, suspicious reporting and dissemination</x:v>
      </x:c>
      <x:c r="C844" s="51" t="str">
        <x:v>ACT-FINCEN</x:v>
      </x:c>
      <x:c r="D844" s="51" t="str">
        <x:v>FinCEN</x:v>
      </x:c>
      <x:c r="E844" s="51" t="str">
        <x:v>ACT-FEDERALBUREAUOFINVESTIGA</x:v>
      </x:c>
      <x:c r="F844" s="51" t="str">
        <x:v>Federal Bureau of Investigation</x:v>
      </x:c>
      <x:c r="G844" s="51" t="str">
        <x:v>FIU → law enforcement</x:v>
      </x:c>
      <x:c r="H844" s="51" t="str">
        <x:v>Fiscal 2025</x:v>
      </x:c>
      <x:c r="I844" s="51" t="str">
        <x:v>Financial-intelligence dissemination</x:v>
      </x:c>
      <x:c r="J844" s="51" t="str">
        <x:v>INS-277</x:v>
      </x:c>
      <x:c r="K844" s="51" t="str">
        <x:v>5,957 arrests and 4,727 indictments tied to BSA reports in FY25 reporting</x:v>
      </x:c>
      <x:c r="L844" s="51" t="str">
        <x:v>BSA reports and analytical products</x:v>
      </x:c>
      <x:c r="M844" s="51" t="str">
        <x:v>Investigative leads and case support</x:v>
      </x:c>
      <x:c r="N844" s="51" t="str">
        <x:v>A central FIU converts distributed compliance reports into law-enforcement intelligence</x:v>
      </x:c>
      <x:c r="O844" s="51" t="str">
        <x:v>Informational; enforcement; institutional</x:v>
      </x:c>
      <x:c r="P844" s="51" t="str">
        <x:v>E1</x:v>
      </x:c>
      <x:c r="Q844" s="51" t="str">
        <x:v>Very high</x:v>
      </x:c>
      <x:c r="R844" s="51" t="str">
        <x:v>SRC-543</x:v>
      </x:c>
      <x:c r="S844" s="51" t="str">
        <x:v>FinCEN reported FBI cases tied to BSA reports.</x:v>
      </x:c>
      <x:c r="T844" s="51" t="str">
        <x:v>That BSA reports alone caused or proved every arrest and indictment.</x:v>
      </x:c>
      <x:c r="U844" s="51" t="str">
        <x:v>Investigations use multiple evidence sources.</x:v>
      </x:c>
      <x:c r="V844" s="51" t="str">
        <x:v>Active</x:v>
      </x:c>
      <x:c r="W844" s="51" t="str">
        <x:v>44;57</x:v>
      </x:c>
      <x:c r="X844" s="51" t="str">
        <x:v>2026-07-27</x:v>
      </x:c>
    </x:row>
    <x:row r="845">
      <x:c r="A845" s="51" t="str">
        <x:v>V13FIU-003</x:v>
      </x:c>
      <x:c r="B845" s="51" t="str">
        <x:v>Financial intelligence, suspicious reporting and dissemination</x:v>
      </x:c>
      <x:c r="C845" s="51" t="str">
        <x:v>ACT-FINCEN</x:v>
      </x:c>
      <x:c r="D845" s="51" t="str">
        <x:v>FinCEN</x:v>
      </x:c>
      <x:c r="E845" s="51" t="str">
        <x:v>ACT-FINANCIALINTELLIGENCEUNI</x:v>
      </x:c>
      <x:c r="F845" s="51" t="str">
        <x:v>Financial intelligence units</x:v>
      </x:c>
      <x:c r="G845" s="51" t="str">
        <x:v>FIU → FIU network</x:v>
      </x:c>
      <x:c r="H845" s="51" t="str">
        <x:v>Ongoing</x:v>
      </x:c>
      <x:c r="I845" s="51" t="str">
        <x:v>International information exchange and cooperation</x:v>
      </x:c>
      <x:c r="J845" s="51" t="str">
        <x:v>INS-277</x:v>
      </x:c>
      <x:c r="K845" s="51" t="str">
        <x:v>Case- and treaty-specific</x:v>
      </x:c>
      <x:c r="L845" s="51" t="str">
        <x:v>Financial intelligence and requests</x:v>
      </x:c>
      <x:c r="M845" s="51" t="str">
        <x:v>Cross-border investigative support</x:v>
      </x:c>
      <x:c r="N845" s="51" t="str">
        <x:v>FIU cooperation connects national reports to transnational investigations</x:v>
      </x:c>
      <x:c r="O845" s="51" t="str">
        <x:v>Informational; geopolitical; enforcement</x:v>
      </x:c>
      <x:c r="P845" s="51" t="str">
        <x:v>S1</x:v>
      </x:c>
      <x:c r="Q845" s="51" t="str">
        <x:v>High</x:v>
      </x:c>
      <x:c r="R845" s="51" t="str">
        <x:v>SRC-548</x:v>
      </x:c>
      <x:c r="S845" s="51" t="str">
        <x:v>FinCEN's mission includes analysis and dissemination of financial intelligence.</x:v>
      </x:c>
      <x:c r="T845" s="51" t="str">
        <x:v>Unlimited real-time access to all foreign financial data.</x:v>
      </x:c>
      <x:c r="U845" s="51" t="str">
        <x:v>Exchange depends on law, agreements and safeguards.</x:v>
      </x:c>
      <x:c r="V845" s="51" t="str">
        <x:v>Active</x:v>
      </x:c>
      <x:c r="W845" s="51" t="str">
        <x:v>44;57</x:v>
      </x:c>
      <x:c r="X845" s="51" t="str">
        <x:v>2026-07-27</x:v>
      </x:c>
    </x:row>
    <x:row r="846">
      <x:c r="A846" s="51" t="str">
        <x:v>V13FIU-004</x:v>
      </x:c>
      <x:c r="B846" s="51" t="str">
        <x:v>Financial intelligence, suspicious reporting and dissemination</x:v>
      </x:c>
      <x:c r="C846" s="51" t="str">
        <x:v>ACT-FINANCIALACTIONTASKFORCE</x:v>
      </x:c>
      <x:c r="D846" s="51" t="str">
        <x:v>Financial Action Task Force</x:v>
      </x:c>
      <x:c r="E846" s="51" t="str">
        <x:v>ACT-FINANCIALINTELLIGENCEUNI</x:v>
      </x:c>
      <x:c r="F846" s="51" t="str">
        <x:v>Financial intelligence units</x:v>
      </x:c>
      <x:c r="G846" s="51" t="str">
        <x:v>Standards body → FIUs</x:v>
      </x:c>
      <x:c r="H846" s="51" t="str">
        <x:v>Ongoing</x:v>
      </x:c>
      <x:c r="I846" s="51" t="str">
        <x:v>FIU standards and effectiveness expectations</x:v>
      </x:c>
      <x:c r="J846" s="51" t="str">
        <x:v>INS-273</x:v>
      </x:c>
      <x:c r="K846" s="51" t="str">
        <x:v>Global network</x:v>
      </x:c>
      <x:c r="L846" s="51" t="str">
        <x:v>AML/CFT standards</x:v>
      </x:c>
      <x:c r="M846" s="51" t="str">
        <x:v>Domestic FIU mandates and evaluation criteria</x:v>
      </x:c>
      <x:c r="N846" s="51" t="str">
        <x:v>FATF standards institutionalise FIUs as nodes between private reports and enforcement</x:v>
      </x:c>
      <x:c r="O846" s="51" t="str">
        <x:v>Institutional; informational; enforcement</x:v>
      </x:c>
      <x:c r="P846" s="51" t="str">
        <x:v>S1</x:v>
      </x:c>
      <x:c r="Q846" s="51" t="str">
        <x:v>High</x:v>
      </x:c>
      <x:c r="R846" s="51" t="str">
        <x:v>SRC-536</x:v>
      </x:c>
      <x:c r="S846" s="51" t="str">
        <x:v>FATF Recommendations include requirements for financial intelligence functions.</x:v>
      </x:c>
      <x:c r="T846" s="51" t="str">
        <x:v>A single global FIU or direct FATF access to national reports.</x:v>
      </x:c>
      <x:c r="U846" s="51" t="str">
        <x:v>FIUs remain national institutions.</x:v>
      </x:c>
      <x:c r="V846" s="51" t="str">
        <x:v>Active</x:v>
      </x:c>
      <x:c r="W846" s="51" t="str">
        <x:v>44;57</x:v>
      </x:c>
      <x:c r="X846" s="51" t="str">
        <x:v>2026-07-27</x:v>
      </x:c>
    </x:row>
    <x:row r="847">
      <x:c r="A847" s="51" t="str">
        <x:v>V13FORF-001</x:v>
      </x:c>
      <x:c r="B847" s="51" t="str">
        <x:v>Asset restraint, forfeiture and redistribution</x:v>
      </x:c>
      <x:c r="C847" s="51" t="str">
        <x:v>ACT-FEDERALLAWENFORCEMENTAGE</x:v>
      </x:c>
      <x:c r="D847" s="51" t="str">
        <x:v>Federal law-enforcement agencies</x:v>
      </x:c>
      <x:c r="E847" s="51" t="str">
        <x:v>ACT-DOJASSETFORFEITUREPROGRA</x:v>
      </x:c>
      <x:c r="F847" s="51" t="str">
        <x:v>DOJ Asset Forfeiture Program</x:v>
      </x:c>
      <x:c r="G847" s="51" t="str">
        <x:v>Agency → programme</x:v>
      </x:c>
      <x:c r="H847" s="51" t="str">
        <x:v>Case-specific</x:v>
      </x:c>
      <x:c r="I847" s="51" t="str">
        <x:v>Seizure and custody referral</x:v>
      </x:c>
      <x:c r="J847" s="51" t="str">
        <x:v>INS-288</x:v>
      </x:c>
      <x:c r="K847" s="51" t="str">
        <x:v>Asset-specific</x:v>
      </x:c>
      <x:c r="L847" s="51" t="str">
        <x:v>Probable-cause evidence and seized property</x:v>
      </x:c>
      <x:c r="M847" s="51" t="str">
        <x:v>Seized asset under federal custody</x:v>
      </x:c>
      <x:c r="N847" s="51" t="str">
        <x:v>Law-enforcement seizure converts suspected crime-linked property into restricted custody pending legal process</x:v>
      </x:c>
      <x:c r="O847" s="51" t="str">
        <x:v>Material; legal; enforcement</x:v>
      </x:c>
      <x:c r="P847" s="51" t="str">
        <x:v>E1</x:v>
      </x:c>
      <x:c r="Q847" s="51" t="str">
        <x:v>Very high</x:v>
      </x:c>
      <x:c r="R847" s="51" t="str">
        <x:v>SRC-577; SRC-578</x:v>
      </x:c>
      <x:c r="S847" s="51" t="str">
        <x:v>Federal agencies seize assets and use DOJ forfeiture procedures.</x:v>
      </x:c>
      <x:c r="T847" s="51" t="str">
        <x:v>Final loss of ownership at the moment of seizure.</x:v>
      </x:c>
      <x:c r="U847" s="51" t="str">
        <x:v>Owners and third parties may contest and courts adjudicate.</x:v>
      </x:c>
      <x:c r="V847" s="51" t="str">
        <x:v>Active</x:v>
      </x:c>
      <x:c r="W847" s="51" t="str">
        <x:v>44;57</x:v>
      </x:c>
      <x:c r="X847" s="51" t="str">
        <x:v>2026-07-27</x:v>
      </x:c>
    </x:row>
    <x:row r="848">
      <x:c r="A848" s="51" t="str">
        <x:v>V13FORF-002</x:v>
      </x:c>
      <x:c r="B848" s="51" t="str">
        <x:v>Asset restraint, forfeiture and redistribution</x:v>
      </x:c>
      <x:c r="C848" s="51" t="str">
        <x:v>ACT-FEDERALCOURTS</x:v>
      </x:c>
      <x:c r="D848" s="51" t="str">
        <x:v>Federal courts</x:v>
      </x:c>
      <x:c r="E848" s="51" t="str">
        <x:v>ACT-DOJASSETFORFEITUREPROGRA</x:v>
      </x:c>
      <x:c r="F848" s="51" t="str">
        <x:v>DOJ Asset Forfeiture Program</x:v>
      </x:c>
      <x:c r="G848" s="51" t="str">
        <x:v>Court → programme</x:v>
      </x:c>
      <x:c r="H848" s="51" t="str">
        <x:v>Case-specific</x:v>
      </x:c>
      <x:c r="I848" s="51" t="str">
        <x:v>Forfeiture judgment or order</x:v>
      </x:c>
      <x:c r="J848" s="51" t="str">
        <x:v>INS-288</x:v>
      </x:c>
      <x:c r="K848" s="51" t="str">
        <x:v>Asset-specific</x:v>
      </x:c>
      <x:c r="L848" s="51" t="str">
        <x:v>Civil or criminal forfeiture case</x:v>
      </x:c>
      <x:c r="M848" s="51" t="str">
        <x:v>Legally forfeited property</x:v>
      </x:c>
      <x:c r="N848" s="51" t="str">
        <x:v>Judicial orders convert temporary restraint into final forfeiture when legal standards are met</x:v>
      </x:c>
      <x:c r="O848" s="51" t="str">
        <x:v>Legal; ownership; enforcement</x:v>
      </x:c>
      <x:c r="P848" s="51" t="str">
        <x:v>E1</x:v>
      </x:c>
      <x:c r="Q848" s="51" t="str">
        <x:v>Very high</x:v>
      </x:c>
      <x:c r="R848" s="51" t="str">
        <x:v>SRC-577; SRC-578</x:v>
      </x:c>
      <x:c r="S848" s="51" t="str">
        <x:v>Courts issue orders in forfeiture proceedings.</x:v>
      </x:c>
      <x:c r="T848" s="51" t="str">
        <x:v>Every seized asset being forfeited or government ownership without process.</x:v>
      </x:c>
      <x:c r="U848" s="51" t="str">
        <x:v>Claims and procedural routes differ by case type.</x:v>
      </x:c>
      <x:c r="V848" s="51" t="str">
        <x:v>Active</x:v>
      </x:c>
      <x:c r="W848" s="51" t="str">
        <x:v>44;57</x:v>
      </x:c>
      <x:c r="X848" s="51" t="str">
        <x:v>2026-07-27</x:v>
      </x:c>
    </x:row>
    <x:row r="849">
      <x:c r="A849" s="51" t="str">
        <x:v>V13FORF-003</x:v>
      </x:c>
      <x:c r="B849" s="51" t="str">
        <x:v>Asset restraint, forfeiture and redistribution</x:v>
      </x:c>
      <x:c r="C849" s="51" t="str">
        <x:v>ACT-DOJASSETFORFEITUREPROGRA</x:v>
      </x:c>
      <x:c r="D849" s="51" t="str">
        <x:v>DOJ Asset Forfeiture Program</x:v>
      </x:c>
      <x:c r="E849" s="51" t="str">
        <x:v>ACT-VICTIMSANDLEGITIMATETHIR</x:v>
      </x:c>
      <x:c r="F849" s="51" t="str">
        <x:v>Victims and legitimate third parties</x:v>
      </x:c>
      <x:c r="G849" s="51" t="str">
        <x:v>Programme → claimants</x:v>
      </x:c>
      <x:c r="H849" s="51" t="str">
        <x:v>Post-forfeiture or claim process</x:v>
      </x:c>
      <x:c r="I849" s="51" t="str">
        <x:v>Restitution, remission or return</x:v>
      </x:c>
      <x:c r="J849" s="51" t="str">
        <x:v>INS-288</x:v>
      </x:c>
      <x:c r="K849" s="51" t="str">
        <x:v>Claim-specific</x:v>
      </x:c>
      <x:c r="L849" s="51" t="str">
        <x:v>Forfeited assets and verified claims</x:v>
      </x:c>
      <x:c r="M849" s="51" t="str">
        <x:v>Compensation or returned property</x:v>
      </x:c>
      <x:c r="N849" s="51" t="str">
        <x:v>Asset recovery can redirect value to victims and innocent owners rather than solely to the state</x:v>
      </x:c>
      <x:c r="O849" s="51" t="str">
        <x:v>Financial; legal; restorative</x:v>
      </x:c>
      <x:c r="P849" s="51" t="str">
        <x:v>E1</x:v>
      </x:c>
      <x:c r="Q849" s="51" t="str">
        <x:v>High</x:v>
      </x:c>
      <x:c r="R849" s="51" t="str">
        <x:v>SRC-577; SRC-578; SRC-580</x:v>
      </x:c>
      <x:c r="S849" s="51" t="str">
        <x:v>DOJ reports include victim and third-party payment mechanisms.</x:v>
      </x:c>
      <x:c r="T849" s="51" t="str">
        <x:v>Full compensation for every victim or automatic priority over all claims.</x:v>
      </x:c>
      <x:c r="U849" s="51" t="str">
        <x:v>Distribution depends on available assets and legal rules.</x:v>
      </x:c>
      <x:c r="V849" s="51" t="str">
        <x:v>Active</x:v>
      </x:c>
      <x:c r="W849" s="51" t="str">
        <x:v>44;57</x:v>
      </x:c>
      <x:c r="X849" s="51" t="str">
        <x:v>2026-07-27</x:v>
      </x:c>
    </x:row>
    <x:row r="850">
      <x:c r="A850" s="51" t="str">
        <x:v>V13FORF-004</x:v>
      </x:c>
      <x:c r="B850" s="51" t="str">
        <x:v>Asset restraint, forfeiture and redistribution</x:v>
      </x:c>
      <x:c r="C850" s="51" t="str">
        <x:v>ACT-DOJASSETFORFEITUREPROGRA</x:v>
      </x:c>
      <x:c r="D850" s="51" t="str">
        <x:v>DOJ Asset Forfeiture Program</x:v>
      </x:c>
      <x:c r="E850" s="51" t="str">
        <x:v>ACT-STATEANDLOCALLAWENFORCEM</x:v>
      </x:c>
      <x:c r="F850" s="51" t="str">
        <x:v>State and local law-enforcement agencies</x:v>
      </x:c>
      <x:c r="G850" s="51" t="str">
        <x:v>Federal programme → local agencies</x:v>
      </x:c>
      <x:c r="H850" s="51" t="str">
        <x:v>Annual distributions</x:v>
      </x:c>
      <x:c r="I850" s="51" t="str">
        <x:v>Equitable-sharing payment</x:v>
      </x:c>
      <x:c r="J850" s="51" t="str">
        <x:v>INS-288</x:v>
      </x:c>
      <x:c r="K850" s="51" t="str">
        <x:v>FY2025 reports by state and agency</x:v>
      </x:c>
      <x:c r="L850" s="51" t="str">
        <x:v>Forfeiture proceeds and eligible participation</x:v>
      </x:c>
      <x:c r="M850" s="51" t="str">
        <x:v>State or local law-enforcement funding</x:v>
      </x:c>
      <x:c r="N850" s="51" t="str">
        <x:v>Equitable sharing converts federal forfeiture proceeds into intergovernmental enforcement resources</x:v>
      </x:c>
      <x:c r="O850" s="51" t="str">
        <x:v>Financial; institutional; enforcement</x:v>
      </x:c>
      <x:c r="P850" s="51" t="str">
        <x:v>E1</x:v>
      </x:c>
      <x:c r="Q850" s="51" t="str">
        <x:v>High</x:v>
      </x:c>
      <x:c r="R850" s="51" t="str">
        <x:v>SRC-580</x:v>
      </x:c>
      <x:c r="S850" s="51" t="str">
        <x:v>DOJ publishes equitable-sharing reports and payments.</x:v>
      </x:c>
      <x:c r="T850" s="51" t="str">
        <x:v>A direct reward for every seizure or absence of programme safeguards.</x:v>
      </x:c>
      <x:c r="U850" s="51" t="str">
        <x:v>Eligibility and use are governed by policy and reporting.</x:v>
      </x:c>
      <x:c r="V850" s="51" t="str">
        <x:v>Active</x:v>
      </x:c>
      <x:c r="W850" s="51" t="str">
        <x:v>44;57</x:v>
      </x:c>
      <x:c r="X850" s="51" t="str">
        <x:v>2026-07-27</x:v>
      </x:c>
    </x:row>
    <x:row r="851">
      <x:c r="A851" s="51" t="str">
        <x:v>V13FORF-005</x:v>
      </x:c>
      <x:c r="B851" s="51" t="str">
        <x:v>Asset restraint, forfeiture and redistribution</x:v>
      </x:c>
      <x:c r="C851" s="51" t="str">
        <x:v>ACT-DOJASSETFORFEITUREPROGRA</x:v>
      </x:c>
      <x:c r="D851" s="51" t="str">
        <x:v>DOJ Asset Forfeiture Program</x:v>
      </x:c>
      <x:c r="E851" s="51" t="str">
        <x:v>ACT-FINANCIALCUSTODIANSANDPR</x:v>
      </x:c>
      <x:c r="F851" s="51" t="str">
        <x:v>Financial custodians and property holders</x:v>
      </x:c>
      <x:c r="G851" s="51" t="str">
        <x:v>Programme → custodians</x:v>
      </x:c>
      <x:c r="H851" s="51" t="str">
        <x:v>Case-specific</x:v>
      </x:c>
      <x:c r="I851" s="51" t="str">
        <x:v>Seizure, restraint and transfer instructions</x:v>
      </x:c>
      <x:c r="J851" s="51" t="str">
        <x:v>INS-288</x:v>
      </x:c>
      <x:c r="K851" s="51" t="str">
        <x:v>Asset-specific</x:v>
      </x:c>
      <x:c r="L851" s="51" t="str">
        <x:v>Court order or law-enforcement process</x:v>
      </x:c>
      <x:c r="M851" s="51" t="str">
        <x:v>Restricted, transferred or liquidated property</x:v>
      </x:c>
      <x:c r="N851" s="51" t="str">
        <x:v>Custody institutions become conversion points between legal orders and economic control</x:v>
      </x:c>
      <x:c r="O851" s="51" t="str">
        <x:v>Financial; material; enforcement</x:v>
      </x:c>
      <x:c r="P851" s="51" t="str">
        <x:v>S1</x:v>
      </x:c>
      <x:c r="Q851" s="51" t="str">
        <x:v>High</x:v>
      </x:c>
      <x:c r="R851" s="51" t="str">
        <x:v>SRC-577; SRC-578</x:v>
      </x:c>
      <x:c r="S851" s="51" t="str">
        <x:v>Forfeiture procedures require institutions to preserve and transfer covered assets.</x:v>
      </x:c>
      <x:c r="T851" s="51" t="str">
        <x:v>Custodian ownership or discretion to ignore valid claims.</x:v>
      </x:c>
      <x:c r="U851" s="51" t="str">
        <x:v>Legal process determines custody obligations.</x:v>
      </x:c>
      <x:c r="V851" s="51" t="str">
        <x:v>Active</x:v>
      </x:c>
      <x:c r="W851" s="51" t="str">
        <x:v>44;57</x:v>
      </x:c>
      <x:c r="X851" s="51" t="str">
        <x:v>2026-07-27</x:v>
      </x:c>
    </x:row>
    <x:row r="852">
      <x:c r="A852" s="51" t="str">
        <x:v>V13FORF-006</x:v>
      </x:c>
      <x:c r="B852" s="51" t="str">
        <x:v>Asset restraint, forfeiture and redistribution</x:v>
      </x:c>
      <x:c r="C852" s="51" t="str">
        <x:v>ACT-SCOTTBESSENT</x:v>
      </x:c>
      <x:c r="D852" s="51" t="str">
        <x:v>Scott Bessent</x:v>
      </x:c>
      <x:c r="E852" s="51" t="str">
        <x:v>ACT-USDEPARTMENTOFTHETREASUR</x:v>
      </x:c>
      <x:c r="F852" s="51" t="str">
        <x:v>U.S. Department of the Treasury</x:v>
      </x:c>
      <x:c r="G852" s="51" t="str">
        <x:v>Secretary → department</x:v>
      </x:c>
      <x:c r="H852" s="51" t="str">
        <x:v>Current 2026</x:v>
      </x:c>
      <x:c r="I852" s="51" t="str">
        <x:v>Secretary of the Treasury role</x:v>
      </x:c>
      <x:c r="J852" s="51" t="str">
        <x:v>INS-280; INS-281; INS-289</x:v>
      </x:c>
      <x:c r="K852" s="51" t="str">
        <x:v>Formal cabinet office</x:v>
      </x:c>
      <x:c r="L852" s="51" t="str">
        <x:v>Presidential appointment and statutory authority</x:v>
      </x:c>
      <x:c r="M852" s="51" t="str">
        <x:v>Leadership over Treasury sanctions and financial-intelligence policy</x:v>
      </x:c>
      <x:c r="N852" s="51" t="str">
        <x:v>Executive authority coordinates Treasury priorities but does not personally decide every designation or case</x:v>
      </x:c>
      <x:c r="O852" s="51" t="str">
        <x:v>Institutional; geopolitical; relational</x:v>
      </x:c>
      <x:c r="P852" s="51" t="str">
        <x:v>E1</x:v>
      </x:c>
      <x:c r="Q852" s="51" t="str">
        <x:v>Very high</x:v>
      </x:c>
      <x:c r="R852" s="51" t="str">
        <x:v>SRC-583</x:v>
      </x:c>
      <x:c r="S852" s="51" t="str">
        <x:v>Scott Bessent is the current Treasury Secretary.</x:v>
      </x:c>
      <x:c r="T852" s="51" t="str">
        <x:v>Personal ownership of blocked assets or unilateral judicial forfeiture power.</x:v>
      </x:c>
      <x:c r="U852" s="51" t="str">
        <x:v>Authorities are delegated across offices and constrained by law.</x:v>
      </x:c>
      <x:c r="V852" s="51" t="str">
        <x:v>Active</x:v>
      </x:c>
      <x:c r="W852" s="51" t="str">
        <x:v>45;57</x:v>
      </x:c>
      <x:c r="X852" s="51" t="str">
        <x:v>2026-07-27</x:v>
      </x:c>
    </x:row>
    <x:row r="853">
      <x:c r="A853" s="51" t="str">
        <x:v>V13PROC-001</x:v>
      </x:c>
      <x:c r="B853" s="51" t="str">
        <x:v>Procurement integrity, suspension and debarment</x:v>
      </x:c>
      <x:c r="C853" s="51" t="str">
        <x:v>ACT-WORLDBANKINTEGRITYVICEPR</x:v>
      </x:c>
      <x:c r="D853" s="51" t="str">
        <x:v>World Bank Integrity Vice Presidency</x:v>
      </x:c>
      <x:c r="E853" s="51" t="str">
        <x:v>ACT-WORLDBANKOFFICEOFSUSPENS</x:v>
      </x:c>
      <x:c r="F853" s="51" t="str">
        <x:v>World Bank Office of Suspension and Debarment</x:v>
      </x:c>
      <x:c r="G853" s="51" t="str">
        <x:v>Investigator → first-tier adjudicator</x:v>
      </x:c>
      <x:c r="H853" s="51" t="str">
        <x:v>Case-specific</x:v>
      </x:c>
      <x:c r="I853" s="51" t="str">
        <x:v>Statement of accusations and evidence</x:v>
      </x:c>
      <x:c r="J853" s="51" t="str">
        <x:v>INS-286</x:v>
      </x:c>
      <x:c r="K853" s="51" t="str">
        <x:v>FY25 case flow</x:v>
      </x:c>
      <x:c r="L853" s="51" t="str">
        <x:v>Investigation findings</x:v>
      </x:c>
      <x:c r="M853" s="51" t="str">
        <x:v>Notice, temporary suspension or review decision</x:v>
      </x:c>
      <x:c r="N853" s="51" t="str">
        <x:v>Separation of investigation and first-tier review creates an administrative due-process chain</x:v>
      </x:c>
      <x:c r="O853" s="51" t="str">
        <x:v>Institutional; legal; enforcement</x:v>
      </x:c>
      <x:c r="P853" s="51" t="str">
        <x:v>E1</x:v>
      </x:c>
      <x:c r="Q853" s="51" t="str">
        <x:v>Very high</x:v>
      </x:c>
      <x:c r="R853" s="51" t="str">
        <x:v>SRC-571; SRC-575</x:v>
      </x:c>
      <x:c r="S853" s="51" t="str">
        <x:v>World Bank INT investigates and OSD independently reviews accusations.</x:v>
      </x:c>
      <x:c r="T853" s="51" t="str">
        <x:v>A criminal prosecution or final judgment at the investigation stage.</x:v>
      </x:c>
      <x:c r="U853" s="51" t="str">
        <x:v>The sanctions system is administrative and multi-tiered.</x:v>
      </x:c>
      <x:c r="V853" s="51" t="str">
        <x:v>Active</x:v>
      </x:c>
      <x:c r="W853" s="51" t="str">
        <x:v>44;57</x:v>
      </x:c>
      <x:c r="X853" s="51" t="str">
        <x:v>2026-07-27</x:v>
      </x:c>
    </x:row>
    <x:row r="854">
      <x:c r="A854" s="51" t="str">
        <x:v>V13PROC-002</x:v>
      </x:c>
      <x:c r="B854" s="51" t="str">
        <x:v>Procurement integrity, suspension and debarment</x:v>
      </x:c>
      <x:c r="C854" s="51" t="str">
        <x:v>ACT-WORLDBANKOFFICEOFSUSPENS</x:v>
      </x:c>
      <x:c r="D854" s="51" t="str">
        <x:v>World Bank Office of Suspension and Debarment</x:v>
      </x:c>
      <x:c r="E854" s="51" t="str">
        <x:v>ACT-DEBARREDFIRMSANDINDIVIDU</x:v>
      </x:c>
      <x:c r="F854" s="51" t="str">
        <x:v>Debarred firms and individuals</x:v>
      </x:c>
      <x:c r="G854" s="51" t="str">
        <x:v>First-tier adjudicator → respondent</x:v>
      </x:c>
      <x:c r="H854" s="51" t="str">
        <x:v>Case-specific</x:v>
      </x:c>
      <x:c r="I854" s="51" t="str">
        <x:v>Temporary suspension, uncontested sanction or notice</x:v>
      </x:c>
      <x:c r="J854" s="51" t="str">
        <x:v>INS-286</x:v>
      </x:c>
      <x:c r="K854" s="51" t="str">
        <x:v>FY25 report includes temporary suspensions and sanctions</x:v>
      </x:c>
      <x:c r="L854" s="51" t="str">
        <x:v>Accusation, evidence and response rights</x:v>
      </x:c>
      <x:c r="M854" s="51" t="str">
        <x:v>Interim or first-tier exclusion status</x:v>
      </x:c>
      <x:c r="N854" s="51" t="str">
        <x:v>Administrative review converts integrity evidence into procurement eligibility consequences</x:v>
      </x:c>
      <x:c r="O854" s="51" t="str">
        <x:v>Institutional; financial; enforcement</x:v>
      </x:c>
      <x:c r="P854" s="51" t="str">
        <x:v>E1</x:v>
      </x:c>
      <x:c r="Q854" s="51" t="str">
        <x:v>Very high</x:v>
      </x:c>
      <x:c r="R854" s="51" t="str">
        <x:v>SRC-571; SRC-572; SRC-575</x:v>
      </x:c>
      <x:c r="S854" s="51" t="str">
        <x:v>OSD may temporarily suspend and sanction respondents under published procedures.</x:v>
      </x:c>
      <x:c r="T854" s="51" t="str">
        <x:v>Criminal conviction or permanent exclusion in every case.</x:v>
      </x:c>
      <x:c r="U854" s="51" t="str">
        <x:v>Respondents may contest cases and sanctions can be conditional or time-limited.</x:v>
      </x:c>
      <x:c r="V854" s="51" t="str">
        <x:v>Active</x:v>
      </x:c>
      <x:c r="W854" s="51" t="str">
        <x:v>44;57</x:v>
      </x:c>
      <x:c r="X854" s="51" t="str">
        <x:v>2026-07-27</x:v>
      </x:c>
    </x:row>
    <x:row r="855">
      <x:c r="A855" s="51" t="str">
        <x:v>V13PROC-003</x:v>
      </x:c>
      <x:c r="B855" s="51" t="str">
        <x:v>Procurement integrity, suspension and debarment</x:v>
      </x:c>
      <x:c r="C855" s="51" t="str">
        <x:v>ACT-WORLDBANKSANCTIONSBOARD</x:v>
      </x:c>
      <x:c r="D855" s="51" t="str">
        <x:v>World Bank Sanctions Board</x:v>
      </x:c>
      <x:c r="E855" s="51" t="str">
        <x:v>ACT-DEBARREDFIRMSANDINDIVIDU</x:v>
      </x:c>
      <x:c r="F855" s="51" t="str">
        <x:v>Debarred firms and individuals</x:v>
      </x:c>
      <x:c r="G855" s="51" t="str">
        <x:v>Second-tier adjudicator → respondent</x:v>
      </x:c>
      <x:c r="H855" s="51" t="str">
        <x:v>Contested case</x:v>
      </x:c>
      <x:c r="I855" s="51" t="str">
        <x:v>Final administrative sanctions decision</x:v>
      </x:c>
      <x:c r="J855" s="51" t="str">
        <x:v>INS-286</x:v>
      </x:c>
      <x:c r="K855" s="51" t="str">
        <x:v>Case-specific</x:v>
      </x:c>
      <x:c r="L855" s="51" t="str">
        <x:v>Record and arguments</x:v>
      </x:c>
      <x:c r="M855" s="51" t="str">
        <x:v>Non-appealable World Bank sanctions decision</x:v>
      </x:c>
      <x:c r="N855" s="51" t="str">
        <x:v>A separate adjudicative tier reviews contested sanctions cases</x:v>
      </x:c>
      <x:c r="O855" s="51" t="str">
        <x:v>Institutional; legal; enforcement</x:v>
      </x:c>
      <x:c r="P855" s="51" t="str">
        <x:v>E1</x:v>
      </x:c>
      <x:c r="Q855" s="51" t="str">
        <x:v>Very high</x:v>
      </x:c>
      <x:c r="R855" s="51" t="str">
        <x:v>SRC-571; SRC-572</x:v>
      </x:c>
      <x:c r="S855" s="51" t="str">
        <x:v>The Sanctions Board decides contested cases and publishes decisions.</x:v>
      </x:c>
      <x:c r="T855" s="51" t="str">
        <x:v>Domestic criminal conviction or automatic liability outside the Bank system.</x:v>
      </x:c>
      <x:c r="U855" s="51" t="str">
        <x:v>Legal effects are defined by the Bank and cross-debarment arrangements.</x:v>
      </x:c>
      <x:c r="V855" s="51" t="str">
        <x:v>Active</x:v>
      </x:c>
      <x:c r="W855" s="51" t="str">
        <x:v>44;57</x:v>
      </x:c>
      <x:c r="X855" s="51" t="str">
        <x:v>2026-07-27</x:v>
      </x:c>
    </x:row>
    <x:row r="856">
      <x:c r="A856" s="51" t="str">
        <x:v>V13PROC-004</x:v>
      </x:c>
      <x:c r="B856" s="51" t="str">
        <x:v>Procurement integrity, suspension and debarment</x:v>
      </x:c>
      <x:c r="C856" s="51" t="str">
        <x:v>ACT-WORLDBANK</x:v>
      </x:c>
      <x:c r="D856" s="51" t="str">
        <x:v>World Bank</x:v>
      </x:c>
      <x:c r="E856" s="51" t="str">
        <x:v>ACT-DEBARREDFIRMSANDINDIVIDU</x:v>
      </x:c>
      <x:c r="F856" s="51" t="str">
        <x:v>Debarred firms and individuals</x:v>
      </x:c>
      <x:c r="G856" s="51" t="str">
        <x:v>Financier → excluded suppliers</x:v>
      </x:c>
      <x:c r="H856" s="51" t="str">
        <x:v>Sanction period</x:v>
      </x:c>
      <x:c r="I856" s="51" t="str">
        <x:v>Listing of ineligible firms and individuals</x:v>
      </x:c>
      <x:c r="J856" s="51" t="str">
        <x:v>INS-286; INS-287</x:v>
      </x:c>
      <x:c r="K856" s="51" t="str">
        <x:v>Public list and defined periods</x:v>
      </x:c>
      <x:c r="L856" s="51" t="str">
        <x:v>Sanctions decision</x:v>
      </x:c>
      <x:c r="M856" s="51" t="str">
        <x:v>Ineligibility for World Bank-financed contracts</x:v>
      </x:c>
      <x:c r="N856" s="51" t="str">
        <x:v>Public listing translates an adjudicative decision into procurement controls</x:v>
      </x:c>
      <x:c r="O856" s="51" t="str">
        <x:v>Financial; institutional; informational</x:v>
      </x:c>
      <x:c r="P856" s="51" t="str">
        <x:v>E1</x:v>
      </x:c>
      <x:c r="Q856" s="51" t="str">
        <x:v>Very high</x:v>
      </x:c>
      <x:c r="R856" s="51" t="str">
        <x:v>SRC-573</x:v>
      </x:c>
      <x:c r="S856" s="51" t="str">
        <x:v>Listed firms and individuals are ineligible for defined Bank-financed contracts.</x:v>
      </x:c>
      <x:c r="T856" s="51" t="str">
        <x:v>Global prohibition on all public and private business.</x:v>
      </x:c>
      <x:c r="U856" s="51" t="str">
        <x:v>Scope and duration follow the sanctions decision.</x:v>
      </x:c>
      <x:c r="V856" s="51" t="str">
        <x:v>Active</x:v>
      </x:c>
      <x:c r="W856" s="51" t="str">
        <x:v>44;57</x:v>
      </x:c>
      <x:c r="X856" s="51" t="str">
        <x:v>2026-07-27</x:v>
      </x:c>
    </x:row>
    <x:row r="857">
      <x:c r="A857" s="51" t="str">
        <x:v>V13PROC-005</x:v>
      </x:c>
      <x:c r="B857" s="51" t="str">
        <x:v>Procurement integrity, suspension and debarment</x:v>
      </x:c>
      <x:c r="C857" s="51" t="str">
        <x:v>ACT-MULTILATERALDEVELOPMENTB</x:v>
      </x:c>
      <x:c r="D857" s="51" t="str">
        <x:v>Multilateral development banks</x:v>
      </x:c>
      <x:c r="E857" s="51" t="str">
        <x:v>ACT-DEBARREDFIRMSANDINDIVIDU</x:v>
      </x:c>
      <x:c r="F857" s="51" t="str">
        <x:v>Debarred firms and individuals</x:v>
      </x:c>
      <x:c r="G857" s="51" t="str">
        <x:v>MDB network → excluded suppliers</x:v>
      </x:c>
      <x:c r="H857" s="51" t="str">
        <x:v>Cross-debarment period</x:v>
      </x:c>
      <x:c r="I857" s="51" t="str">
        <x:v>Mutual enforcement of qualifying debarments</x:v>
      </x:c>
      <x:c r="J857" s="51" t="str">
        <x:v>INS-286</x:v>
      </x:c>
      <x:c r="K857" s="51" t="str">
        <x:v>Agreement-specific</x:v>
      </x:c>
      <x:c r="L857" s="51" t="str">
        <x:v>Qualifying sanctions decision</x:v>
      </x:c>
      <x:c r="M857" s="51" t="str">
        <x:v>Exclusion across participating MDB-financed procurement</x:v>
      </x:c>
      <x:c r="N857" s="51" t="str">
        <x:v>Cross-debarment multiplies the geographic and financial effect of one institutional decision</x:v>
      </x:c>
      <x:c r="O857" s="51" t="str">
        <x:v>Geopolitical; financial; enforcement</x:v>
      </x:c>
      <x:c r="P857" s="51" t="str">
        <x:v>E1</x:v>
      </x:c>
      <x:c r="Q857" s="51" t="str">
        <x:v>High</x:v>
      </x:c>
      <x:c r="R857" s="51" t="str">
        <x:v>SRC-571; SRC-574</x:v>
      </x:c>
      <x:c r="S857" s="51" t="str">
        <x:v>World Bank materials describe sanctions eligible for cross-debarment with other MDBs.</x:v>
      </x:c>
      <x:c r="T857" s="51" t="str">
        <x:v>Automatic recognition by every government or private buyer.</x:v>
      </x:c>
      <x:c r="U857" s="51" t="str">
        <x:v>Only qualifying sanctions and participating institutions are covered.</x:v>
      </x:c>
      <x:c r="V857" s="51" t="str">
        <x:v>Active</x:v>
      </x:c>
      <x:c r="W857" s="51" t="str">
        <x:v>44;57</x:v>
      </x:c>
      <x:c r="X857" s="51" t="str">
        <x:v>2026-07-27</x:v>
      </x:c>
    </x:row>
    <x:row r="858">
      <x:c r="A858" s="51" t="str">
        <x:v>V13PROC-006</x:v>
      </x:c>
      <x:c r="B858" s="51" t="str">
        <x:v>Procurement integrity, suspension and debarment</x:v>
      </x:c>
      <x:c r="C858" s="51" t="str">
        <x:v>ACT-PUBLICPROCURINGENTITIES</x:v>
      </x:c>
      <x:c r="D858" s="51" t="str">
        <x:v>Public procuring entities</x:v>
      </x:c>
      <x:c r="E858" s="51" t="str">
        <x:v>ACT-WORLDBANK</x:v>
      </x:c>
      <x:c r="F858" s="51" t="str">
        <x:v>World Bank</x:v>
      </x:c>
      <x:c r="G858" s="51" t="str">
        <x:v>Borrower/procurer → financier</x:v>
      </x:c>
      <x:c r="H858" s="51" t="str">
        <x:v>Procurement cycle</x:v>
      </x:c>
      <x:c r="I858" s="51" t="str">
        <x:v>Eligibility and sanctions-list check</x:v>
      </x:c>
      <x:c r="J858" s="51" t="str">
        <x:v>INS-287</x:v>
      </x:c>
      <x:c r="K858" s="51" t="str">
        <x:v>Project-specific</x:v>
      </x:c>
      <x:c r="L858" s="51" t="str">
        <x:v>Bidder identity and control information</x:v>
      </x:c>
      <x:c r="M858" s="51" t="str">
        <x:v>Eligibility confirmation or exclusion</x:v>
      </x:c>
      <x:c r="N858" s="51" t="str">
        <x:v>Procurement rules convert central debarment lists into local award decisions</x:v>
      </x:c>
      <x:c r="O858" s="51" t="str">
        <x:v>Financial; institutional; enforcement</x:v>
      </x:c>
      <x:c r="P858" s="51" t="str">
        <x:v>E1</x:v>
      </x:c>
      <x:c r="Q858" s="51" t="str">
        <x:v>High</x:v>
      </x:c>
      <x:c r="R858" s="51" t="str">
        <x:v>SRC-573; SRC-576</x:v>
      </x:c>
      <x:c r="S858" s="51" t="str">
        <x:v>World Bank-financed procurement requires exclusion checks and compliance with sanctions rules.</x:v>
      </x:c>
      <x:c r="T858" s="51" t="str">
        <x:v>World Bank selecting every contractor directly.</x:v>
      </x:c>
      <x:c r="U858" s="51" t="str">
        <x:v>Borrowers and procuring entities run procurement within Bank rules.</x:v>
      </x:c>
      <x:c r="V858" s="51" t="str">
        <x:v>Active</x:v>
      </x:c>
      <x:c r="W858" s="51" t="str">
        <x:v>44;57</x:v>
      </x:c>
      <x:c r="X858" s="51" t="str">
        <x:v>2026-07-27</x:v>
      </x:c>
    </x:row>
    <x:row r="859">
      <x:c r="A859" s="51" t="str">
        <x:v>V13SAN-001</x:v>
      </x:c>
      <x:c r="B859" s="51" t="str">
        <x:v>Sanctions designation, blocking and licensing</x:v>
      </x:c>
      <x:c r="C859" s="51" t="str">
        <x:v>ACT-USDEPARTMENTOFTHETREASUR</x:v>
      </x:c>
      <x:c r="D859" s="51" t="str">
        <x:v>U.S. Department of the Treasury</x:v>
      </x:c>
      <x:c r="E859" s="51" t="str">
        <x:v>ACT-OFFICEOFFOREIGNASSETSCON</x:v>
      </x:c>
      <x:c r="F859" s="51" t="str">
        <x:v>Office of Foreign Assets Control</x:v>
      </x:c>
      <x:c r="G859" s="51" t="str">
        <x:v>Department → sanctions authority</x:v>
      </x:c>
      <x:c r="H859" s="51" t="str">
        <x:v>Ongoing</x:v>
      </x:c>
      <x:c r="I859" s="51" t="str">
        <x:v>Delegated sanctions administration</x:v>
      </x:c>
      <x:c r="J859" s="51" t="str">
        <x:v>INS-280; INS-281</x:v>
      </x:c>
      <x:c r="K859" s="51" t="str">
        <x:v>Multiple programmes</x:v>
      </x:c>
      <x:c r="L859" s="51" t="str">
        <x:v>Statutes and executive authorities</x:v>
      </x:c>
      <x:c r="M859" s="51" t="str">
        <x:v>Designation, licensing and enforcement administration</x:v>
      </x:c>
      <x:c r="N859" s="51" t="str">
        <x:v>Executive and statutory authorities become operational through OFAC rules and lists</x:v>
      </x:c>
      <x:c r="O859" s="51" t="str">
        <x:v>Institutional; geopolitical; enforcement</x:v>
      </x:c>
      <x:c r="P859" s="51" t="str">
        <x:v>E1</x:v>
      </x:c>
      <x:c r="Q859" s="51" t="str">
        <x:v>Very high</x:v>
      </x:c>
      <x:c r="R859" s="51" t="str">
        <x:v>SRC-553; SRC-583</x:v>
      </x:c>
      <x:c r="S859" s="51" t="str">
        <x:v>OFAC is housed within Treasury and administers U.S. sanctions.</x:v>
      </x:c>
      <x:c r="T859" s="51" t="str">
        <x:v>Treasury ownership of all blocked property or automatic criminal conviction.</x:v>
      </x:c>
      <x:c r="U859" s="51" t="str">
        <x:v>Blocking and prosecution are separate processes.</x:v>
      </x:c>
      <x:c r="V859" s="51" t="str">
        <x:v>Active</x:v>
      </x:c>
      <x:c r="W859" s="51" t="str">
        <x:v>44;57</x:v>
      </x:c>
      <x:c r="X859" s="51" t="str">
        <x:v>2026-07-27</x:v>
      </x:c>
    </x:row>
    <x:row r="860">
      <x:c r="A860" s="51" t="str">
        <x:v>V13SAN-002</x:v>
      </x:c>
      <x:c r="B860" s="51" t="str">
        <x:v>Sanctions designation, blocking and licensing</x:v>
      </x:c>
      <x:c r="C860" s="51" t="str">
        <x:v>ACT-OFFICEOFFOREIGNASSETSCON</x:v>
      </x:c>
      <x:c r="D860" s="51" t="str">
        <x:v>Office of Foreign Assets Control</x:v>
      </x:c>
      <x:c r="E860" s="51" t="str">
        <x:v>ACT-SPECIALLYDESIGNATEDNATIO</x:v>
      </x:c>
      <x:c r="F860" s="51" t="str">
        <x:v>Specially Designated Nationals List</x:v>
      </x:c>
      <x:c r="G860" s="51" t="str">
        <x:v>Authority → list</x:v>
      </x:c>
      <x:c r="H860" s="51" t="str">
        <x:v>Ongoing</x:v>
      </x:c>
      <x:c r="I860" s="51" t="str">
        <x:v>Designation and list publication</x:v>
      </x:c>
      <x:c r="J860" s="51" t="str">
        <x:v>INS-280</x:v>
      </x:c>
      <x:c r="K860" s="51" t="str">
        <x:v>Continuously updated names and identifiers</x:v>
      </x:c>
      <x:c r="L860" s="51" t="str">
        <x:v>Legal designation record</x:v>
      </x:c>
      <x:c r="M860" s="51" t="str">
        <x:v>Machine-readable blocking list</x:v>
      </x:c>
      <x:c r="N860" s="51" t="str">
        <x:v>Publication converts a legal designation into a compliance object used across institutions</x:v>
      </x:c>
      <x:c r="O860" s="51" t="str">
        <x:v>Institutional; informational; enforcement</x:v>
      </x:c>
      <x:c r="P860" s="51" t="str">
        <x:v>E1</x:v>
      </x:c>
      <x:c r="Q860" s="51" t="str">
        <x:v>Very high</x:v>
      </x:c>
      <x:c r="R860" s="51" t="str">
        <x:v>SRC-553; SRC-554</x:v>
      </x:c>
      <x:c r="S860" s="51" t="str">
        <x:v>OFAC publishes the SDN List and data services.</x:v>
      </x:c>
      <x:c r="T860" s="51" t="str">
        <x:v>Perfect identity matching or proof that every name match is the target.</x:v>
      </x:c>
      <x:c r="U860" s="51" t="str">
        <x:v>Screening requires due diligence and false-positive resolution.</x:v>
      </x:c>
      <x:c r="V860" s="51" t="str">
        <x:v>Active</x:v>
      </x:c>
      <x:c r="W860" s="51" t="str">
        <x:v>44;57</x:v>
      </x:c>
      <x:c r="X860" s="51" t="str">
        <x:v>2026-07-27</x:v>
      </x:c>
    </x:row>
    <x:row r="861">
      <x:c r="A861" s="51" t="str">
        <x:v>V13SAN-003</x:v>
      </x:c>
      <x:c r="B861" s="51" t="str">
        <x:v>Sanctions designation, blocking and licensing</x:v>
      </x:c>
      <x:c r="C861" s="51" t="str">
        <x:v>ACT-OFFICEOFFOREIGNASSETSCON</x:v>
      </x:c>
      <x:c r="D861" s="51" t="str">
        <x:v>Office of Foreign Assets Control</x:v>
      </x:c>
      <x:c r="E861" s="51" t="str">
        <x:v>ACT-OFACCONSOLIDATEDNONSDNLI</x:v>
      </x:c>
      <x:c r="F861" s="51" t="str">
        <x:v>OFAC consolidated non-SDN lists</x:v>
      </x:c>
      <x:c r="G861" s="51" t="str">
        <x:v>Authority → restriction lists</x:v>
      </x:c>
      <x:c r="H861" s="51" t="str">
        <x:v>Ongoing</x:v>
      </x:c>
      <x:c r="I861" s="51" t="str">
        <x:v>Non-blocking sanctions-list publication</x:v>
      </x:c>
      <x:c r="J861" s="51" t="str">
        <x:v>INS-280</x:v>
      </x:c>
      <x:c r="K861" s="51" t="str">
        <x:v>Multiple list types</x:v>
      </x:c>
      <x:c r="L861" s="51" t="str">
        <x:v>Programme-specific restrictions</x:v>
      </x:c>
      <x:c r="M861" s="51" t="str">
        <x:v>Machine-readable restrictions below full blocking</x:v>
      </x:c>
      <x:c r="N861" s="51" t="str">
        <x:v>Sanctions architecture can restrict financing, securities or accounts without full asset blocking</x:v>
      </x:c>
      <x:c r="O861" s="51" t="str">
        <x:v>Institutional; financial; enforcement</x:v>
      </x:c>
      <x:c r="P861" s="51" t="str">
        <x:v>E1</x:v>
      </x:c>
      <x:c r="Q861" s="51" t="str">
        <x:v>Very high</x:v>
      </x:c>
      <x:c r="R861" s="51" t="str">
        <x:v>SRC-553; SRC-554</x:v>
      </x:c>
      <x:c r="S861" s="51" t="str">
        <x:v>OFAC maintains consolidated non-SDN list data.</x:v>
      </x:c>
      <x:c r="T861" s="51" t="str">
        <x:v>All listed persons being fully blocked SDNs.</x:v>
      </x:c>
      <x:c r="U861" s="51" t="str">
        <x:v>Legal effects differ by list and programme.</x:v>
      </x:c>
      <x:c r="V861" s="51" t="str">
        <x:v>Active</x:v>
      </x:c>
      <x:c r="W861" s="51" t="str">
        <x:v>44;57</x:v>
      </x:c>
      <x:c r="X861" s="51" t="str">
        <x:v>2026-07-27</x:v>
      </x:c>
    </x:row>
    <x:row r="862">
      <x:c r="A862" s="51" t="str">
        <x:v>V13SAN-004</x:v>
      </x:c>
      <x:c r="B862" s="51" t="str">
        <x:v>Sanctions designation, blocking and licensing</x:v>
      </x:c>
      <x:c r="C862" s="51" t="str">
        <x:v>ACT-SPECIALLYDESIGNATEDNATIO</x:v>
      </x:c>
      <x:c r="D862" s="51" t="str">
        <x:v>Specially Designated Nationals List</x:v>
      </x:c>
      <x:c r="E862" s="51" t="str">
        <x:v>ACT-BLOCKEDPERSONSANDENTITIE</x:v>
      </x:c>
      <x:c r="F862" s="51" t="str">
        <x:v>Blocked persons and entities</x:v>
      </x:c>
      <x:c r="G862" s="51" t="str">
        <x:v>List → target</x:v>
      </x:c>
      <x:c r="H862" s="51" t="str">
        <x:v>Designation period</x:v>
      </x:c>
      <x:c r="I862" s="51" t="str">
        <x:v>Blocking status</x:v>
      </x:c>
      <x:c r="J862" s="51" t="str">
        <x:v>INS-280</x:v>
      </x:c>
      <x:c r="K862" s="51" t="str">
        <x:v>Target-specific</x:v>
      </x:c>
      <x:c r="L862" s="51" t="str">
        <x:v>Legal designation and identifiers</x:v>
      </x:c>
      <x:c r="M862" s="51" t="str">
        <x:v>Property and transaction restrictions</x:v>
      </x:c>
      <x:c r="N862" s="51" t="str">
        <x:v>Designation translates foreign-policy authority into restrictions on property within U.S. jurisdiction or U.S.-person control</x:v>
      </x:c>
      <x:c r="O862" s="51" t="str">
        <x:v>Geopolitical; financial; enforcement</x:v>
      </x:c>
      <x:c r="P862" s="51" t="str">
        <x:v>E1</x:v>
      </x:c>
      <x:c r="Q862" s="51" t="str">
        <x:v>Very high</x:v>
      </x:c>
      <x:c r="R862" s="51" t="str">
        <x:v>SRC-553; SRC-554</x:v>
      </x:c>
      <x:c r="S862" s="51" t="str">
        <x:v>SDN designation generally triggers blocking and transaction prohibitions.</x:v>
      </x:c>
      <x:c r="T862" s="51" t="str">
        <x:v>Transfer of legal title to the U.S. government or final confiscation.</x:v>
      </x:c>
      <x:c r="U862" s="51" t="str">
        <x:v>Blocked property remains frozen unless authorised or later forfeited.</x:v>
      </x:c>
      <x:c r="V862" s="51" t="str">
        <x:v>Active</x:v>
      </x:c>
      <x:c r="W862" s="51" t="str">
        <x:v>44;57</x:v>
      </x:c>
      <x:c r="X862" s="51" t="str">
        <x:v>2026-07-27</x:v>
      </x:c>
    </x:row>
    <x:row r="863">
      <x:c r="A863" s="51" t="str">
        <x:v>V13SAN-005</x:v>
      </x:c>
      <x:c r="B863" s="51" t="str">
        <x:v>Sanctions designation, blocking and licensing</x:v>
      </x:c>
      <x:c r="C863" s="51" t="str">
        <x:v>ACT-BLOCKEDPERSONSANDENTITIE</x:v>
      </x:c>
      <x:c r="D863" s="51" t="str">
        <x:v>Blocked persons and entities</x:v>
      </x:c>
      <x:c r="E863" s="51" t="str">
        <x:v>ACT-LEGALPERSONS</x:v>
      </x:c>
      <x:c r="F863" s="51" t="str">
        <x:v>Legal persons</x:v>
      </x:c>
      <x:c r="G863" s="51" t="str">
        <x:v>Blocked owner → owned entity</x:v>
      </x:c>
      <x:c r="H863" s="51" t="str">
        <x:v>Ownership chain</x:v>
      </x:c>
      <x:c r="I863" s="51" t="str">
        <x:v>OFAC 50 Percent Rule propagation</x:v>
      </x:c>
      <x:c r="J863" s="51" t="str">
        <x:v>INS-280</x:v>
      </x:c>
      <x:c r="K863" s="51" t="str">
        <x:v>50% or more in aggregate, direct or indirect</x:v>
      </x:c>
      <x:c r="L863" s="51" t="str">
        <x:v>Ownership interests</x:v>
      </x:c>
      <x:c r="M863" s="51" t="str">
        <x:v>Automatic blocked-entity treatment</x:v>
      </x:c>
      <x:c r="N863" s="51" t="str">
        <x:v>Ownership thresholds propagate blocking status beyond names explicitly printed on the list</x:v>
      </x:c>
      <x:c r="O863" s="51" t="str">
        <x:v>Ownership; enforcement; informational</x:v>
      </x:c>
      <x:c r="P863" s="51" t="str">
        <x:v>E1</x:v>
      </x:c>
      <x:c r="Q863" s="51" t="str">
        <x:v>Very high</x:v>
      </x:c>
      <x:c r="R863" s="51" t="str">
        <x:v>SRC-555</x:v>
      </x:c>
      <x:c r="S863" s="51" t="str">
        <x:v>Entities owned 50% or more in aggregate by blocked persons are considered blocked.</x:v>
      </x:c>
      <x:c r="T863" s="51" t="str">
        <x:v>Automatic blocking based only on control below 50% ownership.</x:v>
      </x:c>
      <x:c r="U863" s="51" t="str">
        <x:v>OFAC distinguishes ownership from control for automatic application.</x:v>
      </x:c>
      <x:c r="V863" s="51" t="str">
        <x:v>Active</x:v>
      </x:c>
      <x:c r="W863" s="51" t="str">
        <x:v>44;57</x:v>
      </x:c>
      <x:c r="X863" s="51" t="str">
        <x:v>2026-07-27</x:v>
      </x:c>
    </x:row>
    <x:row r="864">
      <x:c r="A864" s="51" t="str">
        <x:v>V13SAN-006</x:v>
      </x:c>
      <x:c r="B864" s="51" t="str">
        <x:v>Sanctions designation, blocking and licensing</x:v>
      </x:c>
      <x:c r="C864" s="51" t="str">
        <x:v>ACT-USPERSONS</x:v>
      </x:c>
      <x:c r="D864" s="51" t="str">
        <x:v>U.S. persons</x:v>
      </x:c>
      <x:c r="E864" s="51" t="str">
        <x:v>ACT-FINANCIALCUSTODIANSANDPR</x:v>
      </x:c>
      <x:c r="F864" s="51" t="str">
        <x:v>Financial custodians and property holders</x:v>
      </x:c>
      <x:c r="G864" s="51" t="str">
        <x:v>Compliance duty → custodians</x:v>
      </x:c>
      <x:c r="H864" s="51" t="str">
        <x:v>When blocked property is encountered</x:v>
      </x:c>
      <x:c r="I864" s="51" t="str">
        <x:v>Blocking and reporting obligation</x:v>
      </x:c>
      <x:c r="J864" s="51" t="str">
        <x:v>INS-281</x:v>
      </x:c>
      <x:c r="K864" s="51" t="str">
        <x:v>Property-specific</x:v>
      </x:c>
      <x:c r="L864" s="51" t="str">
        <x:v>Property or interest in property of blocked target</x:v>
      </x:c>
      <x:c r="M864" s="51" t="str">
        <x:v>Frozen account or asset record</x:v>
      </x:c>
      <x:c r="N864" s="51" t="str">
        <x:v>Private custodians become enforcement nodes by immobilising property and preserving records</x:v>
      </x:c>
      <x:c r="O864" s="51" t="str">
        <x:v>Financial; institutional; enforcement</x:v>
      </x:c>
      <x:c r="P864" s="51" t="str">
        <x:v>E1</x:v>
      </x:c>
      <x:c r="Q864" s="51" t="str">
        <x:v>Very high</x:v>
      </x:c>
      <x:c r="R864" s="51" t="str">
        <x:v>SRC-553; SRC-556</x:v>
      </x:c>
      <x:c r="S864" s="51" t="str">
        <x:v>U.S. persons holding blocked property must block and report it.</x:v>
      </x:c>
      <x:c r="T864" s="51" t="str">
        <x:v>Ownership transfer to the custodian or authority to use the asset.</x:v>
      </x:c>
      <x:c r="U864" s="51" t="str">
        <x:v>Blocked assets must be segregated and reported.</x:v>
      </x:c>
      <x:c r="V864" s="51" t="str">
        <x:v>Active</x:v>
      </x:c>
      <x:c r="W864" s="51" t="str">
        <x:v>44;57</x:v>
      </x:c>
      <x:c r="X864" s="51" t="str">
        <x:v>2026-07-27</x:v>
      </x:c>
    </x:row>
    <x:row r="865">
      <x:c r="A865" s="51" t="str">
        <x:v>V13SAN-007</x:v>
      </x:c>
      <x:c r="B865" s="51" t="str">
        <x:v>Sanctions designation, blocking and licensing</x:v>
      </x:c>
      <x:c r="C865" s="51" t="str">
        <x:v>ACT-FINANCIALCUSTODIANSANDPR</x:v>
      </x:c>
      <x:c r="D865" s="51" t="str">
        <x:v>Financial custodians and property holders</x:v>
      </x:c>
      <x:c r="E865" s="51" t="str">
        <x:v>ACT-OFFICEOFFOREIGNASSETSCON</x:v>
      </x:c>
      <x:c r="F865" s="51" t="str">
        <x:v>Office of Foreign Assets Control</x:v>
      </x:c>
      <x:c r="G865" s="51" t="str">
        <x:v>Custodian → authority</x:v>
      </x:c>
      <x:c r="H865" s="51" t="str">
        <x:v>Annual and event-driven reporting</x:v>
      </x:c>
      <x:c r="I865" s="51" t="str">
        <x:v>Blocked-property reports</x:v>
      </x:c>
      <x:c r="J865" s="51" t="str">
        <x:v>INS-281</x:v>
      </x:c>
      <x:c r="K865" s="51" t="str">
        <x:v>Annual report due under OFAC rules</x:v>
      </x:c>
      <x:c r="L865" s="51" t="str">
        <x:v>Blocked property records</x:v>
      </x:c>
      <x:c r="M865" s="51" t="str">
        <x:v>Central sanctions inventory and compliance record</x:v>
      </x:c>
      <x:c r="N865" s="51" t="str">
        <x:v>Reporting converts dispersed private custody into state visibility over blocked property</x:v>
      </x:c>
      <x:c r="O865" s="51" t="str">
        <x:v>Informational; enforcement; financial</x:v>
      </x:c>
      <x:c r="P865" s="51" t="str">
        <x:v>E1</x:v>
      </x:c>
      <x:c r="Q865" s="51" t="str">
        <x:v>Very high</x:v>
      </x:c>
      <x:c r="R865" s="51" t="str">
        <x:v>SRC-556</x:v>
      </x:c>
      <x:c r="S865" s="51" t="str">
        <x:v>Holders report blocked property to OFAC, including annual reports.</x:v>
      </x:c>
      <x:c r="T865" s="51" t="str">
        <x:v>Public disclosure of every account or immediate forfeiture.</x:v>
      </x:c>
      <x:c r="U865" s="51" t="str">
        <x:v>Reports are regulatory records with confidentiality rules.</x:v>
      </x:c>
      <x:c r="V865" s="51" t="str">
        <x:v>Active</x:v>
      </x:c>
      <x:c r="W865" s="51" t="str">
        <x:v>44;57</x:v>
      </x:c>
      <x:c r="X865" s="51" t="str">
        <x:v>2026-07-27</x:v>
      </x:c>
    </x:row>
    <x:row r="866">
      <x:c r="A866" s="51" t="str">
        <x:v>V13SAN-008</x:v>
      </x:c>
      <x:c r="B866" s="51" t="str">
        <x:v>Sanctions designation, blocking and licensing</x:v>
      </x:c>
      <x:c r="C866" s="51" t="str">
        <x:v>ACT-OFFICEOFFOREIGNASSETSCON</x:v>
      </x:c>
      <x:c r="D866" s="51" t="str">
        <x:v>Office of Foreign Assets Control</x:v>
      </x:c>
      <x:c r="E866" s="51" t="str">
        <x:v>ACT-GENERALLICENSEBENEFICIAR</x:v>
      </x:c>
      <x:c r="F866" s="51" t="str">
        <x:v>General-license beneficiaries</x:v>
      </x:c>
      <x:c r="G866" s="51" t="str">
        <x:v>Authority → authorised actors</x:v>
      </x:c>
      <x:c r="H866" s="51" t="str">
        <x:v>Licence period</x:v>
      </x:c>
      <x:c r="I866" s="51" t="str">
        <x:v>General licence or programme exception</x:v>
      </x:c>
      <x:c r="J866" s="51" t="str">
        <x:v>INS-281</x:v>
      </x:c>
      <x:c r="K866" s="51" t="str">
        <x:v>Programme-specific</x:v>
      </x:c>
      <x:c r="L866" s="51" t="str">
        <x:v>Otherwise prohibited activity</x:v>
      </x:c>
      <x:c r="M866" s="51" t="str">
        <x:v>Authorised transaction class</x:v>
      </x:c>
      <x:c r="N866" s="51" t="str">
        <x:v>Licensing creates controlled exceptions for humanitarian, wind-down or policy-defined activity</x:v>
      </x:c>
      <x:c r="O866" s="51" t="str">
        <x:v>Institutional; financial; geopolitical</x:v>
      </x:c>
      <x:c r="P866" s="51" t="str">
        <x:v>E1</x:v>
      </x:c>
      <x:c r="Q866" s="51" t="str">
        <x:v>High</x:v>
      </x:c>
      <x:c r="R866" s="51" t="str">
        <x:v>SRC-553</x:v>
      </x:c>
      <x:c r="S866" s="51" t="str">
        <x:v>OFAC issues general and specific licences under sanctions programmes.</x:v>
      </x:c>
      <x:c r="T866" s="51" t="str">
        <x:v>Removal of the target from sanctions or permission beyond licence scope.</x:v>
      </x:c>
      <x:c r="U866" s="51" t="str">
        <x:v>Licence terms and expiry govern activity.</x:v>
      </x:c>
      <x:c r="V866" s="51" t="str">
        <x:v>Active</x:v>
      </x:c>
      <x:c r="W866" s="51" t="str">
        <x:v>44;57</x:v>
      </x:c>
      <x:c r="X866" s="51" t="str">
        <x:v>2026-07-27</x:v>
      </x:c>
    </x:row>
    <x:row r="867">
      <x:c r="A867" s="51" t="str">
        <x:v>V13SAN-009</x:v>
      </x:c>
      <x:c r="B867" s="51" t="str">
        <x:v>Sanctions designation, blocking and licensing</x:v>
      </x:c>
      <x:c r="C867" s="51" t="str">
        <x:v>ACT-OFFICEOFFOREIGNASSETSCON</x:v>
      </x:c>
      <x:c r="D867" s="51" t="str">
        <x:v>Office of Foreign Assets Control</x:v>
      </x:c>
      <x:c r="E867" s="51" t="str">
        <x:v>ACT-SANCTIONSCOMPLIANCETEAMS</x:v>
      </x:c>
      <x:c r="F867" s="51" t="str">
        <x:v>Sanctions compliance teams</x:v>
      </x:c>
      <x:c r="G867" s="51" t="str">
        <x:v>Authority → private compliance</x:v>
      </x:c>
      <x:c r="H867" s="51" t="str">
        <x:v>Ongoing</x:v>
      </x:c>
      <x:c r="I867" s="51" t="str">
        <x:v>List, guidance and enforcement signal</x:v>
      </x:c>
      <x:c r="J867" s="51" t="str">
        <x:v>INS-280; INS-281</x:v>
      </x:c>
      <x:c r="K867" s="51" t="str">
        <x:v>Institution-wide</x:v>
      </x:c>
      <x:c r="L867" s="51" t="str">
        <x:v>List data, FAQs, ownership rules and penalties</x:v>
      </x:c>
      <x:c r="M867" s="51" t="str">
        <x:v>Screening and escalation rules</x:v>
      </x:c>
      <x:c r="N867" s="51" t="str">
        <x:v>Regulatory publications and penalties shape private compliance systems</x:v>
      </x:c>
      <x:c r="O867" s="51" t="str">
        <x:v>Institutional; informational; financial</x:v>
      </x:c>
      <x:c r="P867" s="51" t="str">
        <x:v>E1</x:v>
      </x:c>
      <x:c r="Q867" s="51" t="str">
        <x:v>High</x:v>
      </x:c>
      <x:c r="R867" s="51" t="str">
        <x:v>SRC-554; SRC-555; SRC-557; SRC-558</x:v>
      </x:c>
      <x:c r="S867" s="51" t="str">
        <x:v>OFAC lists and enforcement actions provide compliance inputs and incentives.</x:v>
      </x:c>
      <x:c r="T867" s="51" t="str">
        <x:v>A requirement to reject every approximate name match automatically.</x:v>
      </x:c>
      <x:c r="U867" s="51" t="str">
        <x:v>Institutions must investigate context and legal scope.</x:v>
      </x:c>
      <x:c r="V867" s="51" t="str">
        <x:v>Active</x:v>
      </x:c>
      <x:c r="W867" s="51" t="str">
        <x:v>44;57</x:v>
      </x:c>
      <x:c r="X867" s="51" t="str">
        <x:v>2026-07-27</x:v>
      </x:c>
    </x:row>
    <x:row r="868">
      <x:c r="A868" s="51" t="str">
        <x:v>V13SAN-010</x:v>
      </x:c>
      <x:c r="B868" s="51" t="str">
        <x:v>Sanctions designation, blocking and licensing</x:v>
      </x:c>
      <x:c r="C868" s="51" t="str">
        <x:v>ACT-OFFICEOFFOREIGNASSETSCON</x:v>
      </x:c>
      <x:c r="D868" s="51" t="str">
        <x:v>Office of Foreign Assets Control</x:v>
      </x:c>
      <x:c r="E868" s="51" t="str">
        <x:v>ACT-USPERSONS</x:v>
      </x:c>
      <x:c r="F868" s="51" t="str">
        <x:v>U.S. persons</x:v>
      </x:c>
      <x:c r="G868" s="51" t="str">
        <x:v>Authority → regulated persons</x:v>
      </x:c>
      <x:c r="H868" s="51" t="str">
        <x:v>Ongoing</x:v>
      </x:c>
      <x:c r="I868" s="51" t="str">
        <x:v>Civil enforcement and penalties</x:v>
      </x:c>
      <x:c r="J868" s="51" t="str">
        <x:v>INS-281</x:v>
      </x:c>
      <x:c r="K868" s="51" t="str">
        <x:v>Case-specific penalties</x:v>
      </x:c>
      <x:c r="L868" s="51" t="str">
        <x:v>Prohibited transaction and compliance failure</x:v>
      </x:c>
      <x:c r="M868" s="51" t="str">
        <x:v>Settlement, penalty or finding of violation</x:v>
      </x:c>
      <x:c r="N868" s="51" t="str">
        <x:v>Enforcement converts compliance failures into financial and reputational costs</x:v>
      </x:c>
      <x:c r="O868" s="51" t="str">
        <x:v>Financial; institutional; enforcement</x:v>
      </x:c>
      <x:c r="P868" s="51" t="str">
        <x:v>E1</x:v>
      </x:c>
      <x:c r="Q868" s="51" t="str">
        <x:v>Very high</x:v>
      </x:c>
      <x:c r="R868" s="51" t="str">
        <x:v>SRC-557; SRC-558</x:v>
      </x:c>
      <x:c r="S868" s="51" t="str">
        <x:v>OFAC publishes civil enforcement actions and penalties.</x:v>
      </x:c>
      <x:c r="T868" s="51" t="str">
        <x:v>Criminal conviction in every enforcement case.</x:v>
      </x:c>
      <x:c r="U868" s="51" t="str">
        <x:v>Civil and criminal authorities are distinct.</x:v>
      </x:c>
      <x:c r="V868" s="51" t="str">
        <x:v>Active</x:v>
      </x:c>
      <x:c r="W868" s="51" t="str">
        <x:v>44;57</x:v>
      </x:c>
      <x:c r="X868" s="51" t="str">
        <x:v>2026-07-27</x:v>
      </x:c>
    </x:row>
    <x:row r="869">
      <x:c r="A869" s="51" t="str">
        <x:v>V13SAN-011</x:v>
      </x:c>
      <x:c r="B869" s="51" t="str">
        <x:v>Sanctions designation, blocking and licensing</x:v>
      </x:c>
      <x:c r="C869" s="51" t="str">
        <x:v>ACT-REPOTASKFORCE</x:v>
      </x:c>
      <x:c r="D869" s="51" t="str">
        <x:v>REPO Task Force</x:v>
      </x:c>
      <x:c r="E869" s="51" t="str">
        <x:v>ACT-BLOCKEDPERSONSANDENTITIE</x:v>
      </x:c>
      <x:c r="F869" s="51" t="str">
        <x:v>Blocked persons and entities</x:v>
      </x:c>
      <x:c r="G869" s="51" t="str">
        <x:v>Multilateral coalition → sanctioned assets</x:v>
      </x:c>
      <x:c r="H869" s="51" t="str">
        <x:v>2022 onward</x:v>
      </x:c>
      <x:c r="I869" s="51" t="str">
        <x:v>Cross-border identification and freezing coordination</x:v>
      </x:c>
      <x:c r="J869" s="51" t="str">
        <x:v>INS-289</x:v>
      </x:c>
      <x:c r="K869" s="51" t="str">
        <x:v>More than $58 billion reported blocked or frozen by March 2023</x:v>
      </x:c>
      <x:c r="L869" s="51" t="str">
        <x:v>Sanctions designations and asset intelligence</x:v>
      </x:c>
      <x:c r="M869" s="51" t="str">
        <x:v>Coordinated restraints across jurisdictions</x:v>
      </x:c>
      <x:c r="N869" s="51" t="str">
        <x:v>Multilateral cooperation expands sanctions reach beyond one legal territory</x:v>
      </x:c>
      <x:c r="O869" s="51" t="str">
        <x:v>Geopolitical; financial; enforcement</x:v>
      </x:c>
      <x:c r="P869" s="51" t="str">
        <x:v>E1</x:v>
      </x:c>
      <x:c r="Q869" s="51" t="str">
        <x:v>High</x:v>
      </x:c>
      <x:c r="R869" s="51" t="str">
        <x:v>SRC-581</x:v>
      </x:c>
      <x:c r="S869" s="51" t="str">
        <x:v>REPO members reported more than $58 billion blocked or frozen by March 2023.</x:v>
      </x:c>
      <x:c r="T869" s="51" t="str">
        <x:v>Final confiscation of the full amount or identical legal status in all countries.</x:v>
      </x:c>
      <x:c r="U869" s="51" t="str">
        <x:v>Freeze, seizure and forfeiture differ by jurisdiction.</x:v>
      </x:c>
      <x:c r="V869" s="51" t="str">
        <x:v>Active historical programme</x:v>
      </x:c>
      <x:c r="W869" s="51" t="str">
        <x:v>44;57</x:v>
      </x:c>
      <x:c r="X869" s="51" t="str">
        <x:v>2026-07-27</x:v>
      </x:c>
    </x:row>
    <x:row r="870">
      <x:c r="A870" s="51" t="str">
        <x:v>V13SWIFT-001</x:v>
      </x:c>
      <x:c r="B870" s="51" t="str">
        <x:v>Financial messaging, screening and network exclusion</x:v>
      </x:c>
      <x:c r="C870" s="51" t="str">
        <x:v>ACT-SWIFTCOOPERATIVE</x:v>
      </x:c>
      <x:c r="D870" s="51" t="str">
        <x:v>SWIFT cooperative</x:v>
      </x:c>
      <x:c r="E870" s="51" t="str">
        <x:v>ACT-SWIFTMEMBERINSTITUTIONS</x:v>
      </x:c>
      <x:c r="F870" s="51" t="str">
        <x:v>SWIFT member institutions</x:v>
      </x:c>
      <x:c r="G870" s="51" t="str">
        <x:v>Cooperative → members</x:v>
      </x:c>
      <x:c r="H870" s="51" t="str">
        <x:v>Ongoing</x:v>
      </x:c>
      <x:c r="I870" s="51" t="str">
        <x:v>Secure standardised financial messaging</x:v>
      </x:c>
      <x:c r="J870" s="51" t="str">
        <x:v>INS-282</x:v>
      </x:c>
      <x:c r="K870" s="51" t="str">
        <x:v>11,500+ organisations and 53 million+ FIN messages daily</x:v>
      </x:c>
      <x:c r="L870" s="51" t="str">
        <x:v>Payment and securities instructions</x:v>
      </x:c>
      <x:c r="M870" s="51" t="str">
        <x:v>Authenticated standardised financial messages</x:v>
      </x:c>
      <x:c r="N870" s="51" t="str">
        <x:v>Messaging interoperability connects institutions without SWIFT holding the underlying funds</x:v>
      </x:c>
      <x:c r="O870" s="51" t="str">
        <x:v>Technological; relational; financial</x:v>
      </x:c>
      <x:c r="P870" s="51" t="str">
        <x:v>E1</x:v>
      </x:c>
      <x:c r="Q870" s="51" t="str">
        <x:v>Very high</x:v>
      </x:c>
      <x:c r="R870" s="51" t="str">
        <x:v>SRC-559; SRC-562</x:v>
      </x:c>
      <x:c r="S870" s="51" t="str">
        <x:v>SWIFT provides messaging to a global financial community and does not hold customer funds.</x:v>
      </x:c>
      <x:c r="T870" s="51" t="str">
        <x:v>SWIFT being a bank, settlement account provider or beneficial owner of transferred value.</x:v>
      </x:c>
      <x:c r="U870" s="51" t="str">
        <x:v>Settlement occurs through institutions and market infrastructures.</x:v>
      </x:c>
      <x:c r="V870" s="51" t="str">
        <x:v>Active</x:v>
      </x:c>
      <x:c r="W870" s="51" t="str">
        <x:v>44;57</x:v>
      </x:c>
      <x:c r="X870" s="51" t="str">
        <x:v>2026-07-27</x:v>
      </x:c>
    </x:row>
    <x:row r="871">
      <x:c r="A871" s="51" t="str">
        <x:v>V13SWIFT-002</x:v>
      </x:c>
      <x:c r="B871" s="51" t="str">
        <x:v>Financial messaging, screening and network exclusion</x:v>
      </x:c>
      <x:c r="C871" s="51" t="str">
        <x:v>ACT-SWIFTMEMBERINSTITUTIONS</x:v>
      </x:c>
      <x:c r="D871" s="51" t="str">
        <x:v>SWIFT member institutions</x:v>
      </x:c>
      <x:c r="E871" s="51" t="str">
        <x:v>ACT-SANCTIONSCOMPLIANCETEAMS</x:v>
      </x:c>
      <x:c r="F871" s="51" t="str">
        <x:v>Sanctions compliance teams</x:v>
      </x:c>
      <x:c r="G871" s="51" t="str">
        <x:v>Institution → compliance function</x:v>
      </x:c>
      <x:c r="H871" s="51" t="str">
        <x:v>Per message and customer</x:v>
      </x:c>
      <x:c r="I871" s="51" t="str">
        <x:v>Transaction and sanctions screening</x:v>
      </x:c>
      <x:c r="J871" s="51" t="str">
        <x:v>INS-282</x:v>
      </x:c>
      <x:c r="K871" s="51" t="str">
        <x:v>Message-specific</x:v>
      </x:c>
      <x:c r="L871" s="51" t="str">
        <x:v>Structured payment data and sanctions lists</x:v>
      </x:c>
      <x:c r="M871" s="51" t="str">
        <x:v>Alert, clearance or escalation</x:v>
      </x:c>
      <x:c r="N871" s="51" t="str">
        <x:v>Standardised messaging increases screenable information while institutions retain legal responsibility</x:v>
      </x:c>
      <x:c r="O871" s="51" t="str">
        <x:v>Informational; enforcement; technological</x:v>
      </x:c>
      <x:c r="P871" s="51" t="str">
        <x:v>E1</x:v>
      </x:c>
      <x:c r="Q871" s="51" t="str">
        <x:v>High</x:v>
      </x:c>
      <x:c r="R871" s="51" t="str">
        <x:v>SRC-561</x:v>
      </x:c>
      <x:c r="S871" s="51" t="str">
        <x:v>SWIFT offers transaction-screening tools and institutions conduct compliance checks.</x:v>
      </x:c>
      <x:c r="T871" s="51" t="str">
        <x:v>SWIFT making the final legal decision for every bank.</x:v>
      </x:c>
      <x:c r="U871" s="51" t="str">
        <x:v>Customers configure policies and act under applicable law.</x:v>
      </x:c>
      <x:c r="V871" s="51" t="str">
        <x:v>Active</x:v>
      </x:c>
      <x:c r="W871" s="51" t="str">
        <x:v>44;57</x:v>
      </x:c>
      <x:c r="X871" s="51" t="str">
        <x:v>2026-07-27</x:v>
      </x:c>
    </x:row>
    <x:row r="872">
      <x:c r="A872" s="51" t="str">
        <x:v>V13SWIFT-003</x:v>
      </x:c>
      <x:c r="B872" s="51" t="str">
        <x:v>Financial messaging, screening and network exclusion</x:v>
      </x:c>
      <x:c r="C872" s="51" t="str">
        <x:v>ACT-SWIFTCOOPERATIVE</x:v>
      </x:c>
      <x:c r="D872" s="51" t="str">
        <x:v>SWIFT cooperative</x:v>
      </x:c>
      <x:c r="E872" s="51" t="str">
        <x:v>ACT-SANCTIONSCOMPLIANCETEAMS</x:v>
      </x:c>
      <x:c r="F872" s="51" t="str">
        <x:v>Sanctions compliance teams</x:v>
      </x:c>
      <x:c r="G872" s="51" t="str">
        <x:v>Infrastructure → compliance users</x:v>
      </x:c>
      <x:c r="H872" s="51" t="str">
        <x:v>Ongoing</x:v>
      </x:c>
      <x:c r="I872" s="51" t="str">
        <x:v>Screening and testing products</x:v>
      </x:c>
      <x:c r="J872" s="51" t="str">
        <x:v>INS-282</x:v>
      </x:c>
      <x:c r="K872" s="51" t="str">
        <x:v>Customer-specific</x:v>
      </x:c>
      <x:c r="L872" s="51" t="str">
        <x:v>Financial messages and sanctions data</x:v>
      </x:c>
      <x:c r="M872" s="51" t="str">
        <x:v>Compliance alert and control testing</x:v>
      </x:c>
      <x:c r="N872" s="51" t="str">
        <x:v>A common messaging provider can supply shared compliance utilities without centralising all customer decisions</x:v>
      </x:c>
      <x:c r="O872" s="51" t="str">
        <x:v>Technological; informational; relational</x:v>
      </x:c>
      <x:c r="P872" s="51" t="str">
        <x:v>E1</x:v>
      </x:c>
      <x:c r="Q872" s="51" t="str">
        <x:v>High</x:v>
      </x:c>
      <x:c r="R872" s="51" t="str">
        <x:v>SRC-560; SRC-561</x:v>
      </x:c>
      <x:c r="S872" s="51" t="str">
        <x:v>SWIFT provides compliance and screening services.</x:v>
      </x:c>
      <x:c r="T872" s="51" t="str">
        <x:v>Universal access to all customer account records or authority to confiscate funds.</x:v>
      </x:c>
      <x:c r="U872" s="51" t="str">
        <x:v>Message data and customer systems remain separately governed.</x:v>
      </x:c>
      <x:c r="V872" s="51" t="str">
        <x:v>Active</x:v>
      </x:c>
      <x:c r="W872" s="51" t="str">
        <x:v>44;57</x:v>
      </x:c>
      <x:c r="X872" s="51" t="str">
        <x:v>2026-07-27</x:v>
      </x:c>
    </x:row>
    <x:row r="873">
      <x:c r="A873" s="51" t="str">
        <x:v>V13SWIFT-004</x:v>
      </x:c>
      <x:c r="B873" s="51" t="str">
        <x:v>Financial messaging, screening and network exclusion</x:v>
      </x:c>
      <x:c r="C873" s="51" t="str">
        <x:v>ACT-JAVIERPREZTASSO</x:v>
      </x:c>
      <x:c r="D873" s="51" t="str">
        <x:v>Javier Pérez-Tasso</x:v>
      </x:c>
      <x:c r="E873" s="51" t="str">
        <x:v>ACT-SWIFTCOOPERATIVE</x:v>
      </x:c>
      <x:c r="F873" s="51" t="str">
        <x:v>SWIFT cooperative</x:v>
      </x:c>
      <x:c r="G873" s="51" t="str">
        <x:v>CEO → cooperative</x:v>
      </x:c>
      <x:c r="H873" s="51" t="str">
        <x:v>Current 2026</x:v>
      </x:c>
      <x:c r="I873" s="51" t="str">
        <x:v>Chief Executive Officer role</x:v>
      </x:c>
      <x:c r="J873" s="51" t="str">
        <x:v>INS-282</x:v>
      </x:c>
      <x:c r="K873" s="51" t="str">
        <x:v>Formal corporate role</x:v>
      </x:c>
      <x:c r="L873" s="51" t="str">
        <x:v>Board-delegated managerial authority</x:v>
      </x:c>
      <x:c r="M873" s="51" t="str">
        <x:v>Leadership over messaging and infrastructure strategy</x:v>
      </x:c>
      <x:c r="N873" s="51" t="str">
        <x:v>Executive authority shapes product and network strategy within cooperative governance</x:v>
      </x:c>
      <x:c r="O873" s="51" t="str">
        <x:v>Institutional; relational; technological</x:v>
      </x:c>
      <x:c r="P873" s="51" t="str">
        <x:v>E1</x:v>
      </x:c>
      <x:c r="Q873" s="51" t="str">
        <x:v>Very high</x:v>
      </x:c>
      <x:c r="R873" s="51" t="str">
        <x:v>SRC-584</x:v>
      </x:c>
      <x:c r="S873" s="51" t="str">
        <x:v>Javier Pérez-Tasso is SWIFT's CEO.</x:v>
      </x:c>
      <x:c r="T873" s="51" t="str">
        <x:v>Personal authority over member-bank funds or national sanctions decisions.</x:v>
      </x:c>
      <x:c r="U873" s="51" t="str">
        <x:v>SWIFT is governed by its board and applicable law.</x:v>
      </x:c>
      <x:c r="V873" s="51" t="str">
        <x:v>Active</x:v>
      </x:c>
      <x:c r="W873" s="51" t="str">
        <x:v>45;57</x:v>
      </x:c>
      <x:c r="X873" s="51" t="str">
        <x:v>2026-07-27</x:v>
      </x:c>
    </x:row>
    <x:row r="874">
      <x:c r="A874" s="51" t="str">
        <x:v>V13TAX-001</x:v>
      </x:c>
      <x:c r="B874" s="51" t="str">
        <x:v>Tax transparency and automatic exchange</x:v>
      </x:c>
      <x:c r="C874" s="51" t="str">
        <x:v>ACT-OECDGLOBALFORUMONTRANSPA</x:v>
      </x:c>
      <x:c r="D874" s="51" t="str">
        <x:v>OECD Global Forum on Transparency and Exchange of Information</x:v>
      </x:c>
      <x:c r="E874" s="51" t="str">
        <x:v>ACT-TAXADMINISTRATIONS</x:v>
      </x:c>
      <x:c r="F874" s="51" t="str">
        <x:v>Tax administrations</x:v>
      </x:c>
      <x:c r="G874" s="51" t="str">
        <x:v>International network → tax authorities</x:v>
      </x:c>
      <x:c r="H874" s="51" t="str">
        <x:v>Annual and peer-review cycles</x:v>
      </x:c>
      <x:c r="I874" s="51" t="str">
        <x:v>CRS and tax-transparency coordination</x:v>
      </x:c>
      <x:c r="J874" s="51" t="str">
        <x:v>INS-283; INS-284</x:v>
      </x:c>
      <x:c r="K874" s="51" t="str">
        <x:v>100+ jurisdictions implementing CRS</x:v>
      </x:c>
      <x:c r="L874" s="51" t="str">
        <x:v>Standardised reporting rules and agreements</x:v>
      </x:c>
      <x:c r="M874" s="51" t="str">
        <x:v>Comparable exchange and peer-review systems</x:v>
      </x:c>
      <x:c r="N874" s="51" t="str">
        <x:v>International standards convert domestic financial-account reports into cross-border tax information</x:v>
      </x:c>
      <x:c r="O874" s="51" t="str">
        <x:v>Institutional; informational; geopolitical</x:v>
      </x:c>
      <x:c r="P874" s="51" t="str">
        <x:v>E1</x:v>
      </x:c>
      <x:c r="Q874" s="51" t="str">
        <x:v>Very high</x:v>
      </x:c>
      <x:c r="R874" s="51" t="str">
        <x:v>SRC-563; SRC-564; SRC-566</x:v>
      </x:c>
      <x:c r="S874" s="51" t="str">
        <x:v>OECD standards support annual automatic exchange among participating jurisdictions.</x:v>
      </x:c>
      <x:c r="T874" s="51" t="str">
        <x:v>A global tax authority or unrestricted data access for every government.</x:v>
      </x:c>
      <x:c r="U874" s="51" t="str">
        <x:v>Exchange is agreement- and jurisdiction-specific.</x:v>
      </x:c>
      <x:c r="V874" s="51" t="str">
        <x:v>Active</x:v>
      </x:c>
      <x:c r="W874" s="51" t="str">
        <x:v>44;57</x:v>
      </x:c>
      <x:c r="X874" s="51" t="str">
        <x:v>2026-07-27</x:v>
      </x:c>
    </x:row>
    <x:row r="875">
      <x:c r="A875" s="51" t="str">
        <x:v>V13TAX-002</x:v>
      </x:c>
      <x:c r="B875" s="51" t="str">
        <x:v>Tax transparency and automatic exchange</x:v>
      </x:c>
      <x:c r="C875" s="51" t="str">
        <x:v>ACT-CRSREPORTINGFINANCIALINS</x:v>
      </x:c>
      <x:c r="D875" s="51" t="str">
        <x:v>CRS reporting financial institutions</x:v>
      </x:c>
      <x:c r="E875" s="51" t="str">
        <x:v>ACT-TAXADMINISTRATIONS</x:v>
      </x:c>
      <x:c r="F875" s="51" t="str">
        <x:v>Tax administrations</x:v>
      </x:c>
      <x:c r="G875" s="51" t="str">
        <x:v>Financial institution → tax authority</x:v>
      </x:c>
      <x:c r="H875" s="51" t="str">
        <x:v>Annual reporting</x:v>
      </x:c>
      <x:c r="I875" s="51" t="str">
        <x:v>CRS account reporting</x:v>
      </x:c>
      <x:c r="J875" s="51" t="str">
        <x:v>INS-283</x:v>
      </x:c>
      <x:c r="K875" s="51" t="str">
        <x:v>Reportable account-specific</x:v>
      </x:c>
      <x:c r="L875" s="51" t="str">
        <x:v>Tax residency, account balance and income data</x:v>
      </x:c>
      <x:c r="M875" s="51" t="str">
        <x:v>Domestic CRS report</x:v>
      </x:c>
      <x:c r="N875" s="51" t="str">
        <x:v>Financial institutions become collection nodes for cross-border tax transparency</x:v>
      </x:c>
      <x:c r="O875" s="51" t="str">
        <x:v>Informational; institutional; financial</x:v>
      </x:c>
      <x:c r="P875" s="51" t="str">
        <x:v>E1</x:v>
      </x:c>
      <x:c r="Q875" s="51" t="str">
        <x:v>Very high</x:v>
      </x:c>
      <x:c r="R875" s="51" t="str">
        <x:v>SRC-563; SRC-564</x:v>
      </x:c>
      <x:c r="S875" s="51" t="str">
        <x:v>CRS requires jurisdictions to obtain reportable account information from financial institutions.</x:v>
      </x:c>
      <x:c r="T875" s="51" t="str">
        <x:v>Reporting every domestic account or real-time transaction surveillance.</x:v>
      </x:c>
      <x:c r="U875" s="51" t="str">
        <x:v>Scope depends on reportable persons, accounts and domestic implementation.</x:v>
      </x:c>
      <x:c r="V875" s="51" t="str">
        <x:v>Active</x:v>
      </x:c>
      <x:c r="W875" s="51" t="str">
        <x:v>44;57</x:v>
      </x:c>
      <x:c r="X875" s="51" t="str">
        <x:v>2026-07-27</x:v>
      </x:c>
    </x:row>
    <x:row r="876">
      <x:c r="A876" s="51" t="str">
        <x:v>V13TAX-003</x:v>
      </x:c>
      <x:c r="B876" s="51" t="str">
        <x:v>Tax transparency and automatic exchange</x:v>
      </x:c>
      <x:c r="C876" s="51" t="str">
        <x:v>ACT-TAXADMINISTRATIONS</x:v>
      </x:c>
      <x:c r="D876" s="51" t="str">
        <x:v>Tax administrations</x:v>
      </x:c>
      <x:c r="E876" s="51" t="str">
        <x:v>ACT-TAXADMINISTRATIONS</x:v>
      </x:c>
      <x:c r="F876" s="51" t="str">
        <x:v>Tax administrations</x:v>
      </x:c>
      <x:c r="G876" s="51" t="str">
        <x:v>Authority → foreign authority</x:v>
      </x:c>
      <x:c r="H876" s="51" t="str">
        <x:v>Annual exchange</x:v>
      </x:c>
      <x:c r="I876" s="51" t="str">
        <x:v>Automatic exchange of information</x:v>
      </x:c>
      <x:c r="J876" s="51" t="str">
        <x:v>INS-283</x:v>
      </x:c>
      <x:c r="K876" s="51" t="str">
        <x:v>Jurisdiction-pair specific</x:v>
      </x:c>
      <x:c r="L876" s="51" t="str">
        <x:v>Domestic CRS reports</x:v>
      </x:c>
      <x:c r="M876" s="51" t="str">
        <x:v>Foreign taxpayer account information</x:v>
      </x:c>
      <x:c r="N876" s="51" t="str">
        <x:v>Reciprocal exchange moves account data to the taxpayer's residence jurisdiction</x:v>
      </x:c>
      <x:c r="O876" s="51" t="str">
        <x:v>Informational; geopolitical; enforcement</x:v>
      </x:c>
      <x:c r="P876" s="51" t="str">
        <x:v>E1</x:v>
      </x:c>
      <x:c r="Q876" s="51" t="str">
        <x:v>Very high</x:v>
      </x:c>
      <x:c r="R876" s="51" t="str">
        <x:v>SRC-563; SRC-566</x:v>
      </x:c>
      <x:c r="S876" s="51" t="str">
        <x:v>CRS provides annual exchange of predefined account information.</x:v>
      </x:c>
      <x:c r="T876" s="51" t="str">
        <x:v>A continuously shared global database or identical enforcement action.</x:v>
      </x:c>
      <x:c r="U876" s="51" t="str">
        <x:v>Authorities receive defined records and apply domestic tax law.</x:v>
      </x:c>
      <x:c r="V876" s="51" t="str">
        <x:v>Active</x:v>
      </x:c>
      <x:c r="W876" s="51" t="str">
        <x:v>44;57</x:v>
      </x:c>
      <x:c r="X876" s="51" t="str">
        <x:v>2026-07-27</x:v>
      </x:c>
    </x:row>
    <x:row r="877">
      <x:c r="A877" s="51" t="str">
        <x:v>V13TAX-004</x:v>
      </x:c>
      <x:c r="B877" s="51" t="str">
        <x:v>Tax transparency and automatic exchange</x:v>
      </x:c>
      <x:c r="C877" s="51" t="str">
        <x:v>ACT-CRYPTOASSETSERVICEPROVID</x:v>
      </x:c>
      <x:c r="D877" s="51" t="str">
        <x:v>Crypto-asset service providers</x:v>
      </x:c>
      <x:c r="E877" s="51" t="str">
        <x:v>ACT-TAXADMINISTRATIONS</x:v>
      </x:c>
      <x:c r="F877" s="51" t="str">
        <x:v>Tax administrations</x:v>
      </x:c>
      <x:c r="G877" s="51" t="str">
        <x:v>Service provider → tax authority</x:v>
      </x:c>
      <x:c r="H877" s="51" t="str">
        <x:v>Implementation cycles from 2026 onward</x:v>
      </x:c>
      <x:c r="I877" s="51" t="str">
        <x:v>CARF transaction reporting</x:v>
      </x:c>
      <x:c r="J877" s="51" t="str">
        <x:v>INS-284</x:v>
      </x:c>
      <x:c r="K877" s="51" t="str">
        <x:v>Covered crypto transactions</x:v>
      </x:c>
      <x:c r="L877" s="51" t="str">
        <x:v>Customer due diligence and transaction records</x:v>
      </x:c>
      <x:c r="M877" s="51" t="str">
        <x:v>Reportable crypto-asset information</x:v>
      </x:c>
      <x:c r="N877" s="51" t="str">
        <x:v>CARF extends tax reporting to intermediated crypto activity and transfers</x:v>
      </x:c>
      <x:c r="O877" s="51" t="str">
        <x:v>Informational; institutional; financial</x:v>
      </x:c>
      <x:c r="P877" s="51" t="str">
        <x:v>E1</x:v>
      </x:c>
      <x:c r="Q877" s="51" t="str">
        <x:v>High</x:v>
      </x:c>
      <x:c r="R877" s="51" t="str">
        <x:v>SRC-564; SRC-565; SRC-566</x:v>
      </x:c>
      <x:c r="S877" s="51" t="str">
        <x:v>CARF creates standardised reporting and multilateral exchange architecture.</x:v>
      </x:c>
      <x:c r="T877" s="51" t="str">
        <x:v>Coverage of every self-hosted transaction or completed implementation in every signatory in 2026.</x:v>
      </x:c>
      <x:c r="U877" s="51" t="str">
        <x:v>Domestic legislation and effective dates vary.</x:v>
      </x:c>
      <x:c r="V877" s="51" t="str">
        <x:v>Implementation</x:v>
      </x:c>
      <x:c r="W877" s="51" t="str">
        <x:v>44;57</x:v>
      </x:c>
      <x:c r="X877" s="51" t="str">
        <x:v>2026-07-27</x:v>
      </x:c>
    </x:row>
    <x:row r="878">
      <x:c r="A878" s="51" t="str">
        <x:v>V13TAX-005</x:v>
      </x:c>
      <x:c r="B878" s="51" t="str">
        <x:v>Tax transparency and automatic exchange</x:v>
      </x:c>
      <x:c r="C878" s="51" t="str">
        <x:v>ACT-INTERNALREVENUESERVICE</x:v>
      </x:c>
      <x:c r="D878" s="51" t="str">
        <x:v>Internal Revenue Service</x:v>
      </x:c>
      <x:c r="E878" s="51" t="str">
        <x:v>ACT-FOREIGNFINANCIALINSTITUT</x:v>
      </x:c>
      <x:c r="F878" s="51" t="str">
        <x:v>Foreign financial institutions</x:v>
      </x:c>
      <x:c r="G878" s="51" t="str">
        <x:v>Tax authority → foreign institutions</x:v>
      </x:c>
      <x:c r="H878" s="51" t="str">
        <x:v>Ongoing</x:v>
      </x:c>
      <x:c r="I878" s="51" t="str">
        <x:v>FATCA registration, reporting and withholding framework</x:v>
      </x:c>
      <x:c r="J878" s="51" t="str">
        <x:v>INS-285</x:v>
      </x:c>
      <x:c r="K878" s="51" t="str">
        <x:v>Global FFI registry</x:v>
      </x:c>
      <x:c r="L878" s="51" t="str">
        <x:v>U.S.-account due diligence and registration</x:v>
      </x:c>
      <x:c r="M878" s="51" t="str">
        <x:v>Reporting status and potential withholding consequences</x:v>
      </x:c>
      <x:c r="N878" s="51" t="str">
        <x:v>FATCA uses access to U.S.-source payments and intergovernmental agreements as extraterritorial compliance leverage</x:v>
      </x:c>
      <x:c r="O878" s="51" t="str">
        <x:v>Institutional; financial; geopolitical</x:v>
      </x:c>
      <x:c r="P878" s="51" t="str">
        <x:v>E1</x:v>
      </x:c>
      <x:c r="Q878" s="51" t="str">
        <x:v>Very high</x:v>
      </x:c>
      <x:c r="R878" s="51" t="str">
        <x:v>SRC-567; SRC-568; SRC-569; SRC-570</x:v>
      </x:c>
      <x:c r="S878" s="51" t="str">
        <x:v>Foreign financial institutions register and report under FATCA or IGAs.</x:v>
      </x:c>
      <x:c r="T878" s="51" t="str">
        <x:v>IRS ownership of foreign accounts or universal reporting of every foreign customer.</x:v>
      </x:c>
      <x:c r="U878" s="51" t="str">
        <x:v>Scope is limited to U.S.-linked accounts and defined entities.</x:v>
      </x:c>
      <x:c r="V878" s="51" t="str">
        <x:v>Active</x:v>
      </x:c>
      <x:c r="W878" s="51" t="str">
        <x:v>44;57</x:v>
      </x:c>
      <x:c r="X878" s="51" t="str">
        <x:v>2026-07-27</x:v>
      </x:c>
    </x:row>
    <x:row r="879">
      <x:c r="A879" s="51" t="str">
        <x:v>V13TAX-006</x:v>
      </x:c>
      <x:c r="B879" s="51" t="str">
        <x:v>Tax transparency and automatic exchange</x:v>
      </x:c>
      <x:c r="C879" s="51" t="str">
        <x:v>ACT-FOREIGNFINANCIALINSTITUT</x:v>
      </x:c>
      <x:c r="D879" s="51" t="str">
        <x:v>Foreign financial institutions</x:v>
      </x:c>
      <x:c r="E879" s="51" t="str">
        <x:v>ACT-TAXADMINISTRATIONS</x:v>
      </x:c>
      <x:c r="F879" s="51" t="str">
        <x:v>Tax administrations</x:v>
      </x:c>
      <x:c r="G879" s="51" t="str">
        <x:v>FFI → partner authority or IRS</x:v>
      </x:c>
      <x:c r="H879" s="51" t="str">
        <x:v>Annual reporting</x:v>
      </x:c>
      <x:c r="I879" s="51" t="str">
        <x:v>FATCA account reporting</x:v>
      </x:c>
      <x:c r="J879" s="51" t="str">
        <x:v>INS-285</x:v>
      </x:c>
      <x:c r="K879" s="51" t="str">
        <x:v>U.S.-account-specific</x:v>
      </x:c>
      <x:c r="L879" s="51" t="str">
        <x:v>Account-holder identity, balances and payments</x:v>
      </x:c>
      <x:c r="M879" s="51" t="str">
        <x:v>U.S.-linked foreign account information</x:v>
      </x:c>
      <x:c r="N879" s="51" t="str">
        <x:v>Financial institutions convert customer records into tax-enforcement information through national or direct reporting</x:v>
      </x:c>
      <x:c r="O879" s="51" t="str">
        <x:v>Informational; enforcement; financial</x:v>
      </x:c>
      <x:c r="P879" s="51" t="str">
        <x:v>E1</x:v>
      </x:c>
      <x:c r="Q879" s="51" t="str">
        <x:v>High</x:v>
      </x:c>
      <x:c r="R879" s="51" t="str">
        <x:v>SRC-567; SRC-570</x:v>
      </x:c>
      <x:c r="S879" s="51" t="str">
        <x:v>FATCA IGAs require identification and reporting of U.S. accounts.</x:v>
      </x:c>
      <x:c r="T879" s="51" t="str">
        <x:v>Real-time access to full transaction histories for all customers.</x:v>
      </x:c>
      <x:c r="U879" s="51" t="str">
        <x:v>Reporting fields and routes depend on IGA model and rules.</x:v>
      </x:c>
      <x:c r="V879" s="51" t="str">
        <x:v>Active</x:v>
      </x:c>
      <x:c r="W879" s="51" t="str">
        <x:v>44;57</x:v>
      </x:c>
      <x:c r="X879" s="51" t="str">
        <x:v>2026-07-27</x:v>
      </x:c>
    </x:row>
    <x:row r="880">
      <x:c r="A880" s="51" t="str">
        <x:v>V13TAX-007</x:v>
      </x:c>
      <x:c r="B880" s="51" t="str">
        <x:v>Tax transparency and automatic exchange</x:v>
      </x:c>
      <x:c r="C880" s="51" t="str">
        <x:v>ACT-USTAXPAYERSWITHFOREIGNFI</x:v>
      </x:c>
      <x:c r="D880" s="51" t="str">
        <x:v>U.S. taxpayers with foreign financial assets</x:v>
      </x:c>
      <x:c r="E880" s="51" t="str">
        <x:v>ACT-INTERNALREVENUESERVICE</x:v>
      </x:c>
      <x:c r="F880" s="51" t="str">
        <x:v>Internal Revenue Service</x:v>
      </x:c>
      <x:c r="G880" s="51" t="str">
        <x:v>Taxpayer → tax authority</x:v>
      </x:c>
      <x:c r="H880" s="51" t="str">
        <x:v>Annual tax return</x:v>
      </x:c>
      <x:c r="I880" s="51" t="str">
        <x:v>Form 8938 self-reporting</x:v>
      </x:c>
      <x:c r="J880" s="51" t="str">
        <x:v>INS-285</x:v>
      </x:c>
      <x:c r="K880" s="51" t="str">
        <x:v>Threshold-dependent</x:v>
      </x:c>
      <x:c r="L880" s="51" t="str">
        <x:v>Specified foreign financial assets</x:v>
      </x:c>
      <x:c r="M880" s="51" t="str">
        <x:v>Tax return disclosure</x:v>
      </x:c>
      <x:c r="N880" s="51" t="str">
        <x:v>FATCA combines institutional reporting with taxpayer self-reporting</x:v>
      </x:c>
      <x:c r="O880" s="51" t="str">
        <x:v>Informational; financial; enforcement</x:v>
      </x:c>
      <x:c r="P880" s="51" t="str">
        <x:v>E1</x:v>
      </x:c>
      <x:c r="Q880" s="51" t="str">
        <x:v>High</x:v>
      </x:c>
      <x:c r="R880" s="51" t="str">
        <x:v>SRC-567</x:v>
      </x:c>
      <x:c r="S880" s="51" t="str">
        <x:v>Certain U.S. taxpayers must report specified foreign financial assets.</x:v>
      </x:c>
      <x:c r="T880" s="51" t="str">
        <x:v>Automatic tax liability or criminal conduct from holding foreign assets.</x:v>
      </x:c>
      <x:c r="U880" s="51" t="str">
        <x:v>Tax treatment depends on income, thresholds and compliance.</x:v>
      </x:c>
      <x:c r="V880" s="51" t="str">
        <x:v>Active</x:v>
      </x:c>
      <x:c r="W880" s="51" t="str">
        <x:v>44;57</x:v>
      </x:c>
      <x:c r="X880" s="51" t="str">
        <x:v>2026-07-27</x:v>
      </x:c>
    </x:row>
    <x:row r="881">
      <x:c r="A881" s="51" t="str">
        <x:v>V13TAX-008</x:v>
      </x:c>
      <x:c r="B881" s="51" t="str">
        <x:v>Tax transparency and automatic exchange</x:v>
      </x:c>
      <x:c r="C881" s="51" t="str">
        <x:v>ACT-MATHIASCORMANN</x:v>
      </x:c>
      <x:c r="D881" s="51" t="str">
        <x:v>Mathias Cormann</x:v>
      </x:c>
      <x:c r="E881" s="51" t="str">
        <x:v>ACT-OECDGLOBALFORUMONTRANSPA</x:v>
      </x:c>
      <x:c r="F881" s="51" t="str">
        <x:v>OECD Global Forum on Transparency and Exchange of Information</x:v>
      </x:c>
      <x:c r="G881" s="51" t="str">
        <x:v>Secretary-General → organisation/network</x:v>
      </x:c>
      <x:c r="H881" s="51" t="str">
        <x:v>Current 2026</x:v>
      </x:c>
      <x:c r="I881" s="51" t="str">
        <x:v>OECD executive leadership</x:v>
      </x:c>
      <x:c r="J881" s="51" t="str">
        <x:v>INS-283; INS-284</x:v>
      </x:c>
      <x:c r="K881" s="51" t="str">
        <x:v>Formal office</x:v>
      </x:c>
      <x:c r="L881" s="51" t="str">
        <x:v>Member mandate and executive authority</x:v>
      </x:c>
      <x:c r="M881" s="51" t="str">
        <x:v>Organisational leadership over standards implementation support</x:v>
      </x:c>
      <x:c r="N881" s="51" t="str">
        <x:v>Executive authority supports policy coordination but does not impose national tax law</x:v>
      </x:c>
      <x:c r="O881" s="51" t="str">
        <x:v>Institutional; relational; geopolitical</x:v>
      </x:c>
      <x:c r="P881" s="51" t="str">
        <x:v>E1</x:v>
      </x:c>
      <x:c r="Q881" s="51" t="str">
        <x:v>High</x:v>
      </x:c>
      <x:c r="R881" s="51" t="str">
        <x:v>SRC-585</x:v>
      </x:c>
      <x:c r="S881" s="51" t="str">
        <x:v>Mathias Cormann is OECD Secretary-General.</x:v>
      </x:c>
      <x:c r="T881" s="51" t="str">
        <x:v>Personal access to taxpayer records or authority to tax member-country residents.</x:v>
      </x:c>
      <x:c r="U881" s="51" t="str">
        <x:v>OECD standards are implemented by governments.</x:v>
      </x:c>
      <x:c r="V881" s="51" t="str">
        <x:v>Active</x:v>
      </x:c>
      <x:c r="W881" s="51" t="str">
        <x:v>45;57</x:v>
      </x:c>
      <x:c r="X881" s="51" t="str">
        <x:v>2026-07-27</x:v>
      </x:c>
    </x:row>
    <x:row r="882">
      <x:c r="A882" s="51" t="str">
        <x:v>V14ADV-001</x:v>
      </x:c>
      <x:c r="B882" s="51" t="str">
        <x:v>Government appointments, advisory councils and policy access</x:v>
      </x:c>
      <x:c r="C882" s="51" t="str">
        <x:v>ACT-PRESIDENTSCOUNCILOFADVIS</x:v>
      </x:c>
      <x:c r="D882" s="51" t="str">
        <x:v>President's Council of Advisors on Science and Technology</x:v>
      </x:c>
      <x:c r="E882" s="51" t="str">
        <x:v>ACT-WHITEHOUSEOFFICEOFSCIENC</x:v>
      </x:c>
      <x:c r="F882" s="51" t="str">
        <x:v>White House Office of Science and Technology Policy</x:v>
      </x:c>
      <x:c r="G882" s="51" t="str">
        <x:v>Advisory council → policy office</x:v>
      </x:c>
      <x:c r="H882" s="51" t="str">
        <x:v>Current 2026</x:v>
      </x:c>
      <x:c r="I882" s="51" t="str">
        <x:v>Formal science and technology advice</x:v>
      </x:c>
      <x:c r="J882" s="51" t="str">
        <x:v>INS-290</x:v>
      </x:c>
      <x:c r="K882" s="51" t="str">
        <x:v>Up to 24 members</x:v>
      </x:c>
      <x:c r="L882" s="51" t="str">
        <x:v>Member expertise, industry experience and presidential mandate</x:v>
      </x:c>
      <x:c r="M882" s="51" t="str">
        <x:v>Recommendations and policy advice</x:v>
      </x:c>
      <x:c r="N882" s="51" t="str">
        <x:v>A formal advisory council converts private expertise and access into structured executive-branch recommendations</x:v>
      </x:c>
      <x:c r="O882" s="51" t="str">
        <x:v>Institutional; relational; technological</x:v>
      </x:c>
      <x:c r="P882" s="51" t="str">
        <x:v>E1</x:v>
      </x:c>
      <x:c r="Q882" s="51" t="str">
        <x:v>Very high</x:v>
      </x:c>
      <x:c r="R882" s="51" t="str">
        <x:v>SRC-586</x:v>
      </x:c>
      <x:c r="S882" s="51" t="str">
        <x:v>PCAST exists to advise the President and is co-chaired by David Sacks and Michael Kratsios.</x:v>
      </x:c>
      <x:c r="T882" s="51" t="str">
        <x:v>Binding authority over agencies or automatic adoption of member preferences.</x:v>
      </x:c>
      <x:c r="U882" s="51" t="str">
        <x:v>Advice competes with agency, congressional, legal and political constraints.</x:v>
      </x:c>
      <x:c r="V882" s="51" t="str">
        <x:v>Active</x:v>
      </x:c>
      <x:c r="W882" s="51" t="str">
        <x:v>45;57</x:v>
      </x:c>
      <x:c r="X882" s="51" t="str">
        <x:v>2026-07-27</x:v>
      </x:c>
    </x:row>
    <x:row r="883">
      <x:c r="A883" s="51" t="str">
        <x:v>V14ADV-002</x:v>
      </x:c>
      <x:c r="B883" s="51" t="str">
        <x:v>Government appointments, advisory councils and policy access</x:v>
      </x:c>
      <x:c r="C883" s="51" t="str">
        <x:v>ACT-WHITEHOUSEOFFICEOFSCIENC</x:v>
      </x:c>
      <x:c r="D883" s="51" t="str">
        <x:v>White House Office of Science and Technology Policy</x:v>
      </x:c>
      <x:c r="E883" s="51" t="str">
        <x:v>ACT-FEDERALPOLICYMAKERSANDAG</x:v>
      </x:c>
      <x:c r="F883" s="51" t="str">
        <x:v>Federal policymakers and agencies</x:v>
      </x:c>
      <x:c r="G883" s="51" t="str">
        <x:v>Policy office → agencies</x:v>
      </x:c>
      <x:c r="H883" s="51" t="str">
        <x:v>2025 onward</x:v>
      </x:c>
      <x:c r="I883" s="51" t="str">
        <x:v>AI policy coordination</x:v>
      </x:c>
      <x:c r="J883" s="51" t="str">
        <x:v>INS-291</x:v>
      </x:c>
      <x:c r="K883" s="51" t="str">
        <x:v>Government-wide</x:v>
      </x:c>
      <x:c r="L883" s="51" t="str">
        <x:v>AI Action Plan and executive priorities</x:v>
      </x:c>
      <x:c r="M883" s="51" t="str">
        <x:v>Agency implementation, procurement and regulatory initiatives</x:v>
      </x:c>
      <x:c r="N883" s="51" t="str">
        <x:v>Central policy documents coordinate dispersed agencies around innovation, infrastructure and international objectives</x:v>
      </x:c>
      <x:c r="O883" s="51" t="str">
        <x:v>Institutional; technological; geopolitical</x:v>
      </x:c>
      <x:c r="P883" s="51" t="str">
        <x:v>E1</x:v>
      </x:c>
      <x:c r="Q883" s="51" t="str">
        <x:v>Very high</x:v>
      </x:c>
      <x:c r="R883" s="51" t="str">
        <x:v>SRC-587; SRC-588</x:v>
      </x:c>
      <x:c r="S883" s="51" t="str">
        <x:v>The White House published an AI Action Plan assigning federal policy priorities.</x:v>
      </x:c>
      <x:c r="T883" s="51" t="str">
        <x:v>Uniform implementation or private-sector control over every agency decision.</x:v>
      </x:c>
      <x:c r="U883" s="51" t="str">
        <x:v>Implementation depends on statutes, budgets, agency authority and litigation.</x:v>
      </x:c>
      <x:c r="V883" s="51" t="str">
        <x:v>Active</x:v>
      </x:c>
      <x:c r="W883" s="51" t="str">
        <x:v>45;57</x:v>
      </x:c>
      <x:c r="X883" s="51" t="str">
        <x:v>2026-07-27</x:v>
      </x:c>
    </x:row>
    <x:row r="884">
      <x:c r="A884" s="51" t="str">
        <x:v>V14ADV-003</x:v>
      </x:c>
      <x:c r="B884" s="51" t="str">
        <x:v>Government appointments, advisory councils and policy access</x:v>
      </x:c>
      <x:c r="C884" s="51" t="str">
        <x:v>ACT-DONALDTRUMP</x:v>
      </x:c>
      <x:c r="D884" s="51" t="str">
        <x:v>Donald Trump</x:v>
      </x:c>
      <x:c r="E884" s="51" t="str">
        <x:v>ACT-OPENAISTARGATE</x:v>
      </x:c>
      <x:c r="F884" s="51" t="str">
        <x:v>OpenAI Stargate</x:v>
      </x:c>
      <x:c r="G884" s="51" t="str">
        <x:v>President/public convenor → infrastructure project</x:v>
      </x:c>
      <x:c r="H884" s="51" t="str">
        <x:v>2025-01-21</x:v>
      </x:c>
      <x:c r="I884" s="51" t="str">
        <x:v>Public announcement and political endorsement</x:v>
      </x:c>
      <x:c r="J884" s="51" t="str">
        <x:v>INS-292</x:v>
      </x:c>
      <x:c r="K884" s="51" t="str">
        <x:v>Up to $500 billion announced</x:v>
      </x:c>
      <x:c r="L884" s="51" t="str">
        <x:v>Corporate investment plan and presidential platform</x:v>
      </x:c>
      <x:c r="M884" s="51" t="str">
        <x:v>Public legitimacy, policy attention and project acceleration</x:v>
      </x:c>
      <x:c r="N884" s="51" t="str">
        <x:v>Presidential convening can signal policy alignment and reduce coordination friction without creating ownership</x:v>
      </x:c>
      <x:c r="O884" s="51" t="str">
        <x:v>Political; relational; financial</x:v>
      </x:c>
      <x:c r="P884" s="51" t="str">
        <x:v>E1</x:v>
      </x:c>
      <x:c r="Q884" s="51" t="str">
        <x:v>High</x:v>
      </x:c>
      <x:c r="R884" s="51" t="str">
        <x:v>SRC-590</x:v>
      </x:c>
      <x:c r="S884" s="51" t="str">
        <x:v>The Stargate project was publicly announced as a private AI infrastructure initiative during the Trump administration.</x:v>
      </x:c>
      <x:c r="T884" s="51" t="str">
        <x:v>Federal ownership, guaranteed public subsidy or presidential control of the project.</x:v>
      </x:c>
      <x:c r="U884" s="51" t="str">
        <x:v>Corporate participants retain ownership and execution responsibility.</x:v>
      </x:c>
      <x:c r="V884" s="51" t="str">
        <x:v>Active</x:v>
      </x:c>
      <x:c r="W884" s="51" t="str">
        <x:v>45;57</x:v>
      </x:c>
      <x:c r="X884" s="51" t="str">
        <x:v>2026-07-27</x:v>
      </x:c>
    </x:row>
    <x:row r="885">
      <x:c r="A885" s="51" t="str">
        <x:v>V14ADV-004</x:v>
      </x:c>
      <x:c r="B885" s="51" t="str">
        <x:v>Government appointments, advisory councils and policy access</x:v>
      </x:c>
      <x:c r="C885" s="51" t="str">
        <x:v>ACT-DAVIDSACKS</x:v>
      </x:c>
      <x:c r="D885" s="51" t="str">
        <x:v>David Sacks</x:v>
      </x:c>
      <x:c r="E885" s="51" t="str">
        <x:v>ACT-WHITEHOUSEOFFICEOFSCIENC</x:v>
      </x:c>
      <x:c r="F885" s="51" t="str">
        <x:v>White House Office of Science and Technology Policy</x:v>
      </x:c>
      <x:c r="G885" s="51" t="str">
        <x:v>Special government employee/adviser → policy office</x:v>
      </x:c>
      <x:c r="H885" s="51" t="str">
        <x:v>2025</x:v>
      </x:c>
      <x:c r="I885" s="51" t="str">
        <x:v>AI and crypto policy role</x:v>
      </x:c>
      <x:c r="J885" s="51" t="str">
        <x:v>INS-291</x:v>
      </x:c>
      <x:c r="K885" s="51" t="str">
        <x:v>Time-limited public role</x:v>
      </x:c>
      <x:c r="L885" s="51" t="str">
        <x:v>Private-sector expertise and appointment</x:v>
      </x:c>
      <x:c r="M885" s="51" t="str">
        <x:v>Policy coordination and advice</x:v>
      </x:c>
      <x:c r="N885" s="51" t="str">
        <x:v>A temporary government role can connect industry networks to policy formation under ethics and disclosure constraints</x:v>
      </x:c>
      <x:c r="O885" s="51" t="str">
        <x:v>Institutional; relational; technological</x:v>
      </x:c>
      <x:c r="P885" s="51" t="str">
        <x:v>E1</x:v>
      </x:c>
      <x:c r="Q885" s="51" t="str">
        <x:v>Very high</x:v>
      </x:c>
      <x:c r="R885" s="51" t="str">
        <x:v>SRC-589</x:v>
      </x:c>
      <x:c r="S885" s="51" t="str">
        <x:v>Official records describe Sacks's special-government-employee status and policy role.</x:v>
      </x:c>
      <x:c r="T885" s="51" t="str">
        <x:v>Authority to decide all AI or crypto policy or permanent government employment.</x:v>
      </x:c>
      <x:c r="U885" s="51" t="str">
        <x:v>Conflict rules and delegated authority bound the role.</x:v>
      </x:c>
      <x:c r="V885" s="51" t="str">
        <x:v>Historical/currently documented</x:v>
      </x:c>
      <x:c r="W885" s="51" t="str">
        <x:v>45;57</x:v>
      </x:c>
      <x:c r="X885" s="51" t="str">
        <x:v>2026-07-27</x:v>
      </x:c>
    </x:row>
    <x:row r="886">
      <x:c r="A886" s="51" t="str">
        <x:v>V14ELITE-001</x:v>
      </x:c>
      <x:c r="B886" s="51" t="str">
        <x:v>Elite social brokerage, reputational risk and institutional vetting</x:v>
      </x:c>
      <x:c r="C886" s="51" t="str">
        <x:v>ACT-DEPARTMENTOFJUSTICEEPSTE</x:v>
      </x:c>
      <x:c r="D886" s="51" t="str">
        <x:v>Department of Justice Epstein Library</x:v>
      </x:c>
      <x:c r="E886" s="51" t="str">
        <x:v>ACT-PEOPLENAMEDORREFERENCEDI</x:v>
      </x:c>
      <x:c r="F886" s="51" t="str">
        <x:v>People named or referenced in Epstein records</x:v>
      </x:c>
      <x:c r="G886" s="51" t="str">
        <x:v>Public repository → record subjects</x:v>
      </x:c>
      <x:c r="H886" s="51" t="str">
        <x:v>2026</x:v>
      </x:c>
      <x:c r="I886" s="51" t="str">
        <x:v>Publication of responsive records</x:v>
      </x:c>
      <x:c r="J886" s="51" t="str">
        <x:v>INS-315</x:v>
      </x:c>
      <x:c r="K886" s="51" t="str">
        <x:v>More than 3.5 million pages announced</x:v>
      </x:c>
      <x:c r="L886" s="51" t="str">
        <x:v>Investigative, court and administrative documents</x:v>
      </x:c>
      <x:c r="M886" s="51" t="str">
        <x:v>Publicly searchable names, communications and metadata</x:v>
      </x:c>
      <x:c r="N886" s="51" t="str">
        <x:v>Transparency converts previously inaccessible records into evidence objects but also creates context-collapse risk</x:v>
      </x:c>
      <x:c r="O886" s="51" t="str">
        <x:v>Informational; legal; reputational</x:v>
      </x:c>
      <x:c r="P886" s="51" t="str">
        <x:v>E1</x:v>
      </x:c>
      <x:c r="Q886" s="51" t="str">
        <x:v>Very high</x:v>
      </x:c>
      <x:c r="R886" s="51" t="str">
        <x:v>SRC-630; SRC-631; SRC-632</x:v>
      </x:c>
      <x:c r="S886" s="51" t="str">
        <x:v>DOJ publishes a large statutory record repository containing many names and references.</x:v>
      </x:c>
      <x:c r="T886" s="51" t="str">
        <x:v>Wrongdoing by every named person, accuracy of every allegation or proof that every scheduled meeting occurred.</x:v>
      </x:c>
      <x:c r="U886" s="51" t="str">
        <x:v>Records contain victims, witnesses, staff, investigators, social contacts and unverified material.</x:v>
      </x:c>
      <x:c r="V886" s="51" t="str">
        <x:v>Active repository</x:v>
      </x:c>
      <x:c r="W886" s="51" t="str">
        <x:v>45;57</x:v>
      </x:c>
      <x:c r="X886" s="51" t="str">
        <x:v>2026-07-27</x:v>
      </x:c>
    </x:row>
    <x:row r="887">
      <x:c r="A887" s="51" t="str">
        <x:v>V14ELITE-002</x:v>
      </x:c>
      <x:c r="B887" s="51" t="str">
        <x:v>Elite social brokerage, reputational risk and institutional vetting</x:v>
      </x:c>
      <x:c r="C887" s="51" t="str">
        <x:v>ACT-JEFFREYEPSTEIN</x:v>
      </x:c>
      <x:c r="D887" s="51" t="str">
        <x:v>Jeffrey Epstein</x:v>
      </x:c>
      <x:c r="E887" s="51" t="str">
        <x:v>ACT-BILLGATES</x:v>
      </x:c>
      <x:c r="F887" s="51" t="str">
        <x:v>Bill Gates</x:v>
      </x:c>
      <x:c r="G887" s="51" t="str">
        <x:v>Broker/social contact → philanthropist</x:v>
      </x:c>
      <x:c r="H887" s="51" t="str">
        <x:v>2011–2014</x:v>
      </x:c>
      <x:c r="I887" s="51" t="str">
        <x:v>Repeated meetings concerning proposed philanthropy</x:v>
      </x:c>
      <x:c r="J887" s="51" t="str">
        <x:v>INS-304</x:v>
      </x:c>
      <x:c r="K887" s="51" t="str">
        <x:v>Approximately 30 meetings across ten Foundation people, including Gates</x:v>
      </x:c>
      <x:c r="L887" s="51" t="str">
        <x:v>Elite introductions and proposed donor network</x:v>
      </x:c>
      <x:c r="M887" s="51" t="str">
        <x:v>Access to Foundation leaders and philanthropic discussions</x:v>
      </x:c>
      <x:c r="N887" s="51" t="str">
        <x:v>A socially connected broker can gain institutional access by promising donor relationships and introductions</x:v>
      </x:c>
      <x:c r="O887" s="51" t="str">
        <x:v>Relational; reputational; informational</x:v>
      </x:c>
      <x:c r="P887" s="51" t="str">
        <x:v>E1</x:v>
      </x:c>
      <x:c r="Q887" s="51" t="str">
        <x:v>Very high</x:v>
      </x:c>
      <x:c r="R887" s="51" t="str">
        <x:v>SRC-607; SRC-608; SRC-635; SRC-636</x:v>
      </x:c>
      <x:c r="S887" s="51" t="str">
        <x:v>The official review documents repeated meetings and proposed philanthropic projects.</x:v>
      </x:c>
      <x:c r="T887" s="51" t="str">
        <x:v>Foundation payment to Epstein, participation in illegal activity or proof about excluded personal dealings.</x:v>
      </x:c>
      <x:c r="U887" s="51" t="str">
        <x:v>The review found no evidence of Foundation payment or illegal conduct and expressly excluded personal communications.</x:v>
      </x:c>
      <x:c r="V887" s="51" t="str">
        <x:v>Historical</x:v>
      </x:c>
      <x:c r="W887" s="51" t="str">
        <x:v>45;57</x:v>
      </x:c>
      <x:c r="X887" s="51" t="str">
        <x:v>2026-07-27</x:v>
      </x:c>
    </x:row>
    <x:row r="888">
      <x:c r="A888" s="51" t="str">
        <x:v>V14ELITE-003</x:v>
      </x:c>
      <x:c r="B888" s="51" t="str">
        <x:v>Elite social brokerage, reputational risk and institutional vetting</x:v>
      </x:c>
      <x:c r="C888" s="51" t="str">
        <x:v>ACT-GATESFOUNDATIONGOVERNING</x:v>
      </x:c>
      <x:c r="D888" s="51" t="str">
        <x:v>Gates Foundation Governing Board</x:v>
      </x:c>
      <x:c r="E888" s="51" t="str">
        <x:v>ACT-GATESFOUNDATION</x:v>
      </x:c>
      <x:c r="F888" s="51" t="str">
        <x:v>Gates Foundation</x:v>
      </x:c>
      <x:c r="G888" s="51" t="str">
        <x:v>Board → foundation controls</x:v>
      </x:c>
      <x:c r="H888" s="51" t="str">
        <x:v>2026 onward</x:v>
      </x:c>
      <x:c r="I888" s="51" t="str">
        <x:v>Post-review governance reform</x:v>
      </x:c>
      <x:c r="J888" s="51" t="str">
        <x:v>INS-304</x:v>
      </x:c>
      <x:c r="K888" s="51" t="str">
        <x:v>Five major reform areas</x:v>
      </x:c>
      <x:c r="L888" s="51" t="str">
        <x:v>Review findings and reputational risk</x:v>
      </x:c>
      <x:c r="M888" s="51" t="str">
        <x:v>Centralised vetting, escalation, role clarity, conflict and confidentiality controls</x:v>
      </x:c>
      <x:c r="N888" s="51" t="str">
        <x:v>Institutional learning converts a network-vetting failure into new gatekeeping procedures</x:v>
      </x:c>
      <x:c r="O888" s="51" t="str">
        <x:v>Institutional; reputational; accountability</x:v>
      </x:c>
      <x:c r="P888" s="51" t="str">
        <x:v>E1</x:v>
      </x:c>
      <x:c r="Q888" s="51" t="str">
        <x:v>Very high</x:v>
      </x:c>
      <x:c r="R888" s="51" t="str">
        <x:v>SRC-607; SRC-608</x:v>
      </x:c>
      <x:c r="S888" s="51" t="str">
        <x:v>The Board unanimously approved specified governance reforms.</x:v>
      </x:c>
      <x:c r="T888" s="51" t="str">
        <x:v>Retroactive elimination of the historical failure or review of excluded entities.</x:v>
      </x:c>
      <x:c r="U888" s="51" t="str">
        <x:v>Effectiveness requires implementation and later audit.</x:v>
      </x:c>
      <x:c r="V888" s="51" t="str">
        <x:v>Implementation</x:v>
      </x:c>
      <x:c r="W888" s="51" t="str">
        <x:v>45;57</x:v>
      </x:c>
      <x:c r="X888" s="51" t="str">
        <x:v>2026-07-27</x:v>
      </x:c>
    </x:row>
    <x:row r="889">
      <x:c r="A889" s="51" t="str">
        <x:v>V14ELITE-004</x:v>
      </x:c>
      <x:c r="B889" s="51" t="str">
        <x:v>Elite social brokerage, reputational risk and institutional vetting</x:v>
      </x:c>
      <x:c r="C889" s="51" t="str">
        <x:v>ACT-DONALDTRUMP</x:v>
      </x:c>
      <x:c r="D889" s="51" t="str">
        <x:v>Donald Trump</x:v>
      </x:c>
      <x:c r="E889" s="51" t="str">
        <x:v>ACT-JEFFREYEPSTEIN</x:v>
      </x:c>
      <x:c r="F889" s="51" t="str">
        <x:v>Jeffrey Epstein</x:v>
      </x:c>
      <x:c r="G889" s="51" t="str">
        <x:v>Social acquaintance → social acquaintance</x:v>
      </x:c>
      <x:c r="H889" s="51" t="str">
        <x:v>1990s–early 2000s</x:v>
      </x:c>
      <x:c r="I889" s="51" t="str">
        <x:v>Documented social contact</x:v>
      </x:c>
      <x:c r="J889" s="51" t="str">
        <x:v>INS-315</x:v>
      </x:c>
      <x:c r="K889" s="51" t="str">
        <x:v>Multiple documented public appearances and travel evidence in existing ledger</x:v>
      </x:c>
      <x:c r="L889" s="51" t="str">
        <x:v>Elite social access</x:v>
      </x:c>
      <x:c r="M889" s="51" t="str">
        <x:v>Repeated social proximity</x:v>
      </x:c>
      <x:c r="N889" s="51" t="str">
        <x:v>Social networks can provide access across wealth, politics and entertainment without establishing a coordinated political project</x:v>
      </x:c>
      <x:c r="O889" s="51" t="str">
        <x:v>Relational; reputational</x:v>
      </x:c>
      <x:c r="P889" s="51" t="str">
        <x:v>E2</x:v>
      </x:c>
      <x:c r="Q889" s="51" t="str">
        <x:v>High</x:v>
      </x:c>
      <x:c r="R889" s="51" t="str">
        <x:v>SRC-054; SRC-055; SRC-633; SRC-634</x:v>
      </x:c>
      <x:c r="S889" s="51" t="str">
        <x:v>Trump and Epstein were documented social acquaintances during the period.</x:v>
      </x:c>
      <x:c r="T889" s="51" t="str">
        <x:v>That Epstein was Trump's 'best friend,' that Trump participated in Epstein's crimes or that the relationship explains presidential authority.</x:v>
      </x:c>
      <x:c r="U889" s="51" t="str">
        <x:v>The strength, duration and ending of the relationship remain disputed; misconduct requires separate evidence.</x:v>
      </x:c>
      <x:c r="V889" s="51" t="str">
        <x:v>Historical</x:v>
      </x:c>
      <x:c r="W889" s="51" t="str">
        <x:v>45;57</x:v>
      </x:c>
      <x:c r="X889" s="51" t="str">
        <x:v>2026-07-27</x:v>
      </x:c>
    </x:row>
    <x:row r="890">
      <x:c r="A890" s="51" t="str">
        <x:v>V14ELITE-005</x:v>
      </x:c>
      <x:c r="B890" s="51" t="str">
        <x:v>Elite social brokerage, reputational risk and institutional vetting</x:v>
      </x:c>
      <x:c r="C890" s="51" t="str">
        <x:v>ACT-JEFFREYEPSTEIN</x:v>
      </x:c>
      <x:c r="D890" s="51" t="str">
        <x:v>Jeffrey Epstein</x:v>
      </x:c>
      <x:c r="E890" s="51" t="str">
        <x:v>ACT-ELONMUSK</x:v>
      </x:c>
      <x:c r="F890" s="51" t="str">
        <x:v>Elon Musk</x:v>
      </x:c>
      <x:c r="G890" s="51" t="str">
        <x:v>Planned contact in released schedule → public figure</x:v>
      </x:c>
      <x:c r="H890" s="51" t="str">
        <x:v>2014 schedule material</x:v>
      </x:c>
      <x:c r="I890" s="51" t="str">
        <x:v>Unverified planned meeting</x:v>
      </x:c>
      <x:c r="J890" s="51" t="str">
        <x:v>INS-315</x:v>
      </x:c>
      <x:c r="K890" s="51" t="str">
        <x:v>Schedule entry</x:v>
      </x:c>
      <x:c r="L890" s="51" t="str">
        <x:v>Proposed calendar contact</x:v>
      </x:c>
      <x:c r="M890" s="51" t="str">
        <x:v>Documented plan or invitation</x:v>
      </x:c>
      <x:c r="N890" s="51" t="str">
        <x:v>Schedule records can reveal attempted brokerage but must not be treated as proof that a meeting occurred</x:v>
      </x:c>
      <x:c r="O890" s="51" t="str">
        <x:v>Relational; reputational; informational</x:v>
      </x:c>
      <x:c r="P890" s="51" t="str">
        <x:v>N1</x:v>
      </x:c>
      <x:c r="Q890" s="51" t="str">
        <x:v>Moderate</x:v>
      </x:c>
      <x:c r="R890" s="51" t="str">
        <x:v>SRC-637</x:v>
      </x:c>
      <x:c r="S890" s="51" t="str">
        <x:v>Released schedules reportedly contained a planned meeting involving Elon Musk.</x:v>
      </x:c>
      <x:c r="T890" s="51" t="str">
        <x:v>That the meeting occurred, wrongdoing, investment or an operational relationship.</x:v>
      </x:c>
      <x:c r="U890" s="51" t="str">
        <x:v>Reuters expressly noted that schedules do not prove meetings took place and reported no evidence of wrongdoing.</x:v>
      </x:c>
      <x:c r="V890" s="51" t="str">
        <x:v>Unverified occurrence</x:v>
      </x:c>
      <x:c r="W890" s="51" t="str">
        <x:v>45;57</x:v>
      </x:c>
      <x:c r="X890" s="51" t="str">
        <x:v>2026-07-27</x:v>
      </x:c>
    </x:row>
    <x:row r="891">
      <x:c r="A891" s="51" t="str">
        <x:v>V14ELITE-006</x:v>
      </x:c>
      <x:c r="B891" s="51" t="str">
        <x:v>Elite social brokerage, reputational risk and institutional vetting</x:v>
      </x:c>
      <x:c r="C891" s="51" t="str">
        <x:v>ACT-JEFFREYEPSTEIN</x:v>
      </x:c>
      <x:c r="D891" s="51" t="str">
        <x:v>Jeffrey Epstein</x:v>
      </x:c>
      <x:c r="E891" s="51" t="str">
        <x:v>ACT-PETERTHIEL</x:v>
      </x:c>
      <x:c r="F891" s="51" t="str">
        <x:v>Peter Thiel</x:v>
      </x:c>
      <x:c r="G891" s="51" t="str">
        <x:v>Planned contact in released schedule → public figure</x:v>
      </x:c>
      <x:c r="H891" s="51" t="str">
        <x:v>2014 schedule material</x:v>
      </x:c>
      <x:c r="I891" s="51" t="str">
        <x:v>Unverified planned meeting</x:v>
      </x:c>
      <x:c r="J891" s="51" t="str">
        <x:v>INS-315</x:v>
      </x:c>
      <x:c r="K891" s="51" t="str">
        <x:v>Schedule entry</x:v>
      </x:c>
      <x:c r="L891" s="51" t="str">
        <x:v>Proposed calendar contact</x:v>
      </x:c>
      <x:c r="M891" s="51" t="str">
        <x:v>Documented plan or invitation</x:v>
      </x:c>
      <x:c r="N891" s="51" t="str">
        <x:v>A calendar entry is a weak network signal until corroborated by attendance, communication or transaction evidence</x:v>
      </x:c>
      <x:c r="O891" s="51" t="str">
        <x:v>Relational; reputational; informational</x:v>
      </x:c>
      <x:c r="P891" s="51" t="str">
        <x:v>N1</x:v>
      </x:c>
      <x:c r="Q891" s="51" t="str">
        <x:v>Moderate</x:v>
      </x:c>
      <x:c r="R891" s="51" t="str">
        <x:v>SRC-637</x:v>
      </x:c>
      <x:c r="S891" s="51" t="str">
        <x:v>Released schedules reportedly contained a planned meeting involving Peter Thiel.</x:v>
      </x:c>
      <x:c r="T891" s="51" t="str">
        <x:v>That the meeting occurred, wrongdoing or a financial relationship.</x:v>
      </x:c>
      <x:c r="U891" s="51" t="str">
        <x:v>The record is preserved as a verification target rather than an established edge.</x:v>
      </x:c>
      <x:c r="V891" s="51" t="str">
        <x:v>Unverified occurrence</x:v>
      </x:c>
      <x:c r="W891" s="51" t="str">
        <x:v>45;57</x:v>
      </x:c>
      <x:c r="X891" s="51" t="str">
        <x:v>2026-07-27</x:v>
      </x:c>
    </x:row>
    <x:row r="892">
      <x:c r="A892" s="51" t="str">
        <x:v>V14LOB-001</x:v>
      </x:c>
      <x:c r="B892" s="51" t="str">
        <x:v>Corporate lobbying and regulatory agenda-setting</x:v>
      </x:c>
      <x:c r="C892" s="51" t="str">
        <x:v>ACT-OPENAI</x:v>
      </x:c>
      <x:c r="D892" s="51" t="str">
        <x:v>OpenAI</x:v>
      </x:c>
      <x:c r="E892" s="51" t="str">
        <x:v>ACT-DLAPIPER</x:v>
      </x:c>
      <x:c r="F892" s="51" t="str">
        <x:v>DLA Piper</x:v>
      </x:c>
      <x:c r="G892" s="51" t="str">
        <x:v>Client → registered lobbying firm</x:v>
      </x:c>
      <x:c r="H892" s="51" t="str">
        <x:v>2025–2026</x:v>
      </x:c>
      <x:c r="I892" s="51" t="str">
        <x:v>Federal lobbying engagement</x:v>
      </x:c>
      <x:c r="J892" s="51" t="str">
        <x:v>INS-294</x:v>
      </x:c>
      <x:c r="K892" s="51" t="str">
        <x:v>Quarterly reported payments</x:v>
      </x:c>
      <x:c r="L892" s="51" t="str">
        <x:v>Corporate policy objectives and legal budget</x:v>
      </x:c>
      <x:c r="M892" s="51" t="str">
        <x:v>Registered federal advocacy</x:v>
      </x:c>
      <x:c r="N892" s="51" t="str">
        <x:v>A company purchases specialised access, policy translation and representation without purchasing a guaranteed outcome</x:v>
      </x:c>
      <x:c r="O892" s="51" t="str">
        <x:v>Financial; relational; institutional</x:v>
      </x:c>
      <x:c r="P892" s="51" t="str">
        <x:v>E1</x:v>
      </x:c>
      <x:c r="Q892" s="51" t="str">
        <x:v>Very high</x:v>
      </x:c>
      <x:c r="R892" s="51" t="str">
        <x:v>SRC-591</x:v>
      </x:c>
      <x:c r="S892" s="51" t="str">
        <x:v>Federal filings list DLA Piper as a lobbying registrant for OpenAI OpCo and disclose reported payments and issue areas.</x:v>
      </x:c>
      <x:c r="T892" s="51" t="str">
        <x:v>Secret control of lawmakers or successful adoption of every requested policy.</x:v>
      </x:c>
      <x:c r="U892" s="51" t="str">
        <x:v>Filings disclose activity and compensation, not private persuasion outcomes.</x:v>
      </x:c>
      <x:c r="V892" s="51" t="str">
        <x:v>Active</x:v>
      </x:c>
      <x:c r="W892" s="51" t="str">
        <x:v>45;57</x:v>
      </x:c>
      <x:c r="X892" s="51" t="str">
        <x:v>2026-07-27</x:v>
      </x:c>
    </x:row>
    <x:row r="893">
      <x:c r="A893" s="51" t="str">
        <x:v>V14LOB-002</x:v>
      </x:c>
      <x:c r="B893" s="51" t="str">
        <x:v>Corporate lobbying and regulatory agenda-setting</x:v>
      </x:c>
      <x:c r="C893" s="51" t="str">
        <x:v>ACT-DLAPIPER</x:v>
      </x:c>
      <x:c r="D893" s="51" t="str">
        <x:v>DLA Piper</x:v>
      </x:c>
      <x:c r="E893" s="51" t="str">
        <x:v>ACT-FEDERALPOLICYMAKERSANDAG</x:v>
      </x:c>
      <x:c r="F893" s="51" t="str">
        <x:v>Federal policymakers and agencies</x:v>
      </x:c>
      <x:c r="G893" s="51" t="str">
        <x:v>Registered lobbyist → public decision makers</x:v>
      </x:c>
      <x:c r="H893" s="51" t="str">
        <x:v>2025–2026</x:v>
      </x:c>
      <x:c r="I893" s="51" t="str">
        <x:v>Meetings and communications on disclosed issues</x:v>
      </x:c>
      <x:c r="J893" s="51" t="str">
        <x:v>INS-293; INS-294</x:v>
      </x:c>
      <x:c r="K893" s="51" t="str">
        <x:v>Issue-specific</x:v>
      </x:c>
      <x:c r="L893" s="51" t="str">
        <x:v>Client position and technical/legal framing</x:v>
      </x:c>
      <x:c r="M893" s="51" t="str">
        <x:v>Policy information, requests and relationship access</x:v>
      </x:c>
      <x:c r="N893" s="51" t="str">
        <x:v>Lobbyists convert corporate preferences into language legible to legislative and executive institutions</x:v>
      </x:c>
      <x:c r="O893" s="51" t="str">
        <x:v>Relational; institutional; informational</x:v>
      </x:c>
      <x:c r="P893" s="51" t="str">
        <x:v>E1</x:v>
      </x:c>
      <x:c r="Q893" s="51" t="str">
        <x:v>High</x:v>
      </x:c>
      <x:c r="R893" s="51" t="str">
        <x:v>SRC-591; SRC-595</x:v>
      </x:c>
      <x:c r="S893" s="51" t="str">
        <x:v>The LDA system records lobbying issues, clients and registrants.</x:v>
      </x:c>
      <x:c r="T893" s="51" t="str">
        <x:v>A specific official being persuaded or a policy outcome being caused by the lobbying.</x:v>
      </x:c>
      <x:c r="U893" s="51" t="str">
        <x:v>Causal attribution requires meeting, drafting, timing and decision evidence.</x:v>
      </x:c>
      <x:c r="V893" s="51" t="str">
        <x:v>Active</x:v>
      </x:c>
      <x:c r="W893" s="51" t="str">
        <x:v>45;57</x:v>
      </x:c>
      <x:c r="X893" s="51" t="str">
        <x:v>2026-07-27</x:v>
      </x:c>
    </x:row>
    <x:row r="894">
      <x:c r="A894" s="51" t="str">
        <x:v>V14LOB-003</x:v>
      </x:c>
      <x:c r="B894" s="51" t="str">
        <x:v>Corporate lobbying and regulatory agenda-setting</x:v>
      </x:c>
      <x:c r="C894" s="51" t="str">
        <x:v>ACT-MICROSOFT</x:v>
      </x:c>
      <x:c r="D894" s="51" t="str">
        <x:v>Microsoft</x:v>
      </x:c>
      <x:c r="E894" s="51" t="str">
        <x:v>ACT-FEDERALPOLICYMAKERSANDAG</x:v>
      </x:c>
      <x:c r="F894" s="51" t="str">
        <x:v>Federal policymakers and agencies</x:v>
      </x:c>
      <x:c r="G894" s="51" t="str">
        <x:v>Corporation → public decision makers</x:v>
      </x:c>
      <x:c r="H894" s="51" t="str">
        <x:v>2025–2026</x:v>
      </x:c>
      <x:c r="I894" s="51" t="str">
        <x:v>In-house and external federal lobbying</x:v>
      </x:c>
      <x:c r="J894" s="51" t="str">
        <x:v>INS-295</x:v>
      </x:c>
      <x:c r="K894" s="51" t="str">
        <x:v>Multi-million-dollar quarterly disclosures</x:v>
      </x:c>
      <x:c r="L894" s="51" t="str">
        <x:v>Cloud, AI, cybersecurity, privacy and competition priorities</x:v>
      </x:c>
      <x:c r="M894" s="51" t="str">
        <x:v>Policy advocacy and information</x:v>
      </x:c>
      <x:c r="N894" s="51" t="str">
        <x:v>Scale, technical expertise and persistent government-affairs teams create repeated access across policy domains</x:v>
      </x:c>
      <x:c r="O894" s="51" t="str">
        <x:v>Financial; relational; technological</x:v>
      </x:c>
      <x:c r="P894" s="51" t="str">
        <x:v>E1</x:v>
      </x:c>
      <x:c r="Q894" s="51" t="str">
        <x:v>Very high</x:v>
      </x:c>
      <x:c r="R894" s="51" t="str">
        <x:v>SRC-592</x:v>
      </x:c>
      <x:c r="S894" s="51" t="str">
        <x:v>Official filings disclose Microsoft lobbying expenses and issue areas.</x:v>
      </x:c>
      <x:c r="T894" s="51" t="str">
        <x:v>Control over Congress, agencies or final rules.</x:v>
      </x:c>
      <x:c r="U894" s="51" t="str">
        <x:v>Lobbying is one input among elections, agencies, courts, public opinion and competitors.</x:v>
      </x:c>
      <x:c r="V894" s="51" t="str">
        <x:v>Active</x:v>
      </x:c>
      <x:c r="W894" s="51" t="str">
        <x:v>45;57</x:v>
      </x:c>
      <x:c r="X894" s="51" t="str">
        <x:v>2026-07-27</x:v>
      </x:c>
    </x:row>
    <x:row r="895">
      <x:c r="A895" s="51" t="str">
        <x:v>V14LOB-004</x:v>
      </x:c>
      <x:c r="B895" s="51" t="str">
        <x:v>Corporate lobbying and regulatory agenda-setting</x:v>
      </x:c>
      <x:c r="C895" s="51" t="str">
        <x:v>ACT-METAPLATFORMS</x:v>
      </x:c>
      <x:c r="D895" s="51" t="str">
        <x:v>Meta Platforms</x:v>
      </x:c>
      <x:c r="E895" s="51" t="str">
        <x:v>ACT-FEDERALPOLICYMAKERSANDAG</x:v>
      </x:c>
      <x:c r="F895" s="51" t="str">
        <x:v>Federal policymakers and agencies</x:v>
      </x:c>
      <x:c r="G895" s="51" t="str">
        <x:v>Corporation → public decision makers</x:v>
      </x:c>
      <x:c r="H895" s="51" t="str">
        <x:v>2025–2026</x:v>
      </x:c>
      <x:c r="I895" s="51" t="str">
        <x:v>Federal lobbying</x:v>
      </x:c>
      <x:c r="J895" s="51" t="str">
        <x:v>INS-296</x:v>
      </x:c>
      <x:c r="K895" s="51" t="str">
        <x:v>Multi-million-dollar quarterly disclosures</x:v>
      </x:c>
      <x:c r="L895" s="51" t="str">
        <x:v>Platform, AI, privacy, competition and content-policy interests</x:v>
      </x:c>
      <x:c r="M895" s="51" t="str">
        <x:v>Policy advocacy and legislative engagement</x:v>
      </x:c>
      <x:c r="N895" s="51" t="str">
        <x:v>A platform company can defend or reshape the legal environment governing its business model</x:v>
      </x:c>
      <x:c r="O895" s="51" t="str">
        <x:v>Financial; relational; informational</x:v>
      </x:c>
      <x:c r="P895" s="51" t="str">
        <x:v>E1</x:v>
      </x:c>
      <x:c r="Q895" s="51" t="str">
        <x:v>Very high</x:v>
      </x:c>
      <x:c r="R895" s="51" t="str">
        <x:v>SRC-593</x:v>
      </x:c>
      <x:c r="S895" s="51" t="str">
        <x:v>Meta reports substantial federal lobbying activity and broad issue coverage.</x:v>
      </x:c>
      <x:c r="T895" s="51" t="str">
        <x:v>Direct control over legislative votes or agency adjudication.</x:v>
      </x:c>
      <x:c r="U895" s="51" t="str">
        <x:v>Reported expenditure measures activity, not effectiveness.</x:v>
      </x:c>
      <x:c r="V895" s="51" t="str">
        <x:v>Active</x:v>
      </x:c>
      <x:c r="W895" s="51" t="str">
        <x:v>45;57</x:v>
      </x:c>
      <x:c r="X895" s="51" t="str">
        <x:v>2026-07-27</x:v>
      </x:c>
    </x:row>
    <x:row r="896">
      <x:c r="A896" s="51" t="str">
        <x:v>V14LOB-005</x:v>
      </x:c>
      <x:c r="B896" s="51" t="str">
        <x:v>Corporate lobbying and regulatory agenda-setting</x:v>
      </x:c>
      <x:c r="C896" s="51" t="str">
        <x:v>ACT-PALANTIRTECHNOLOGIES</x:v>
      </x:c>
      <x:c r="D896" s="51" t="str">
        <x:v>Palantir Technologies</x:v>
      </x:c>
      <x:c r="E896" s="51" t="str">
        <x:v>ACT-FEDERALPOLICYMAKERSANDAG</x:v>
      </x:c>
      <x:c r="F896" s="51" t="str">
        <x:v>Federal policymakers and agencies</x:v>
      </x:c>
      <x:c r="G896" s="51" t="str">
        <x:v>Government contractor → public decision makers</x:v>
      </x:c>
      <x:c r="H896" s="51" t="str">
        <x:v>2025–2026</x:v>
      </x:c>
      <x:c r="I896" s="51" t="str">
        <x:v>Federal lobbying on defence, AI, privacy and procurement</x:v>
      </x:c>
      <x:c r="J896" s="51" t="str">
        <x:v>INS-297</x:v>
      </x:c>
      <x:c r="K896" s="51" t="str">
        <x:v>Reported quarterly expenses</x:v>
      </x:c>
      <x:c r="L896" s="51" t="str">
        <x:v>Procurement, defence and data-policy interests</x:v>
      </x:c>
      <x:c r="M896" s="51" t="str">
        <x:v>Advocacy affecting budgets, rules and programme design</x:v>
      </x:c>
      <x:c r="N896" s="51" t="str">
        <x:v>A contractor can influence the institutional rules that define future demand for its products</x:v>
      </x:c>
      <x:c r="O896" s="51" t="str">
        <x:v>Financial; relational; institutional</x:v>
      </x:c>
      <x:c r="P896" s="51" t="str">
        <x:v>E1</x:v>
      </x:c>
      <x:c r="Q896" s="51" t="str">
        <x:v>Very high</x:v>
      </x:c>
      <x:c r="R896" s="51" t="str">
        <x:v>SRC-594</x:v>
      </x:c>
      <x:c r="S896" s="51" t="str">
        <x:v>Official filings disclose Palantir lobbying activity and issue areas.</x:v>
      </x:c>
      <x:c r="T896" s="51" t="str">
        <x:v>Improper procurement influence, contract award causation or control of agencies.</x:v>
      </x:c>
      <x:c r="U896" s="51" t="str">
        <x:v>Contracting decisions require separate procurement evidence.</x:v>
      </x:c>
      <x:c r="V896" s="51" t="str">
        <x:v>Active</x:v>
      </x:c>
      <x:c r="W896" s="51" t="str">
        <x:v>45;57</x:v>
      </x:c>
      <x:c r="X896" s="51" t="str">
        <x:v>2026-07-27</x:v>
      </x:c>
    </x:row>
    <x:row r="897">
      <x:c r="A897" s="51" t="str">
        <x:v>V14LOB-006</x:v>
      </x:c>
      <x:c r="B897" s="51" t="str">
        <x:v>Corporate lobbying and regulatory agenda-setting</x:v>
      </x:c>
      <x:c r="C897" s="51" t="str">
        <x:v>ACT-LOBBYINGDISCLOSUREACTSYS</x:v>
      </x:c>
      <x:c r="D897" s="51" t="str">
        <x:v>Lobbying Disclosure Act system</x:v>
      </x:c>
      <x:c r="E897" s="51" t="str">
        <x:v>ACT-FEDERALLOBBYINGREGISTRAN</x:v>
      </x:c>
      <x:c r="F897" s="51" t="str">
        <x:v>Federal lobbying registrants</x:v>
      </x:c>
      <x:c r="G897" s="51" t="str">
        <x:v>Disclosure system → registrants</x:v>
      </x:c>
      <x:c r="H897" s="51" t="str">
        <x:v>Ongoing</x:v>
      </x:c>
      <x:c r="I897" s="51" t="str">
        <x:v>Registration and quarterly reporting obligations</x:v>
      </x:c>
      <x:c r="J897" s="51" t="str">
        <x:v>INS-293</x:v>
      </x:c>
      <x:c r="K897" s="51" t="str">
        <x:v>Federal reporting population</x:v>
      </x:c>
      <x:c r="L897" s="51" t="str">
        <x:v>Client, lobbyist, issue and expense information</x:v>
      </x:c>
      <x:c r="M897" s="51" t="str">
        <x:v>Public lobbying record</x:v>
      </x:c>
      <x:c r="N897" s="51" t="str">
        <x:v>Disclosure converts private advocacy into a partial public audit trail</x:v>
      </x:c>
      <x:c r="O897" s="51" t="str">
        <x:v>Informational; institutional; accountability</x:v>
      </x:c>
      <x:c r="P897" s="51" t="str">
        <x:v>E1</x:v>
      </x:c>
      <x:c r="Q897" s="51" t="str">
        <x:v>Very high</x:v>
      </x:c>
      <x:c r="R897" s="51" t="str">
        <x:v>SRC-595</x:v>
      </x:c>
      <x:c r="S897" s="51" t="str">
        <x:v>The federal system publishes registrations and activity reports.</x:v>
      </x:c>
      <x:c r="T897" s="51" t="str">
        <x:v>Complete disclosure of informal access, think-tank funding, social meetings or every policy draft.</x:v>
      </x:c>
      <x:c r="U897" s="51" t="str">
        <x:v>Legal thresholds and reporting categories leave important influence channels outside the database.</x:v>
      </x:c>
      <x:c r="V897" s="51" t="str">
        <x:v>Active</x:v>
      </x:c>
      <x:c r="W897" s="51" t="str">
        <x:v>45;57</x:v>
      </x:c>
      <x:c r="X897" s="51" t="str">
        <x:v>2026-07-27</x:v>
      </x:c>
    </x:row>
    <x:row r="898">
      <x:c r="A898" s="51" t="str">
        <x:v>V14MEDIA-001</x:v>
      </x:c>
      <x:c r="B898" s="51" t="str">
        <x:v>Media ownership, voting control and editorial governance</x:v>
      </x:c>
      <x:c r="C898" s="51" t="str">
        <x:v>ACT-LGCFAMILYTRUSTS</x:v>
      </x:c>
      <x:c r="D898" s="51" t="str">
        <x:v>LGC family trusts</x:v>
      </x:c>
      <x:c r="E898" s="51" t="str">
        <x:v>ACT-FOXCORPORATION</x:v>
      </x:c>
      <x:c r="F898" s="51" t="str">
        <x:v>Fox Corporation</x:v>
      </x:c>
      <x:c r="G898" s="51" t="str">
        <x:v>Voting trusts → media company</x:v>
      </x:c>
      <x:c r="H898" s="51" t="str">
        <x:v>2025 onward</x:v>
      </x:c>
      <x:c r="I898" s="51" t="str">
        <x:v>Family-associated voting control</x:v>
      </x:c>
      <x:c r="J898" s="51" t="str">
        <x:v>INS-313</x:v>
      </x:c>
      <x:c r="K898" s="51" t="str">
        <x:v>Disclosed voting interests and caps</x:v>
      </x:c>
      <x:c r="L898" s="51" t="str">
        <x:v>Trust-held voting shares</x:v>
      </x:c>
      <x:c r="M898" s="51" t="str">
        <x:v>Board-election and corporate-control influence</x:v>
      </x:c>
      <x:c r="N898" s="51" t="str">
        <x:v>Dual-class shares and family trusts can preserve concentrated governance despite dispersed economic ownership</x:v>
      </x:c>
      <x:c r="O898" s="51" t="str">
        <x:v>Ownership; institutional; informational</x:v>
      </x:c>
      <x:c r="P898" s="51" t="str">
        <x:v>E1</x:v>
      </x:c>
      <x:c r="Q898" s="51" t="str">
        <x:v>Very high</x:v>
      </x:c>
      <x:c r="R898" s="51" t="str">
        <x:v>SRC-626; SRC-627</x:v>
      </x:c>
      <x:c r="S898" s="51" t="str">
        <x:v>Fox filings disclose family-associated trust and voting structures.</x:v>
      </x:c>
      <x:c r="T898" s="51" t="str">
        <x:v>Direct instruction of every news segment or ownership of all economic interests.</x:v>
      </x:c>
      <x:c r="U898" s="51" t="str">
        <x:v>Corporate governance power and newsroom decisions are distinct layers.</x:v>
      </x:c>
      <x:c r="V898" s="51" t="str">
        <x:v>Active</x:v>
      </x:c>
      <x:c r="W898" s="51" t="str">
        <x:v>45;57</x:v>
      </x:c>
      <x:c r="X898" s="51" t="str">
        <x:v>2026-07-27</x:v>
      </x:c>
    </x:row>
    <x:row r="899">
      <x:c r="A899" s="51" t="str">
        <x:v>V14MEDIA-002</x:v>
      </x:c>
      <x:c r="B899" s="51" t="str">
        <x:v>Media ownership, voting control and editorial governance</x:v>
      </x:c>
      <x:c r="C899" s="51" t="str">
        <x:v>ACT-LACHLANMURDOCH</x:v>
      </x:c>
      <x:c r="D899" s="51" t="str">
        <x:v>Lachlan Murdoch</x:v>
      </x:c>
      <x:c r="E899" s="51" t="str">
        <x:v>ACT-FOXCORPORATION</x:v>
      </x:c>
      <x:c r="F899" s="51" t="str">
        <x:v>Fox Corporation</x:v>
      </x:c>
      <x:c r="G899" s="51" t="str">
        <x:v>Executive → media company</x:v>
      </x:c>
      <x:c r="H899" s="51" t="str">
        <x:v>Current 2026</x:v>
      </x:c>
      <x:c r="I899" s="51" t="str">
        <x:v>Executive Chair and CEO authority</x:v>
      </x:c>
      <x:c r="J899" s="51" t="str">
        <x:v>INS-313</x:v>
      </x:c>
      <x:c r="K899" s="51" t="str">
        <x:v>Formal corporate office</x:v>
      </x:c>
      <x:c r="L899" s="51" t="str">
        <x:v>Board and executive authority</x:v>
      </x:c>
      <x:c r="M899" s="51" t="str">
        <x:v>Corporate strategy, appointments and resource allocation</x:v>
      </x:c>
      <x:c r="N899" s="51" t="str">
        <x:v>Executive authority converts voting support and office into control over company-level priorities</x:v>
      </x:c>
      <x:c r="O899" s="51" t="str">
        <x:v>Institutional; ownership; relational</x:v>
      </x:c>
      <x:c r="P899" s="51" t="str">
        <x:v>E1</x:v>
      </x:c>
      <x:c r="Q899" s="51" t="str">
        <x:v>Very high</x:v>
      </x:c>
      <x:c r="R899" s="51" t="str">
        <x:v>SRC-626; SRC-627</x:v>
      </x:c>
      <x:c r="S899" s="51" t="str">
        <x:v>Lachlan Murdoch is Fox's Executive Chair and CEO.</x:v>
      </x:c>
      <x:c r="T899" s="51" t="str">
        <x:v>Personal authorship or control of every editorial decision.</x:v>
      </x:c>
      <x:c r="U899" s="51" t="str">
        <x:v>Editorial chains include business units, editors, producers and journalists.</x:v>
      </x:c>
      <x:c r="V899" s="51" t="str">
        <x:v>Active</x:v>
      </x:c>
      <x:c r="W899" s="51" t="str">
        <x:v>45;57</x:v>
      </x:c>
      <x:c r="X899" s="51" t="str">
        <x:v>2026-07-27</x:v>
      </x:c>
    </x:row>
    <x:row r="900">
      <x:c r="A900" s="51" t="str">
        <x:v>V14MEDIA-003</x:v>
      </x:c>
      <x:c r="B900" s="51" t="str">
        <x:v>Media ownership, voting control and editorial governance</x:v>
      </x:c>
      <x:c r="C900" s="51" t="str">
        <x:v>ACT-JEFFBEZOS</x:v>
      </x:c>
      <x:c r="D900" s="51" t="str">
        <x:v>Jeff Bezos</x:v>
      </x:c>
      <x:c r="E900" s="51" t="str">
        <x:v>ACT-THEWASHINGTONPOST</x:v>
      </x:c>
      <x:c r="F900" s="51" t="str">
        <x:v>The Washington Post</x:v>
      </x:c>
      <x:c r="G900" s="51" t="str">
        <x:v>Private owner → news organisation</x:v>
      </x:c>
      <x:c r="H900" s="51" t="str">
        <x:v>2013 onward</x:v>
      </x:c>
      <x:c r="I900" s="51" t="str">
        <x:v>Private ownership</x:v>
      </x:c>
      <x:c r="J900" s="51" t="str">
        <x:v>INS-314</x:v>
      </x:c>
      <x:c r="K900" s="51" t="str">
        <x:v>Private acquisition</x:v>
      </x:c>
      <x:c r="L900" s="51" t="str">
        <x:v>Personal capital and ownership rights</x:v>
      </x:c>
      <x:c r="M900" s="51" t="str">
        <x:v>Board, budget and high-level strategic authority</x:v>
      </x:c>
      <x:c r="N900" s="51" t="str">
        <x:v>Private ownership gives one individual substantial governance capacity over a major news institution</x:v>
      </x:c>
      <x:c r="O900" s="51" t="str">
        <x:v>Ownership; financial; informational</x:v>
      </x:c>
      <x:c r="P900" s="51" t="str">
        <x:v>E1</x:v>
      </x:c>
      <x:c r="Q900" s="51" t="str">
        <x:v>Very high</x:v>
      </x:c>
      <x:c r="R900" s="51" t="str">
        <x:v>SRC-628</x:v>
      </x:c>
      <x:c r="S900" s="51" t="str">
        <x:v>The Washington Post identifies Jeff Bezos as its owner.</x:v>
      </x:c>
      <x:c r="T900" s="51" t="str">
        <x:v>Direct control of every reported article or journalists' factual conclusions.</x:v>
      </x:c>
      <x:c r="U900" s="51" t="str">
        <x:v>Newsroom and editorial leadership retain operational roles.</x:v>
      </x:c>
      <x:c r="V900" s="51" t="str">
        <x:v>Active</x:v>
      </x:c>
      <x:c r="W900" s="51" t="str">
        <x:v>45;57</x:v>
      </x:c>
      <x:c r="X900" s="51" t="str">
        <x:v>2026-07-27</x:v>
      </x:c>
    </x:row>
    <x:row r="901">
      <x:c r="A901" s="51" t="str">
        <x:v>V14MEDIA-004</x:v>
      </x:c>
      <x:c r="B901" s="51" t="str">
        <x:v>Media ownership, voting control and editorial governance</x:v>
      </x:c>
      <x:c r="C901" s="51" t="str">
        <x:v>ACT-JEFFBEZOS</x:v>
      </x:c>
      <x:c r="D901" s="51" t="str">
        <x:v>Jeff Bezos</x:v>
      </x:c>
      <x:c r="E901" s="51" t="str">
        <x:v>ACT-NEWSROOMANDEDITORIALLEAD</x:v>
      </x:c>
      <x:c r="F901" s="51" t="str">
        <x:v>Newsroom and editorial leadership</x:v>
      </x:c>
      <x:c r="G901" s="51" t="str">
        <x:v>Owner → editorial-governance layer</x:v>
      </x:c>
      <x:c r="H901" s="51" t="str">
        <x:v>2025</x:v>
      </x:c>
      <x:c r="I901" s="51" t="str">
        <x:v>Opinion-section policy direction</x:v>
      </x:c>
      <x:c r="J901" s="51" t="str">
        <x:v>INS-314</x:v>
      </x:c>
      <x:c r="K901" s="51" t="str">
        <x:v>Institution-wide opinion policy</x:v>
      </x:c>
      <x:c r="L901" s="51" t="str">
        <x:v>Ownership authority and announced editorial principle</x:v>
      </x:c>
      <x:c r="M901" s="51" t="str">
        <x:v>Change in opinion-section scope and priorities</x:v>
      </x:c>
      <x:c r="N901" s="51" t="str">
        <x:v>An owner can intervene at the level of editorial constitution even without directing individual news reports</x:v>
      </x:c>
      <x:c r="O901" s="51" t="str">
        <x:v>Ownership; informational; institutional</x:v>
      </x:c>
      <x:c r="P901" s="51" t="str">
        <x:v>E1</x:v>
      </x:c>
      <x:c r="Q901" s="51" t="str">
        <x:v>High</x:v>
      </x:c>
      <x:c r="R901" s="51" t="str">
        <x:v>SRC-629</x:v>
      </x:c>
      <x:c r="S901" s="51" t="str">
        <x:v>The Post reported that Bezos announced a change to the opinion section's focus.</x:v>
      </x:c>
      <x:c r="T901" s="51" t="str">
        <x:v>Control of every newsroom article or evidence that news reporting was ordered to follow the same line.</x:v>
      </x:c>
      <x:c r="U901" s="51" t="str">
        <x:v>Opinion and news operations are distinct institutional units.</x:v>
      </x:c>
      <x:c r="V901" s="51" t="str">
        <x:v>Active policy</x:v>
      </x:c>
      <x:c r="W901" s="51" t="str">
        <x:v>45;57</x:v>
      </x:c>
      <x:c r="X901" s="51" t="str">
        <x:v>2026-07-27</x:v>
      </x:c>
    </x:row>
    <x:row r="902">
      <x:c r="A902" s="51" t="str">
        <x:v>V14MEDIA-005</x:v>
      </x:c>
      <x:c r="B902" s="51" t="str">
        <x:v>Media ownership, voting control and editorial governance</x:v>
      </x:c>
      <x:c r="C902" s="51" t="str">
        <x:v>ACT-MICHAELBLOOMBERG</x:v>
      </x:c>
      <x:c r="D902" s="51" t="str">
        <x:v>Michael Bloomberg</x:v>
      </x:c>
      <x:c r="E902" s="51" t="str">
        <x:v>ACT-BLOOMBERGLP</x:v>
      </x:c>
      <x:c r="F902" s="51" t="str">
        <x:v>Bloomberg L.P.</x:v>
      </x:c>
      <x:c r="G902" s="51" t="str">
        <x:v>Founder/owner → information company</x:v>
      </x:c>
      <x:c r="H902" s="51" t="str">
        <x:v>Ongoing</x:v>
      </x:c>
      <x:c r="I902" s="51" t="str">
        <x:v>Founder and majority ownership</x:v>
      </x:c>
      <x:c r="J902" s="51" t="str">
        <x:v>INS-305</x:v>
      </x:c>
      <x:c r="K902" s="51" t="str">
        <x:v>Private-company control</x:v>
      </x:c>
      <x:c r="L902" s="51" t="str">
        <x:v>Founder capital and ownership rights</x:v>
      </x:c>
      <x:c r="M902" s="51" t="str">
        <x:v>Corporate strategy across data, terminals and media</x:v>
      </x:c>
      <x:c r="N902" s="51" t="str">
        <x:v>Control of a financial-information company combines data infrastructure, media reach and recurring economic surplus</x:v>
      </x:c>
      <x:c r="O902" s="51" t="str">
        <x:v>Ownership; informational; financial</x:v>
      </x:c>
      <x:c r="P902" s="51" t="str">
        <x:v>E1</x:v>
      </x:c>
      <x:c r="Q902" s="51" t="str">
        <x:v>High</x:v>
      </x:c>
      <x:c r="R902" s="51" t="str">
        <x:v>SRC-612; SRC-613</x:v>
      </x:c>
      <x:c r="S902" s="51" t="str">
        <x:v>Michael Bloomberg founded Bloomberg L.P. and official material describes his ownership role.</x:v>
      </x:c>
      <x:c r="T902" s="51" t="str">
        <x:v>Personal direction of every Bloomberg News story or customer trading decision.</x:v>
      </x:c>
      <x:c r="U902" s="51" t="str">
        <x:v>Business, data and editorial functions have separate operating structures.</x:v>
      </x:c>
      <x:c r="V902" s="51" t="str">
        <x:v>Active</x:v>
      </x:c>
      <x:c r="W902" s="51" t="str">
        <x:v>45;57</x:v>
      </x:c>
      <x:c r="X902" s="51" t="str">
        <x:v>2026-07-27</x:v>
      </x:c>
    </x:row>
    <x:row r="903">
      <x:c r="A903" s="51" t="str">
        <x:v>V14MEDIA-006</x:v>
      </x:c>
      <x:c r="B903" s="51" t="str">
        <x:v>Media ownership, voting control and editorial governance</x:v>
      </x:c>
      <x:c r="C903" s="51" t="str">
        <x:v>ACT-BLOOMBERGLP</x:v>
      </x:c>
      <x:c r="D903" s="51" t="str">
        <x:v>Bloomberg L.P.</x:v>
      </x:c>
      <x:c r="E903" s="51" t="str">
        <x:v>ACT-FINANCIALINSTITUTIONS</x:v>
      </x:c>
      <x:c r="F903" s="51" t="str">
        <x:v>Financial institutions</x:v>
      </x:c>
      <x:c r="G903" s="51" t="str">
        <x:v>Information company → market institutions</x:v>
      </x:c>
      <x:c r="H903" s="51" t="str">
        <x:v>Ongoing</x:v>
      </x:c>
      <x:c r="I903" s="51" t="str">
        <x:v>Data, analytics, communications and media services</x:v>
      </x:c>
      <x:c r="J903" s="51" t="str">
        <x:v>INS-305</x:v>
      </x:c>
      <x:c r="K903" s="51" t="str">
        <x:v>Global customer base</x:v>
      </x:c>
      <x:c r="L903" s="51" t="str">
        <x:v>Market data, news and software</x:v>
      </x:c>
      <x:c r="M903" s="51" t="str">
        <x:v>Decision-support information and workflow</x:v>
      </x:c>
      <x:c r="N903" s="51" t="str">
        <x:v>A commercial information platform becomes an epistemic infrastructure for finance</x:v>
      </x:c>
      <x:c r="O903" s="51" t="str">
        <x:v>Informational; financial; technological</x:v>
      </x:c>
      <x:c r="P903" s="51" t="str">
        <x:v>E1</x:v>
      </x:c>
      <x:c r="Q903" s="51" t="str">
        <x:v>High</x:v>
      </x:c>
      <x:c r="R903" s="51" t="str">
        <x:v>SRC-612</x:v>
      </x:c>
      <x:c r="S903" s="51" t="str">
        <x:v>Bloomberg provides financial data, analytics, software and news services.</x:v>
      </x:c>
      <x:c r="T903" s="51" t="str">
        <x:v>Control of client trades or guarantee of data completeness.</x:v>
      </x:c>
      <x:c r="U903" s="51" t="str">
        <x:v>Users integrate multiple information sources and retain decision authority.</x:v>
      </x:c>
      <x:c r="V903" s="51" t="str">
        <x:v>Active</x:v>
      </x:c>
      <x:c r="W903" s="51" t="str">
        <x:v>45;57</x:v>
      </x:c>
      <x:c r="X903" s="51" t="str">
        <x:v>2026-07-27</x:v>
      </x:c>
    </x:row>
    <x:row r="904">
      <x:c r="A904" s="51" t="str">
        <x:v>V14PAC-001</x:v>
      </x:c>
      <x:c r="B904" s="51" t="str">
        <x:v>Campaign finance and independent-expenditure networks</x:v>
      </x:c>
      <x:c r="C904" s="51" t="str">
        <x:v>ACT-FEDERALELECTIONCOMMISSIO</x:v>
      </x:c>
      <x:c r="D904" s="51" t="str">
        <x:v>Federal Election Commission</x:v>
      </x:c>
      <x:c r="E904" s="51" t="str">
        <x:v>ACT-FEDERALINDEPENDENTEXPEND</x:v>
      </x:c>
      <x:c r="F904" s="51" t="str">
        <x:v>Federal independent-expenditure committees</x:v>
      </x:c>
      <x:c r="G904" s="51" t="str">
        <x:v>Regulator → committees</x:v>
      </x:c>
      <x:c r="H904" s="51" t="str">
        <x:v>Ongoing</x:v>
      </x:c>
      <x:c r="I904" s="51" t="str">
        <x:v>Registration, disclosure and enforcement framework</x:v>
      </x:c>
      <x:c r="J904" s="51" t="str">
        <x:v>INS-298; INS-299; INS-300; INS-301</x:v>
      </x:c>
      <x:c r="K904" s="51" t="str">
        <x:v>Federal committee population</x:v>
      </x:c>
      <x:c r="L904" s="51" t="str">
        <x:v>Receipts, expenditures and independent-expenditure reports</x:v>
      </x:c>
      <x:c r="M904" s="51" t="str">
        <x:v>Public campaign-finance records</x:v>
      </x:c>
      <x:c r="N904" s="51" t="str">
        <x:v>Mandatory reporting converts private political money into an auditable but incomplete influence trail</x:v>
      </x:c>
      <x:c r="O904" s="51" t="str">
        <x:v>Institutional; informational; political</x:v>
      </x:c>
      <x:c r="P904" s="51" t="str">
        <x:v>E1</x:v>
      </x:c>
      <x:c r="Q904" s="51" t="str">
        <x:v>Very high</x:v>
      </x:c>
      <x:c r="R904" s="51" t="str">
        <x:v>SRC-596; SRC-597; SRC-598; SRC-599; SRC-600; SRC-601; SRC-602; SRC-603</x:v>
      </x:c>
      <x:c r="S904" s="51" t="str">
        <x:v>FEC records disclose committee receipts, spending and filings.</x:v>
      </x:c>
      <x:c r="T904" s="51" t="str">
        <x:v>Coordination, donor motive or electoral causation from the totals alone.</x:v>
      </x:c>
      <x:c r="U904" s="51" t="str">
        <x:v>Independent expenditure rules prohibit coordination but compliance must be evaluated separately.</x:v>
      </x:c>
      <x:c r="V904" s="51" t="str">
        <x:v>Active</x:v>
      </x:c>
      <x:c r="W904" s="51" t="str">
        <x:v>45;57</x:v>
      </x:c>
      <x:c r="X904" s="51" t="str">
        <x:v>2026-07-27</x:v>
      </x:c>
    </x:row>
    <x:row r="905">
      <x:c r="A905" s="51" t="str">
        <x:v>V14PAC-002</x:v>
      </x:c>
      <x:c r="B905" s="51" t="str">
        <x:v>Campaign finance and independent-expenditure networks</x:v>
      </x:c>
      <x:c r="C905" s="51" t="str">
        <x:v>ACT-ELONMUSK</x:v>
      </x:c>
      <x:c r="D905" s="51" t="str">
        <x:v>Elon Musk</x:v>
      </x:c>
      <x:c r="E905" s="51" t="str">
        <x:v>ACT-AMERICAPAC</x:v>
      </x:c>
      <x:c r="F905" s="51" t="str">
        <x:v>America PAC</x:v>
      </x:c>
      <x:c r="G905" s="51" t="str">
        <x:v>Donor → super PAC</x:v>
      </x:c>
      <x:c r="H905" s="51" t="str">
        <x:v>2024</x:v>
      </x:c>
      <x:c r="I905" s="51" t="str">
        <x:v>Reported political contributions</x:v>
      </x:c>
      <x:c r="J905" s="51" t="str">
        <x:v>INS-299</x:v>
      </x:c>
      <x:c r="K905" s="51" t="str">
        <x:v>Multiple eight-figure disclosed contributions</x:v>
      </x:c>
      <x:c r="L905" s="51" t="str">
        <x:v>Personal wealth</x:v>
      </x:c>
      <x:c r="M905" s="51" t="str">
        <x:v>Independent political spending capacity</x:v>
      </x:c>
      <x:c r="N905" s="51" t="str">
        <x:v>Concentrated personal wealth can be converted into large-scale electoral communications through an independent committee</x:v>
      </x:c>
      <x:c r="O905" s="51" t="str">
        <x:v>Financial; political; relational</x:v>
      </x:c>
      <x:c r="P905" s="51" t="str">
        <x:v>E1</x:v>
      </x:c>
      <x:c r="Q905" s="51" t="str">
        <x:v>Very high</x:v>
      </x:c>
      <x:c r="R905" s="51" t="str">
        <x:v>SRC-597; SRC-602</x:v>
      </x:c>
      <x:c r="S905" s="51" t="str">
        <x:v>FEC filings document substantial contributions from Elon Musk to America PAC.</x:v>
      </x:c>
      <x:c r="T905" s="51" t="str">
        <x:v>Legal coordination with a candidate committee or purchase of presidential authority.</x:v>
      </x:c>
      <x:c r="U905" s="51" t="str">
        <x:v>Donation and expenditure records do not establish quid pro quo.</x:v>
      </x:c>
      <x:c r="V905" s="51" t="str">
        <x:v>Historical/continuing committee</x:v>
      </x:c>
      <x:c r="W905" s="51" t="str">
        <x:v>45;57</x:v>
      </x:c>
      <x:c r="X905" s="51" t="str">
        <x:v>2026-07-27</x:v>
      </x:c>
    </x:row>
    <x:row r="906">
      <x:c r="A906" s="51" t="str">
        <x:v>V14PAC-003</x:v>
      </x:c>
      <x:c r="B906" s="51" t="str">
        <x:v>Campaign finance and independent-expenditure networks</x:v>
      </x:c>
      <x:c r="C906" s="51" t="str">
        <x:v>ACT-AMERICAPAC</x:v>
      </x:c>
      <x:c r="D906" s="51" t="str">
        <x:v>America PAC</x:v>
      </x:c>
      <x:c r="E906" s="51" t="str">
        <x:v>ACT-DONALDTRUMP</x:v>
      </x:c>
      <x:c r="F906" s="51" t="str">
        <x:v>Donald Trump</x:v>
      </x:c>
      <x:c r="G906" s="51" t="str">
        <x:v>Independent committee → supported candidate</x:v>
      </x:c>
      <x:c r="H906" s="51" t="str">
        <x:v>2024 election</x:v>
      </x:c>
      <x:c r="I906" s="51" t="str">
        <x:v>Independent expenditures supporting election</x:v>
      </x:c>
      <x:c r="J906" s="51" t="str">
        <x:v>INS-299</x:v>
      </x:c>
      <x:c r="K906" s="51" t="str">
        <x:v>FEC-reported communications and field spending</x:v>
      </x:c>
      <x:c r="L906" s="51" t="str">
        <x:v>Donor funds and campaign strategy developed independently</x:v>
      </x:c>
      <x:c r="M906" s="51" t="str">
        <x:v>Pro-Trump electoral communications and mobilisation</x:v>
      </x:c>
      <x:c r="N906" s="51" t="str">
        <x:v>A super PAC converts concentrated donor capital into messaging and field capacity outside the candidate committee</x:v>
      </x:c>
      <x:c r="O906" s="51" t="str">
        <x:v>Financial; political; informational</x:v>
      </x:c>
      <x:c r="P906" s="51" t="str">
        <x:v>E1</x:v>
      </x:c>
      <x:c r="Q906" s="51" t="str">
        <x:v>Very high</x:v>
      </x:c>
      <x:c r="R906" s="51" t="str">
        <x:v>SRC-597; SRC-601</x:v>
      </x:c>
      <x:c r="S906" s="51" t="str">
        <x:v>FEC filings record independent expenditures supporting Donald Trump.</x:v>
      </x:c>
      <x:c r="T906" s="51" t="str">
        <x:v>Legal coordination with Trump's campaign or proof that the spending determined the election.</x:v>
      </x:c>
      <x:c r="U906" s="51" t="str">
        <x:v>Independent expenditure status is a legal classification subject to compliance rules.</x:v>
      </x:c>
      <x:c r="V906" s="51" t="str">
        <x:v>Historical</x:v>
      </x:c>
      <x:c r="W906" s="51" t="str">
        <x:v>45;57</x:v>
      </x:c>
      <x:c r="X906" s="51" t="str">
        <x:v>2026-07-27</x:v>
      </x:c>
    </x:row>
    <x:row r="907">
      <x:c r="A907" s="51" t="str">
        <x:v>V14PAC-004</x:v>
      </x:c>
      <x:c r="B907" s="51" t="str">
        <x:v>Campaign finance and independent-expenditure networks</x:v>
      </x:c>
      <x:c r="C907" s="51" t="str">
        <x:v>ACT-MAGAINC</x:v>
      </x:c>
      <x:c r="D907" s="51" t="str">
        <x:v>MAGA INC.</x:v>
      </x:c>
      <x:c r="E907" s="51" t="str">
        <x:v>ACT-FEDERALCANDIDATES</x:v>
      </x:c>
      <x:c r="F907" s="51" t="str">
        <x:v>Federal candidates</x:v>
      </x:c>
      <x:c r="G907" s="51" t="str">
        <x:v>Super PAC → candidates/elections</x:v>
      </x:c>
      <x:c r="H907" s="51" t="str">
        <x:v>2025–2026 cycle</x:v>
      </x:c>
      <x:c r="I907" s="51" t="str">
        <x:v>Independent electoral spending</x:v>
      </x:c>
      <x:c r="J907" s="51" t="str">
        <x:v>INS-298</x:v>
      </x:c>
      <x:c r="K907" s="51" t="str">
        <x:v>$289.1 million 2025 receipts reported</x:v>
      </x:c>
      <x:c r="L907" s="51" t="str">
        <x:v>Unlimited donor receipts</x:v>
      </x:c>
      <x:c r="M907" s="51" t="str">
        <x:v>Advertising, research and political operations</x:v>
      </x:c>
      <x:c r="N907" s="51" t="str">
        <x:v>Large post-election fundraising creates a reserve of political capacity usable across future federal contests</x:v>
      </x:c>
      <x:c r="O907" s="51" t="str">
        <x:v>Financial; political; relational</x:v>
      </x:c>
      <x:c r="P907" s="51" t="str">
        <x:v>E1</x:v>
      </x:c>
      <x:c r="Q907" s="51" t="str">
        <x:v>Very high</x:v>
      </x:c>
      <x:c r="R907" s="51" t="str">
        <x:v>SRC-596; SRC-600</x:v>
      </x:c>
      <x:c r="S907" s="51" t="str">
        <x:v>FEC data identify MAGA INC. as an independent-expenditure-only committee with very large 2025 receipts.</x:v>
      </x:c>
      <x:c r="T907" s="51" t="str">
        <x:v>Ownership of candidates, coordination or conversion of every dollar into electoral effect.</x:v>
      </x:c>
      <x:c r="U907" s="51" t="str">
        <x:v>Cash can be retained, transferred or spent later under campaign-finance rules.</x:v>
      </x:c>
      <x:c r="V907" s="51" t="str">
        <x:v>Active</x:v>
      </x:c>
      <x:c r="W907" s="51" t="str">
        <x:v>45;57</x:v>
      </x:c>
      <x:c r="X907" s="51" t="str">
        <x:v>2026-07-27</x:v>
      </x:c>
    </x:row>
    <x:row r="908">
      <x:c r="A908" s="51" t="str">
        <x:v>V14PAC-005</x:v>
      </x:c>
      <x:c r="B908" s="51" t="str">
        <x:v>Campaign finance and independent-expenditure networks</x:v>
      </x:c>
      <x:c r="C908" s="51" t="str">
        <x:v>ACT-FAIRSHAKE</x:v>
      </x:c>
      <x:c r="D908" s="51" t="str">
        <x:v>Fairshake</x:v>
      </x:c>
      <x:c r="E908" s="51" t="str">
        <x:v>ACT-FEDERALCANDIDATES</x:v>
      </x:c>
      <x:c r="F908" s="51" t="str">
        <x:v>Federal candidates</x:v>
      </x:c>
      <x:c r="G908" s="51" t="str">
        <x:v>Industry-aligned super PAC → elections</x:v>
      </x:c>
      <x:c r="H908" s="51" t="str">
        <x:v>2024–2026</x:v>
      </x:c>
      <x:c r="I908" s="51" t="str">
        <x:v>Independent expenditures</x:v>
      </x:c>
      <x:c r="J908" s="51" t="str">
        <x:v>INS-300</x:v>
      </x:c>
      <x:c r="K908" s="51" t="str">
        <x:v>FEC-reported committee activity</x:v>
      </x:c>
      <x:c r="L908" s="51" t="str">
        <x:v>Donor capital associated with cryptocurrency policy priorities</x:v>
      </x:c>
      <x:c r="M908" s="51" t="str">
        <x:v>Candidate support or opposition communications</x:v>
      </x:c>
      <x:c r="N908" s="51" t="str">
        <x:v>Sectoral donors pool capital to reward or punish policy positioning through electoral markets</x:v>
      </x:c>
      <x:c r="O908" s="51" t="str">
        <x:v>Financial; political; technological</x:v>
      </x:c>
      <x:c r="P908" s="51" t="str">
        <x:v>E1</x:v>
      </x:c>
      <x:c r="Q908" s="51" t="str">
        <x:v>High</x:v>
      </x:c>
      <x:c r="R908" s="51" t="str">
        <x:v>SRC-598</x:v>
      </x:c>
      <x:c r="S908" s="51" t="str">
        <x:v>Fairshake is an FEC-registered independent-expenditure-only committee.</x:v>
      </x:c>
      <x:c r="T908" s="51" t="str">
        <x:v>A unified position among all crypto firms or direct control of candidate votes.</x:v>
      </x:c>
      <x:c r="U908" s="51" t="str">
        <x:v>Candidate behaviour and policy outcomes require separate longitudinal testing.</x:v>
      </x:c>
      <x:c r="V908" s="51" t="str">
        <x:v>Active</x:v>
      </x:c>
      <x:c r="W908" s="51" t="str">
        <x:v>45;57</x:v>
      </x:c>
      <x:c r="X908" s="51" t="str">
        <x:v>2026-07-27</x:v>
      </x:c>
    </x:row>
    <x:row r="909">
      <x:c r="A909" s="51" t="str">
        <x:v>V14PAC-006</x:v>
      </x:c>
      <x:c r="B909" s="51" t="str">
        <x:v>Campaign finance and independent-expenditure networks</x:v>
      </x:c>
      <x:c r="C909" s="51" t="str">
        <x:v>ACT-UNITEDDEMOCRACYPROJECT</x:v>
      </x:c>
      <x:c r="D909" s="51" t="str">
        <x:v>United Democracy Project</x:v>
      </x:c>
      <x:c r="E909" s="51" t="str">
        <x:v>ACT-FEDERALCANDIDATES</x:v>
      </x:c>
      <x:c r="F909" s="51" t="str">
        <x:v>Federal candidates</x:v>
      </x:c>
      <x:c r="G909" s="51" t="str">
        <x:v>Super PAC → elections</x:v>
      </x:c>
      <x:c r="H909" s="51" t="str">
        <x:v>2022–2026</x:v>
      </x:c>
      <x:c r="I909" s="51" t="str">
        <x:v>Independent expenditures</x:v>
      </x:c>
      <x:c r="J909" s="51" t="str">
        <x:v>INS-301</x:v>
      </x:c>
      <x:c r="K909" s="51" t="str">
        <x:v>FEC-reported activity</x:v>
      </x:c>
      <x:c r="L909" s="51" t="str">
        <x:v>Donor receipts</x:v>
      </x:c>
      <x:c r="M909" s="51" t="str">
        <x:v>Candidate support and opposition communications</x:v>
      </x:c>
      <x:c r="N909" s="51" t="str">
        <x:v>Organised political networks convert donor capital into targeted electoral intervention</x:v>
      </x:c>
      <x:c r="O909" s="51" t="str">
        <x:v>Financial; political; relational</x:v>
      </x:c>
      <x:c r="P909" s="51" t="str">
        <x:v>E1</x:v>
      </x:c>
      <x:c r="Q909" s="51" t="str">
        <x:v>High</x:v>
      </x:c>
      <x:c r="R909" s="51" t="str">
        <x:v>SRC-599</x:v>
      </x:c>
      <x:c r="S909" s="51" t="str">
        <x:v>United Democracy Project is registered and files federal campaign-finance reports.</x:v>
      </x:c>
      <x:c r="T909" s="51" t="str">
        <x:v>Control by every affiliated donor, coordination with candidates or proof of policy capture.</x:v>
      </x:c>
      <x:c r="U909" s="51" t="str">
        <x:v>Organisation, donors and supported candidates remain legally distinct.</x:v>
      </x:c>
      <x:c r="V909" s="51" t="str">
        <x:v>Active</x:v>
      </x:c>
      <x:c r="W909" s="51" t="str">
        <x:v>45;57</x:v>
      </x:c>
      <x:c r="X909" s="51" t="str">
        <x:v>2026-07-27</x:v>
      </x:c>
    </x:row>
    <x:row r="910">
      <x:c r="A910" s="51" t="str">
        <x:v>V14PHIL-001</x:v>
      </x:c>
      <x:c r="B910" s="51" t="str">
        <x:v>Philanthropic capital, grants and institutional agenda-setting</x:v>
      </x:c>
      <x:c r="C910" s="51" t="str">
        <x:v>ACT-BILLGATES</x:v>
      </x:c>
      <x:c r="D910" s="51" t="str">
        <x:v>Bill Gates</x:v>
      </x:c>
      <x:c r="E910" s="51" t="str">
        <x:v>ACT-GATESFOUNDATIONGOVERNING</x:v>
      </x:c>
      <x:c r="F910" s="51" t="str">
        <x:v>Gates Foundation Governing Board</x:v>
      </x:c>
      <x:c r="G910" s="51" t="str">
        <x:v>Chair → governing board</x:v>
      </x:c>
      <x:c r="H910" s="51" t="str">
        <x:v>Current 2026</x:v>
      </x:c>
      <x:c r="I910" s="51" t="str">
        <x:v>Chair and strategic role</x:v>
      </x:c>
      <x:c r="J910" s="51" t="str">
        <x:v>INS-302; INS-304</x:v>
      </x:c>
      <x:c r="K910" s="51" t="str">
        <x:v>Formal governance role</x:v>
      </x:c>
      <x:c r="L910" s="51" t="str">
        <x:v>Founder capital, experience and formal chair authority</x:v>
      </x:c>
      <x:c r="M910" s="51" t="str">
        <x:v>Strategy approval, advocacy and organisational direction</x:v>
      </x:c>
      <x:c r="N910" s="51" t="str">
        <x:v>A founder-chair converts wealth and reputation into formal agenda influence through documented governance</x:v>
      </x:c>
      <x:c r="O910" s="51" t="str">
        <x:v>Ownership; institutional; relational</x:v>
      </x:c>
      <x:c r="P910" s="51" t="str">
        <x:v>E1</x:v>
      </x:c>
      <x:c r="Q910" s="51" t="str">
        <x:v>Very high</x:v>
      </x:c>
      <x:c r="R910" s="51" t="str">
        <x:v>SRC-604</x:v>
      </x:c>
      <x:c r="S910" s="51" t="str">
        <x:v>Bill Gates chairs the Foundation and participates in shaping and approving strategies.</x:v>
      </x:c>
      <x:c r="T910" s="51" t="str">
        <x:v>Personal unilateral control of every grant or Foundation Trust asset.</x:v>
      </x:c>
      <x:c r="U910" s="51" t="str">
        <x:v>The Governing Board, CEO and programme teams hold separate authority.</x:v>
      </x:c>
      <x:c r="V910" s="51" t="str">
        <x:v>Active</x:v>
      </x:c>
      <x:c r="W910" s="51" t="str">
        <x:v>45;57</x:v>
      </x:c>
      <x:c r="X910" s="51" t="str">
        <x:v>2026-07-27</x:v>
      </x:c>
    </x:row>
    <x:row r="911">
      <x:c r="A911" s="51" t="str">
        <x:v>V14PHIL-002</x:v>
      </x:c>
      <x:c r="B911" s="51" t="str">
        <x:v>Philanthropic capital, grants and institutional agenda-setting</x:v>
      </x:c>
      <x:c r="C911" s="51" t="str">
        <x:v>ACT-GATESFOUNDATIONGOVERNING</x:v>
      </x:c>
      <x:c r="D911" s="51" t="str">
        <x:v>Gates Foundation Governing Board</x:v>
      </x:c>
      <x:c r="E911" s="51" t="str">
        <x:v>ACT-GATESFOUNDATION</x:v>
      </x:c>
      <x:c r="F911" s="51" t="str">
        <x:v>Gates Foundation</x:v>
      </x:c>
      <x:c r="G911" s="51" t="str">
        <x:v>Board → foundation</x:v>
      </x:c>
      <x:c r="H911" s="51" t="str">
        <x:v>Ongoing</x:v>
      </x:c>
      <x:c r="I911" s="51" t="str">
        <x:v>Governance, oversight and strategy approval</x:v>
      </x:c>
      <x:c r="J911" s="51" t="str">
        <x:v>INS-302; INS-304</x:v>
      </x:c>
      <x:c r="K911" s="51" t="str">
        <x:v>$9 billion planned 2026 payout</x:v>
      </x:c>
      <x:c r="L911" s="51" t="str">
        <x:v>Endowment resources, programme evidence and board decisions</x:v>
      </x:c>
      <x:c r="M911" s="51" t="str">
        <x:v>Grant budgets, policies and organisational controls</x:v>
      </x:c>
      <x:c r="N911" s="51" t="str">
        <x:v>Board governance converts philanthropic capital into institution-wide priorities and risk controls</x:v>
      </x:c>
      <x:c r="O911" s="51" t="str">
        <x:v>Financial; institutional; relational</x:v>
      </x:c>
      <x:c r="P911" s="51" t="str">
        <x:v>E1</x:v>
      </x:c>
      <x:c r="Q911" s="51" t="str">
        <x:v>Very high</x:v>
      </x:c>
      <x:c r="R911" s="51" t="str">
        <x:v>SRC-604; SRC-605; SRC-607</x:v>
      </x:c>
      <x:c r="S911" s="51" t="str">
        <x:v>The Board governs strategy and approved post-review reforms.</x:v>
      </x:c>
      <x:c r="T911" s="51" t="str">
        <x:v>Direct execution of every programme or ownership of grantee decisions.</x:v>
      </x:c>
      <x:c r="U911" s="51" t="str">
        <x:v>Management and programme teams implement approved strategy.</x:v>
      </x:c>
      <x:c r="V911" s="51" t="str">
        <x:v>Active</x:v>
      </x:c>
      <x:c r="W911" s="51" t="str">
        <x:v>45;57</x:v>
      </x:c>
      <x:c r="X911" s="51" t="str">
        <x:v>2026-07-27</x:v>
      </x:c>
    </x:row>
    <x:row r="912">
      <x:c r="A912" s="51" t="str">
        <x:v>V14PHIL-003</x:v>
      </x:c>
      <x:c r="B912" s="51" t="str">
        <x:v>Philanthropic capital, grants and institutional agenda-setting</x:v>
      </x:c>
      <x:c r="C912" s="51" t="str">
        <x:v>ACT-GATESFOUNDATION</x:v>
      </x:c>
      <x:c r="D912" s="51" t="str">
        <x:v>Gates Foundation</x:v>
      </x:c>
      <x:c r="E912" s="51" t="str">
        <x:v>ACT-GATESFOUNDATIONGRANTEES</x:v>
      </x:c>
      <x:c r="F912" s="51" t="str">
        <x:v>Gates Foundation grantees</x:v>
      </x:c>
      <x:c r="G912" s="51" t="str">
        <x:v>Foundation → recipients</x:v>
      </x:c>
      <x:c r="H912" s="51" t="str">
        <x:v>Ongoing</x:v>
      </x:c>
      <x:c r="I912" s="51" t="str">
        <x:v>Restricted and unrestricted grants</x:v>
      </x:c>
      <x:c r="J912" s="51" t="str">
        <x:v>INS-302; INS-303</x:v>
      </x:c>
      <x:c r="K912" s="51" t="str">
        <x:v>Grant-specific; $9 billion planned annual payout</x:v>
      </x:c>
      <x:c r="L912" s="51" t="str">
        <x:v>Endowment payout and programme strategy</x:v>
      </x:c>
      <x:c r="M912" s="51" t="str">
        <x:v>Research, delivery, advocacy and institutional capacity</x:v>
      </x:c>
      <x:c r="N912" s="51" t="str">
        <x:v>Large-scale grantmaking can alter which problems, organisations and measurement systems receive resources</x:v>
      </x:c>
      <x:c r="O912" s="51" t="str">
        <x:v>Financial; institutional; informational</x:v>
      </x:c>
      <x:c r="P912" s="51" t="str">
        <x:v>E1</x:v>
      </x:c>
      <x:c r="Q912" s="51" t="str">
        <x:v>Very high</x:v>
      </x:c>
      <x:c r="R912" s="51" t="str">
        <x:v>SRC-605; SRC-606; SRC-609</x:v>
      </x:c>
      <x:c r="S912" s="51" t="str">
        <x:v>The Foundation publishes grant commitments and a large annual payout.</x:v>
      </x:c>
      <x:c r="T912" s="51" t="str">
        <x:v>Purchased research conclusions, operational control of every grantee or guaranteed programme success.</x:v>
      </x:c>
      <x:c r="U912" s="51" t="str">
        <x:v>Grant terms, independence and recipient governance vary.</x:v>
      </x:c>
      <x:c r="V912" s="51" t="str">
        <x:v>Active</x:v>
      </x:c>
      <x:c r="W912" s="51" t="str">
        <x:v>45;57</x:v>
      </x:c>
      <x:c r="X912" s="51" t="str">
        <x:v>2026-07-27</x:v>
      </x:c>
    </x:row>
    <x:row r="913">
      <x:c r="A913" s="51" t="str">
        <x:v>V14PHIL-004</x:v>
      </x:c>
      <x:c r="B913" s="51" t="str">
        <x:v>Philanthropic capital, grants and institutional agenda-setting</x:v>
      </x:c>
      <x:c r="C913" s="51" t="str">
        <x:v>ACT-GATESFOUNDATIONGOVERNING</x:v>
      </x:c>
      <x:c r="D913" s="51" t="str">
        <x:v>Gates Foundation Governing Board</x:v>
      </x:c>
      <x:c r="E913" s="51" t="str">
        <x:v>ACT-WILMERHALE</x:v>
      </x:c>
      <x:c r="F913" s="51" t="str">
        <x:v>WilmerHale</x:v>
      </x:c>
      <x:c r="G913" s="51" t="str">
        <x:v>Board/foundation → independent reviewer</x:v>
      </x:c>
      <x:c r="H913" s="51" t="str">
        <x:v>2026</x:v>
      </x:c>
      <x:c r="I913" s="51" t="str">
        <x:v>External review mandate</x:v>
      </x:c>
      <x:c r="J913" s="51" t="str">
        <x:v>INS-304</x:v>
      </x:c>
      <x:c r="K913" s="51" t="str">
        <x:v>More than 50 interviews</x:v>
      </x:c>
      <x:c r="L913" s="51" t="str">
        <x:v>Reputational crisis and historical records</x:v>
      </x:c>
      <x:c r="M913" s="51" t="str">
        <x:v>Findings and governance recommendations</x:v>
      </x:c>
      <x:c r="N913" s="51" t="str">
        <x:v>External review converts reputational risk into documented fact-finding and institutional reform</x:v>
      </x:c>
      <x:c r="O913" s="51" t="str">
        <x:v>Institutional; informational; accountability</x:v>
      </x:c>
      <x:c r="P913" s="51" t="str">
        <x:v>E1</x:v>
      </x:c>
      <x:c r="Q913" s="51" t="str">
        <x:v>Very high</x:v>
      </x:c>
      <x:c r="R913" s="51" t="str">
        <x:v>SRC-607; SRC-608</x:v>
      </x:c>
      <x:c r="S913" s="51" t="str">
        <x:v>The Foundation retained WilmerHale and the Board approved reforms based on the review.</x:v>
      </x:c>
      <x:c r="T913" s="51" t="str">
        <x:v>Review of Gates's personal communications, Gates Ventures or the Foundation Trust.</x:v>
      </x:c>
      <x:c r="U913" s="51" t="str">
        <x:v>The report expressly defines excluded material and organisational scope.</x:v>
      </x:c>
      <x:c r="V913" s="51" t="str">
        <x:v>Completed</x:v>
      </x:c>
      <x:c r="W913" s="51" t="str">
        <x:v>45;57</x:v>
      </x:c>
      <x:c r="X913" s="51" t="str">
        <x:v>2026-07-27</x:v>
      </x:c>
    </x:row>
    <x:row r="914">
      <x:c r="A914" s="51" t="str">
        <x:v>V14PHIL-005</x:v>
      </x:c>
      <x:c r="B914" s="51" t="str">
        <x:v>Philanthropic capital, grants and institutional agenda-setting</x:v>
      </x:c>
      <x:c r="C914" s="51" t="str">
        <x:v>ACT-MICHAELBLOOMBERG</x:v>
      </x:c>
      <x:c r="D914" s="51" t="str">
        <x:v>Michael Bloomberg</x:v>
      </x:c>
      <x:c r="E914" s="51" t="str">
        <x:v>ACT-BLOOMBERGPHILANTHROPIES</x:v>
      </x:c>
      <x:c r="F914" s="51" t="str">
        <x:v>Bloomberg Philanthropies</x:v>
      </x:c>
      <x:c r="G914" s="51" t="str">
        <x:v>Founder/funder → philanthropy</x:v>
      </x:c>
      <x:c r="H914" s="51" t="str">
        <x:v>Ongoing</x:v>
      </x:c>
      <x:c r="I914" s="51" t="str">
        <x:v>Founder funding and leadership</x:v>
      </x:c>
      <x:c r="J914" s="51" t="str">
        <x:v>INS-305</x:v>
      </x:c>
      <x:c r="K914" s="51" t="str">
        <x:v>$4.3 billion invested in 2025 stated by organisation</x:v>
      </x:c>
      <x:c r="L914" s="51" t="str">
        <x:v>Personal and corporate-derived wealth</x:v>
      </x:c>
      <x:c r="M914" s="51" t="str">
        <x:v>Global philanthropic programmes</x:v>
      </x:c>
      <x:c r="N914" s="51" t="str">
        <x:v>A founder converts business wealth into cross-border policy and programme capacity through a philanthropic institution</x:v>
      </x:c>
      <x:c r="O914" s="51" t="str">
        <x:v>Financial; relational; institutional</x:v>
      </x:c>
      <x:c r="P914" s="51" t="str">
        <x:v>E1</x:v>
      </x:c>
      <x:c r="Q914" s="51" t="str">
        <x:v>Very high</x:v>
      </x:c>
      <x:c r="R914" s="51" t="str">
        <x:v>SRC-610; SRC-611; SRC-613</x:v>
      </x:c>
      <x:c r="S914" s="51" t="str">
        <x:v>Michael Bloomberg founded and funds Bloomberg Philanthropies.</x:v>
      </x:c>
      <x:c r="T914" s="51" t="str">
        <x:v>Ownership of recipient governments or guaranteed adoption of funded policy.</x:v>
      </x:c>
      <x:c r="U914" s="51" t="str">
        <x:v>Programmes operate through partnerships and public authorities.</x:v>
      </x:c>
      <x:c r="V914" s="51" t="str">
        <x:v>Active</x:v>
      </x:c>
      <x:c r="W914" s="51" t="str">
        <x:v>45;57</x:v>
      </x:c>
      <x:c r="X914" s="51" t="str">
        <x:v>2026-07-27</x:v>
      </x:c>
    </x:row>
    <x:row r="915">
      <x:c r="A915" s="51" t="str">
        <x:v>V14PHIL-006</x:v>
      </x:c>
      <x:c r="B915" s="51" t="str">
        <x:v>Philanthropic capital, grants and institutional agenda-setting</x:v>
      </x:c>
      <x:c r="C915" s="51" t="str">
        <x:v>ACT-BLOOMBERGLP</x:v>
      </x:c>
      <x:c r="D915" s="51" t="str">
        <x:v>Bloomberg L.P.</x:v>
      </x:c>
      <x:c r="E915" s="51" t="str">
        <x:v>ACT-BLOOMBERGPHILANTHROPIES</x:v>
      </x:c>
      <x:c r="F915" s="51" t="str">
        <x:v>Bloomberg Philanthropies</x:v>
      </x:c>
      <x:c r="G915" s="51" t="str">
        <x:v>Company-derived wealth → philanthropy</x:v>
      </x:c>
      <x:c r="H915" s="51" t="str">
        <x:v>Ongoing</x:v>
      </x:c>
      <x:c r="I915" s="51" t="str">
        <x:v>Profit commitment and founder wealth channel</x:v>
      </x:c>
      <x:c r="J915" s="51" t="str">
        <x:v>INS-305</x:v>
      </x:c>
      <x:c r="K915" s="51" t="str">
        <x:v>Organisation states Bloomberg L.P. profits support philanthropy</x:v>
      </x:c>
      <x:c r="L915" s="51" t="str">
        <x:v>Private-company economic surplus</x:v>
      </x:c>
      <x:c r="M915" s="51" t="str">
        <x:v>Philanthropic spending capacity</x:v>
      </x:c>
      <x:c r="N915" s="51" t="str">
        <x:v>Ownership of a profitable information company creates a recurring capital base for policy-oriented giving</x:v>
      </x:c>
      <x:c r="O915" s="51" t="str">
        <x:v>Financial; ownership; relational</x:v>
      </x:c>
      <x:c r="P915" s="51" t="str">
        <x:v>E1</x:v>
      </x:c>
      <x:c r="Q915" s="51" t="str">
        <x:v>High</x:v>
      </x:c>
      <x:c r="R915" s="51" t="str">
        <x:v>SRC-610; SRC-612; SRC-613</x:v>
      </x:c>
      <x:c r="S915" s="51" t="str">
        <x:v>Bloomberg Philanthropies states that company profits are committed to philanthropic work.</x:v>
      </x:c>
      <x:c r="T915" s="51" t="str">
        <x:v>Direct transfer of every corporate dollar or editorial control by grantees.</x:v>
      </x:c>
      <x:c r="U915" s="51" t="str">
        <x:v>Private-company finances and transfer mechanisms are less transparent than public-company reporting.</x:v>
      </x:c>
      <x:c r="V915" s="51" t="str">
        <x:v>Active</x:v>
      </x:c>
      <x:c r="W915" s="51" t="str">
        <x:v>45;57</x:v>
      </x:c>
      <x:c r="X915" s="51" t="str">
        <x:v>2026-07-27</x:v>
      </x:c>
    </x:row>
    <x:row r="916">
      <x:c r="A916" s="51" t="str">
        <x:v>V14PHIL-007</x:v>
      </x:c>
      <x:c r="B916" s="51" t="str">
        <x:v>Philanthropic capital, grants and institutional agenda-setting</x:v>
      </x:c>
      <x:c r="C916" s="51" t="str">
        <x:v>ACT-BLOOMBERGPHILANTHROPIES</x:v>
      </x:c>
      <x:c r="D916" s="51" t="str">
        <x:v>Bloomberg Philanthropies</x:v>
      </x:c>
      <x:c r="E916" s="51" t="str">
        <x:v>ACT-BLOOMBERGPHILANTHROPIESG</x:v>
      </x:c>
      <x:c r="F916" s="51" t="str">
        <x:v>Bloomberg Philanthropies grantees and city partners</x:v>
      </x:c>
      <x:c r="G916" s="51" t="str">
        <x:v>Philanthropy → recipients</x:v>
      </x:c>
      <x:c r="H916" s="51" t="str">
        <x:v>Ongoing</x:v>
      </x:c>
      <x:c r="I916" s="51" t="str">
        <x:v>Grants, technical assistance and city networks</x:v>
      </x:c>
      <x:c r="J916" s="51" t="str">
        <x:v>INS-305</x:v>
      </x:c>
      <x:c r="K916" s="51" t="str">
        <x:v>Hundreds of cities and programmes</x:v>
      </x:c>
      <x:c r="L916" s="51" t="str">
        <x:v>Capital, expertise and convening</x:v>
      </x:c>
      <x:c r="M916" s="51" t="str">
        <x:v>Policy pilots and implementation capacity</x:v>
      </x:c>
      <x:c r="N916" s="51" t="str">
        <x:v>Philanthropy can accelerate municipal policy diffusion by financing both ideas and implementation networks</x:v>
      </x:c>
      <x:c r="O916" s="51" t="str">
        <x:v>Financial; institutional; relational</x:v>
      </x:c>
      <x:c r="P916" s="51" t="str">
        <x:v>E1</x:v>
      </x:c>
      <x:c r="Q916" s="51" t="str">
        <x:v>High</x:v>
      </x:c>
      <x:c r="R916" s="51" t="str">
        <x:v>SRC-610; SRC-611</x:v>
      </x:c>
      <x:c r="S916" s="51" t="str">
        <x:v>The organisation reports programmes across hundreds of cities and countries.</x:v>
      </x:c>
      <x:c r="T916" s="51" t="str">
        <x:v>Sovereign authority over cities or permanent control after funding ends.</x:v>
      </x:c>
      <x:c r="U916" s="51" t="str">
        <x:v>Cities retain legal authority and local political accountability.</x:v>
      </x:c>
      <x:c r="V916" s="51" t="str">
        <x:v>Active</x:v>
      </x:c>
      <x:c r="W916" s="51" t="str">
        <x:v>45;57</x:v>
      </x:c>
      <x:c r="X916" s="51" t="str">
        <x:v>2026-07-27</x:v>
      </x:c>
    </x:row>
    <x:row r="917">
      <x:c r="A917" s="51" t="str">
        <x:v>V14PHIL-008</x:v>
      </x:c>
      <x:c r="B917" s="51" t="str">
        <x:v>Philanthropic capital, grants and institutional agenda-setting</x:v>
      </x:c>
      <x:c r="C917" s="51" t="str">
        <x:v>ACT-MARKZUCKERBERG</x:v>
      </x:c>
      <x:c r="D917" s="51" t="str">
        <x:v>Mark Zuckerberg</x:v>
      </x:c>
      <x:c r="E917" s="51" t="str">
        <x:v>ACT-CHANZUCKERBERGINITIATIVE</x:v>
      </x:c>
      <x:c r="F917" s="51" t="str">
        <x:v>Chan Zuckerberg Initiative</x:v>
      </x:c>
      <x:c r="G917" s="51" t="str">
        <x:v>Co-founder/funder → organisation</x:v>
      </x:c>
      <x:c r="H917" s="51" t="str">
        <x:v>2015 onward</x:v>
      </x:c>
      <x:c r="I917" s="51" t="str">
        <x:v>Founder funding and co-governance</x:v>
      </x:c>
      <x:c r="J917" s="51" t="str">
        <x:v>INS-306</x:v>
      </x:c>
      <x:c r="K917" s="51" t="str">
        <x:v>Multi-billion-dollar commitments</x:v>
      </x:c>
      <x:c r="L917" s="51" t="str">
        <x:v>Founder equity-derived wealth</x:v>
      </x:c>
      <x:c r="M917" s="51" t="str">
        <x:v>Grant and venture capacity</x:v>
      </x:c>
      <x:c r="N917" s="51" t="str">
        <x:v>Technology wealth is converted into a hybrid grantmaking and mission-investment institution</x:v>
      </x:c>
      <x:c r="O917" s="51" t="str">
        <x:v>Financial; ownership; relational</x:v>
      </x:c>
      <x:c r="P917" s="51" t="str">
        <x:v>E1</x:v>
      </x:c>
      <x:c r="Q917" s="51" t="str">
        <x:v>Very high</x:v>
      </x:c>
      <x:c r="R917" s="51" t="str">
        <x:v>SRC-614; SRC-615</x:v>
      </x:c>
      <x:c r="S917" s="51" t="str">
        <x:v>Mark Zuckerberg co-founded CZI and it reports substantial grants and ventures.</x:v>
      </x:c>
      <x:c r="T917" s="51" t="str">
        <x:v>Meta corporate control over CZI recipients or identical governance between Meta and CZI.</x:v>
      </x:c>
      <x:c r="U917" s="51" t="str">
        <x:v>The entities are legally and operationally distinct.</x:v>
      </x:c>
      <x:c r="V917" s="51" t="str">
        <x:v>Active</x:v>
      </x:c>
      <x:c r="W917" s="51" t="str">
        <x:v>45;57</x:v>
      </x:c>
      <x:c r="X917" s="51" t="str">
        <x:v>2026-07-27</x:v>
      </x:c>
    </x:row>
    <x:row r="918">
      <x:c r="A918" s="51" t="str">
        <x:v>V14PHIL-009</x:v>
      </x:c>
      <x:c r="B918" s="51" t="str">
        <x:v>Philanthropic capital, grants and institutional agenda-setting</x:v>
      </x:c>
      <x:c r="C918" s="51" t="str">
        <x:v>ACT-PRISCILLACHAN</x:v>
      </x:c>
      <x:c r="D918" s="51" t="str">
        <x:v>Priscilla Chan</x:v>
      </x:c>
      <x:c r="E918" s="51" t="str">
        <x:v>ACT-CHANZUCKERBERGINITIATIVE</x:v>
      </x:c>
      <x:c r="F918" s="51" t="str">
        <x:v>Chan Zuckerberg Initiative</x:v>
      </x:c>
      <x:c r="G918" s="51" t="str">
        <x:v>Co-founder/co-CEO → organisation</x:v>
      </x:c>
      <x:c r="H918" s="51" t="str">
        <x:v>2015 onward</x:v>
      </x:c>
      <x:c r="I918" s="51" t="str">
        <x:v>Formal executive and founder role</x:v>
      </x:c>
      <x:c r="J918" s="51" t="str">
        <x:v>INS-306</x:v>
      </x:c>
      <x:c r="K918" s="51" t="str">
        <x:v>Organisation-wide</x:v>
      </x:c>
      <x:c r="L918" s="51" t="str">
        <x:v>Professional expertise, founder authority and philanthropic capital</x:v>
      </x:c>
      <x:c r="M918" s="51" t="str">
        <x:v>Programme direction and grantmaking</x:v>
      </x:c>
      <x:c r="N918" s="51" t="str">
        <x:v>Dual-founder governance combines capital with formal organisational leadership</x:v>
      </x:c>
      <x:c r="O918" s="51" t="str">
        <x:v>Institutional; relational; financial</x:v>
      </x:c>
      <x:c r="P918" s="51" t="str">
        <x:v>E1</x:v>
      </x:c>
      <x:c r="Q918" s="51" t="str">
        <x:v>Very high</x:v>
      </x:c>
      <x:c r="R918" s="51" t="str">
        <x:v>SRC-614; SRC-615</x:v>
      </x:c>
      <x:c r="S918" s="51" t="str">
        <x:v>Priscilla Chan is a co-founder and leader of CZI.</x:v>
      </x:c>
      <x:c r="T918" s="51" t="str">
        <x:v>Unilateral control of every recipient or outcome.</x:v>
      </x:c>
      <x:c r="U918" s="51" t="str">
        <x:v>CZI uses staff, programme and governance processes.</x:v>
      </x:c>
      <x:c r="V918" s="51" t="str">
        <x:v>Active</x:v>
      </x:c>
      <x:c r="W918" s="51" t="str">
        <x:v>45;57</x:v>
      </x:c>
      <x:c r="X918" s="51" t="str">
        <x:v>2026-07-27</x:v>
      </x:c>
    </x:row>
    <x:row r="919">
      <x:c r="A919" s="51" t="str">
        <x:v>V14PHIL-010</x:v>
      </x:c>
      <x:c r="B919" s="51" t="str">
        <x:v>Philanthropic capital, grants and institutional agenda-setting</x:v>
      </x:c>
      <x:c r="C919" s="51" t="str">
        <x:v>ACT-CHANZUCKERBERGINITIATIVE</x:v>
      </x:c>
      <x:c r="D919" s="51" t="str">
        <x:v>Chan Zuckerberg Initiative</x:v>
      </x:c>
      <x:c r="E919" s="51" t="str">
        <x:v>ACT-CZIGRANTEESANDVENTUREREC</x:v>
      </x:c>
      <x:c r="F919" s="51" t="str">
        <x:v>CZI grantees and venture recipients</x:v>
      </x:c>
      <x:c r="G919" s="51" t="str">
        <x:v>Organisation → recipients</x:v>
      </x:c>
      <x:c r="H919" s="51" t="str">
        <x:v>Ongoing</x:v>
      </x:c>
      <x:c r="I919" s="51" t="str">
        <x:v>Grants and mission-related investments</x:v>
      </x:c>
      <x:c r="J919" s="51" t="str">
        <x:v>INS-306</x:v>
      </x:c>
      <x:c r="K919" s="51" t="str">
        <x:v>$7.22 billion grants and nearly $300 million ventures stated by CZI</x:v>
      </x:c>
      <x:c r="L919" s="51" t="str">
        <x:v>Philanthropic and investment capital</x:v>
      </x:c>
      <x:c r="M919" s="51" t="str">
        <x:v>Scientific, educational and community capacity</x:v>
      </x:c>
      <x:c r="N919" s="51" t="str">
        <x:v>Hybrid grants and investments can shape both nonprofit fields and mission-aligned companies</x:v>
      </x:c>
      <x:c r="O919" s="51" t="str">
        <x:v>Financial; technological; institutional</x:v>
      </x:c>
      <x:c r="P919" s="51" t="str">
        <x:v>E1</x:v>
      </x:c>
      <x:c r="Q919" s="51" t="str">
        <x:v>Very high</x:v>
      </x:c>
      <x:c r="R919" s="51" t="str">
        <x:v>SRC-614; SRC-615</x:v>
      </x:c>
      <x:c r="S919" s="51" t="str">
        <x:v>CZI publishes grants and venture activity at large scale.</x:v>
      </x:c>
      <x:c r="T919" s="51" t="str">
        <x:v>Control of recipient research conclusions or commercial operations.</x:v>
      </x:c>
      <x:c r="U919" s="51" t="str">
        <x:v>Grant and investment rights differ and require transaction-level review.</x:v>
      </x:c>
      <x:c r="V919" s="51" t="str">
        <x:v>Active</x:v>
      </x:c>
      <x:c r="W919" s="51" t="str">
        <x:v>45;57</x:v>
      </x:c>
      <x:c r="X919" s="51" t="str">
        <x:v>2026-07-27</x:v>
      </x:c>
    </x:row>
    <x:row r="920">
      <x:c r="A920" s="51" t="str">
        <x:v>V14PHIL-011</x:v>
      </x:c>
      <x:c r="B920" s="51" t="str">
        <x:v>Philanthropic capital, grants and institutional agenda-setting</x:v>
      </x:c>
      <x:c r="C920" s="51" t="str">
        <x:v>ACT-DUSTINMOSKOVITZ</x:v>
      </x:c>
      <x:c r="D920" s="51" t="str">
        <x:v>Dustin Moskovitz</x:v>
      </x:c>
      <x:c r="E920" s="51" t="str">
        <x:v>ACT-OPENPHILANTHROPY</x:v>
      </x:c>
      <x:c r="F920" s="51" t="str">
        <x:v>Open Philanthropy</x:v>
      </x:c>
      <x:c r="G920" s="51" t="str">
        <x:v>Principal funder → grantmaker</x:v>
      </x:c>
      <x:c r="H920" s="51" t="str">
        <x:v>Ongoing</x:v>
      </x:c>
      <x:c r="I920" s="51" t="str">
        <x:v>Philanthropic funding</x:v>
      </x:c>
      <x:c r="J920" s="51" t="str">
        <x:v>INS-307</x:v>
      </x:c>
      <x:c r="K920" s="51" t="str">
        <x:v>Grant-specific</x:v>
      </x:c>
      <x:c r="L920" s="51" t="str">
        <x:v>Technology-derived personal wealth</x:v>
      </x:c>
      <x:c r="M920" s="51" t="str">
        <x:v>Research and grantmaking capacity</x:v>
      </x:c>
      <x:c r="N920" s="51" t="str">
        <x:v>Concentrated wealth becomes agenda capital through cause prioritisation and long-horizon grants</x:v>
      </x:c>
      <x:c r="O920" s="51" t="str">
        <x:v>Financial; informational; relational</x:v>
      </x:c>
      <x:c r="P920" s="51" t="str">
        <x:v>E1</x:v>
      </x:c>
      <x:c r="Q920" s="51" t="str">
        <x:v>High</x:v>
      </x:c>
      <x:c r="R920" s="51" t="str">
        <x:v>SRC-616</x:v>
      </x:c>
      <x:c r="S920" s="51" t="str">
        <x:v>Open Philanthropy identifies Dustin Moskovitz and Cari Tuna as principal funders.</x:v>
      </x:c>
      <x:c r="T920" s="51" t="str">
        <x:v>Purchased agreement by grantees or a single political programme.</x:v>
      </x:c>
      <x:c r="U920" s="51" t="str">
        <x:v>Open Philanthropy funds diverse cause areas and publishes reasoning.</x:v>
      </x:c>
      <x:c r="V920" s="51" t="str">
        <x:v>Active</x:v>
      </x:c>
      <x:c r="W920" s="51" t="str">
        <x:v>45;57</x:v>
      </x:c>
      <x:c r="X920" s="51" t="str">
        <x:v>2026-07-27</x:v>
      </x:c>
    </x:row>
    <x:row r="921">
      <x:c r="A921" s="51" t="str">
        <x:v>V14PHIL-012</x:v>
      </x:c>
      <x:c r="B921" s="51" t="str">
        <x:v>Philanthropic capital, grants and institutional agenda-setting</x:v>
      </x:c>
      <x:c r="C921" s="51" t="str">
        <x:v>ACT-CARITUNA</x:v>
      </x:c>
      <x:c r="D921" s="51" t="str">
        <x:v>Cari Tuna</x:v>
      </x:c>
      <x:c r="E921" s="51" t="str">
        <x:v>ACT-OPENPHILANTHROPY</x:v>
      </x:c>
      <x:c r="F921" s="51" t="str">
        <x:v>Open Philanthropy</x:v>
      </x:c>
      <x:c r="G921" s="51" t="str">
        <x:v>Co-founder/principal funder → grantmaker</x:v>
      </x:c>
      <x:c r="H921" s="51" t="str">
        <x:v>Ongoing</x:v>
      </x:c>
      <x:c r="I921" s="51" t="str">
        <x:v>Governance and funding</x:v>
      </x:c>
      <x:c r="J921" s="51" t="str">
        <x:v>INS-307</x:v>
      </x:c>
      <x:c r="K921" s="51" t="str">
        <x:v>Organisation-wide</x:v>
      </x:c>
      <x:c r="L921" s="51" t="str">
        <x:v>Philanthropic capital and cause-prioritisation framework</x:v>
      </x:c>
      <x:c r="M921" s="51" t="str">
        <x:v>Grant allocation and research agenda</x:v>
      </x:c>
      <x:c r="N921" s="51" t="str">
        <x:v>Founder governance connects moral priorities to resource allocation across global cause areas</x:v>
      </x:c>
      <x:c r="O921" s="51" t="str">
        <x:v>Financial; informational; institutional</x:v>
      </x:c>
      <x:c r="P921" s="51" t="str">
        <x:v>E1</x:v>
      </x:c>
      <x:c r="Q921" s="51" t="str">
        <x:v>High</x:v>
      </x:c>
      <x:c r="R921" s="51" t="str">
        <x:v>SRC-616</x:v>
      </x:c>
      <x:c r="S921" s="51" t="str">
        <x:v>Open Philanthropy identifies Cari Tuna as a co-founder and principal funder.</x:v>
      </x:c>
      <x:c r="T921" s="51" t="str">
        <x:v>Control over grantee conclusions or public policy authority.</x:v>
      </x:c>
      <x:c r="U921" s="51" t="str">
        <x:v>Grants influence capacity but recipients retain formal autonomy.</x:v>
      </x:c>
      <x:c r="V921" s="51" t="str">
        <x:v>Active</x:v>
      </x:c>
      <x:c r="W921" s="51" t="str">
        <x:v>45;57</x:v>
      </x:c>
      <x:c r="X921" s="51" t="str">
        <x:v>2026-07-27</x:v>
      </x:c>
    </x:row>
    <x:row r="922">
      <x:c r="A922" s="51" t="str">
        <x:v>V14PHIL-013</x:v>
      </x:c>
      <x:c r="B922" s="51" t="str">
        <x:v>Philanthropic capital, grants and institutional agenda-setting</x:v>
      </x:c>
      <x:c r="C922" s="51" t="str">
        <x:v>ACT-PETERTHIEL</x:v>
      </x:c>
      <x:c r="D922" s="51" t="str">
        <x:v>Peter Thiel</x:v>
      </x:c>
      <x:c r="E922" s="51" t="str">
        <x:v>ACT-THIELFOUNDATION</x:v>
      </x:c>
      <x:c r="F922" s="51" t="str">
        <x:v>Thiel Foundation</x:v>
      </x:c>
      <x:c r="G922" s="51" t="str">
        <x:v>Founder/funder → foundation</x:v>
      </x:c>
      <x:c r="H922" s="51" t="str">
        <x:v>Ongoing</x:v>
      </x:c>
      <x:c r="I922" s="51" t="str">
        <x:v>Foundation creation and programme sponsorship</x:v>
      </x:c>
      <x:c r="J922" s="51" t="str">
        <x:v>INS-308</x:v>
      </x:c>
      <x:c r="K922" s="51" t="str">
        <x:v>Programme-specific</x:v>
      </x:c>
      <x:c r="L922" s="51" t="str">
        <x:v>Personal wealth and intellectual priorities</x:v>
      </x:c>
      <x:c r="M922" s="51" t="str">
        <x:v>Fellowships and institutional networks</x:v>
      </x:c>
      <x:c r="N922" s="51" t="str">
        <x:v>Private wealth can fund alternative credential and founder pipelines outside universities and conventional grants</x:v>
      </x:c>
      <x:c r="O922" s="51" t="str">
        <x:v>Financial; relational; ideological</x:v>
      </x:c>
      <x:c r="P922" s="51" t="str">
        <x:v>E1</x:v>
      </x:c>
      <x:c r="Q922" s="51" t="str">
        <x:v>Very high</x:v>
      </x:c>
      <x:c r="R922" s="51" t="str">
        <x:v>SRC-617</x:v>
      </x:c>
      <x:c r="S922" s="51" t="str">
        <x:v>Peter Thiel founded the Thiel Foundation and its programmes.</x:v>
      </x:c>
      <x:c r="T922" s="51" t="str">
        <x:v>Control of fellows' later political or commercial activity.</x:v>
      </x:c>
      <x:c r="U922" s="51" t="str">
        <x:v>Network effects and later affiliations require separate evidence.</x:v>
      </x:c>
      <x:c r="V922" s="51" t="str">
        <x:v>Active</x:v>
      </x:c>
      <x:c r="W922" s="51" t="str">
        <x:v>45;57</x:v>
      </x:c>
      <x:c r="X922" s="51" t="str">
        <x:v>2026-07-27</x:v>
      </x:c>
    </x:row>
    <x:row r="923">
      <x:c r="A923" s="51" t="str">
        <x:v>V14THINK-001</x:v>
      </x:c>
      <x:c r="B923" s="51" t="str">
        <x:v>Think-tank funding, expertise and policy production</x:v>
      </x:c>
      <x:c r="C923" s="51" t="str">
        <x:v>ACT-THINKTANKDONORS</x:v>
      </x:c>
      <x:c r="D923" s="51" t="str">
        <x:v>Think-tank donors</x:v>
      </x:c>
      <x:c r="E923" s="51" t="str">
        <x:v>ACT-BROOKINGSINSTITUTION</x:v>
      </x:c>
      <x:c r="F923" s="51" t="str">
        <x:v>Brookings Institution</x:v>
      </x:c>
      <x:c r="G923" s="51" t="str">
        <x:v>Donors → research institution</x:v>
      </x:c>
      <x:c r="H923" s="51" t="str">
        <x:v>Annual grant cycles</x:v>
      </x:c>
      <x:c r="I923" s="51" t="str">
        <x:v>Donations and restricted/unrestricted grants</x:v>
      </x:c>
      <x:c r="J923" s="51" t="str">
        <x:v>INS-309</x:v>
      </x:c>
      <x:c r="K923" s="51" t="str">
        <x:v>Donor-specific</x:v>
      </x:c>
      <x:c r="L923" s="51" t="str">
        <x:v>Philanthropic, corporate, individual and government funding</x:v>
      </x:c>
      <x:c r="M923" s="51" t="str">
        <x:v>Research capacity and convening</x:v>
      </x:c>
      <x:c r="N923" s="51" t="str">
        <x:v>Donor capital expands the supply of policy expertise while independence depends on governance and disclosure</x:v>
      </x:c>
      <x:c r="O923" s="51" t="str">
        <x:v>Financial; informational; relational</x:v>
      </x:c>
      <x:c r="P923" s="51" t="str">
        <x:v>E1</x:v>
      </x:c>
      <x:c r="Q923" s="51" t="str">
        <x:v>Very high</x:v>
      </x:c>
      <x:c r="R923" s="51" t="str">
        <x:v>SRC-618; SRC-619</x:v>
      </x:c>
      <x:c r="S923" s="51" t="str">
        <x:v>Brookings discloses support from diverse individuals, foundations, corporations and governments.</x:v>
      </x:c>
      <x:c r="T923" s="51" t="str">
        <x:v>A donor dictating a specific conclusion or controlling scholars.</x:v>
      </x:c>
      <x:c r="U923" s="51" t="str">
        <x:v>Funding restrictions and research-integrity policies must be reviewed at project level.</x:v>
      </x:c>
      <x:c r="V923" s="51" t="str">
        <x:v>Active</x:v>
      </x:c>
      <x:c r="W923" s="51" t="str">
        <x:v>45;57</x:v>
      </x:c>
      <x:c r="X923" s="51" t="str">
        <x:v>2026-07-27</x:v>
      </x:c>
    </x:row>
    <x:row r="924">
      <x:c r="A924" s="51" t="str">
        <x:v>V14THINK-002</x:v>
      </x:c>
      <x:c r="B924" s="51" t="str">
        <x:v>Think-tank funding, expertise and policy production</x:v>
      </x:c>
      <x:c r="C924" s="51" t="str">
        <x:v>ACT-BROOKINGSBOARDOFTRUSTEES</x:v>
      </x:c>
      <x:c r="D924" s="51" t="str">
        <x:v>Brookings Board of Trustees</x:v>
      </x:c>
      <x:c r="E924" s="51" t="str">
        <x:v>ACT-BROOKINGSINSTITUTION</x:v>
      </x:c>
      <x:c r="F924" s="51" t="str">
        <x:v>Brookings Institution</x:v>
      </x:c>
      <x:c r="G924" s="51" t="str">
        <x:v>Board → institution</x:v>
      </x:c>
      <x:c r="H924" s="51" t="str">
        <x:v>Ongoing</x:v>
      </x:c>
      <x:c r="I924" s="51" t="str">
        <x:v>Governance and fiduciary oversight</x:v>
      </x:c>
      <x:c r="J924" s="51" t="str">
        <x:v>INS-309</x:v>
      </x:c>
      <x:c r="K924" s="51" t="str">
        <x:v>Institution-wide</x:v>
      </x:c>
      <x:c r="L924" s="51" t="str">
        <x:v>Trustee authority, reserves and fundraising</x:v>
      </x:c>
      <x:c r="M924" s="51" t="str">
        <x:v>Institutional strategy and financial oversight</x:v>
      </x:c>
      <x:c r="N924" s="51" t="str">
        <x:v>Board members convert elite networks and fiduciary authority into institutional stability and agenda oversight</x:v>
      </x:c>
      <x:c r="O924" s="51" t="str">
        <x:v>Institutional; relational; financial</x:v>
      </x:c>
      <x:c r="P924" s="51" t="str">
        <x:v>E1</x:v>
      </x:c>
      <x:c r="Q924" s="51" t="str">
        <x:v>Very high</x:v>
      </x:c>
      <x:c r="R924" s="51" t="str">
        <x:v>SRC-618; SRC-620</x:v>
      </x:c>
      <x:c r="S924" s="51" t="str">
        <x:v>Brookings publishes its Board and annual financial structure.</x:v>
      </x:c>
      <x:c r="T924" s="51" t="str">
        <x:v>Trustees writing or approving every research conclusion.</x:v>
      </x:c>
      <x:c r="U924" s="51" t="str">
        <x:v>Research independence policies distinguish governance from scholarship.</x:v>
      </x:c>
      <x:c r="V924" s="51" t="str">
        <x:v>Active</x:v>
      </x:c>
      <x:c r="W924" s="51" t="str">
        <x:v>45;57</x:v>
      </x:c>
      <x:c r="X924" s="51" t="str">
        <x:v>2026-07-27</x:v>
      </x:c>
    </x:row>
    <x:row r="925">
      <x:c r="A925" s="51" t="str">
        <x:v>V14THINK-003</x:v>
      </x:c>
      <x:c r="B925" s="51" t="str">
        <x:v>Think-tank funding, expertise and policy production</x:v>
      </x:c>
      <x:c r="C925" s="51" t="str">
        <x:v>ACT-BROOKINGSINSTITUTION</x:v>
      </x:c>
      <x:c r="D925" s="51" t="str">
        <x:v>Brookings Institution</x:v>
      </x:c>
      <x:c r="E925" s="51" t="str">
        <x:v>ACT-POLICYRESEARCHERSANDFELL</x:v>
      </x:c>
      <x:c r="F925" s="51" t="str">
        <x:v>Policy researchers and fellows</x:v>
      </x:c>
      <x:c r="G925" s="51" t="str">
        <x:v>Institution → experts</x:v>
      </x:c>
      <x:c r="H925" s="51" t="str">
        <x:v>Ongoing</x:v>
      </x:c>
      <x:c r="I925" s="51" t="str">
        <x:v>Employment, fellowship and research support</x:v>
      </x:c>
      <x:c r="J925" s="51" t="str">
        <x:v>INS-309</x:v>
      </x:c>
      <x:c r="K925" s="51" t="str">
        <x:v>Programme-specific</x:v>
      </x:c>
      <x:c r="L925" s="51" t="str">
        <x:v>Funding, data, brand and convening infrastructure</x:v>
      </x:c>
      <x:c r="M925" s="51" t="str">
        <x:v>Policy research, testimony and publications</x:v>
      </x:c>
      <x:c r="N925" s="51" t="str">
        <x:v>Institutional prestige and resources make expert analysis legible to governments and media</x:v>
      </x:c>
      <x:c r="O925" s="51" t="str">
        <x:v>Informational; relational; institutional</x:v>
      </x:c>
      <x:c r="P925" s="51" t="str">
        <x:v>E1</x:v>
      </x:c>
      <x:c r="Q925" s="51" t="str">
        <x:v>High</x:v>
      </x:c>
      <x:c r="R925" s="51" t="str">
        <x:v>SRC-618; SRC-619</x:v>
      </x:c>
      <x:c r="S925" s="51" t="str">
        <x:v>Brookings funds and publishes policy research and employs fellows.</x:v>
      </x:c>
      <x:c r="T925" s="51" t="str">
        <x:v>Uniform political ideology or direct policy authority.</x:v>
      </x:c>
      <x:c r="U925" s="51" t="str">
        <x:v>Scholars differ and research quality must be evaluated individually.</x:v>
      </x:c>
      <x:c r="V925" s="51" t="str">
        <x:v>Active</x:v>
      </x:c>
      <x:c r="W925" s="51" t="str">
        <x:v>45;57</x:v>
      </x:c>
      <x:c r="X925" s="51" t="str">
        <x:v>2026-07-27</x:v>
      </x:c>
    </x:row>
    <x:row r="926">
      <x:c r="A926" s="51" t="str">
        <x:v>V14THINK-004</x:v>
      </x:c>
      <x:c r="B926" s="51" t="str">
        <x:v>Think-tank funding, expertise and policy production</x:v>
      </x:c>
      <x:c r="C926" s="51" t="str">
        <x:v>ACT-HERITAGEFOUNDATION</x:v>
      </x:c>
      <x:c r="D926" s="51" t="str">
        <x:v>Heritage Foundation</x:v>
      </x:c>
      <x:c r="E926" s="51" t="str">
        <x:v>ACT-PROJECT2025</x:v>
      </x:c>
      <x:c r="F926" s="51" t="str">
        <x:v>Project 2025</x:v>
      </x:c>
      <x:c r="G926" s="51" t="str">
        <x:v>Think tank/coalition hub → policy blueprint</x:v>
      </x:c>
      <x:c r="H926" s="51" t="str">
        <x:v>2023–2025</x:v>
      </x:c>
      <x:c r="I926" s="51" t="str">
        <x:v>Policy drafting and coalition coordination</x:v>
      </x:c>
      <x:c r="J926" s="51" t="str">
        <x:v>INS-310; INS-311</x:v>
      </x:c>
      <x:c r="K926" s="51" t="str">
        <x:v>Approximately 900-page blueprint</x:v>
      </x:c>
      <x:c r="L926" s="51" t="str">
        <x:v>Researchers, ideological priorities and transition planning</x:v>
      </x:c>
      <x:c r="M926" s="51" t="str">
        <x:v>Detailed executive-branch recommendations</x:v>
      </x:c>
      <x:c r="N926" s="51" t="str">
        <x:v>A think tank can pre-package policy, personnel and administrative design for rapid political adoption</x:v>
      </x:c>
      <x:c r="O926" s="51" t="str">
        <x:v>Informational; institutional; political</x:v>
      </x:c>
      <x:c r="P926" s="51" t="str">
        <x:v>E1</x:v>
      </x:c>
      <x:c r="Q926" s="51" t="str">
        <x:v>Very high</x:v>
      </x:c>
      <x:c r="R926" s="51" t="str">
        <x:v>SRC-621; SRC-622</x:v>
      </x:c>
      <x:c r="S926" s="51" t="str">
        <x:v>Heritage led and published the Project 2025 Mandate for Leadership.</x:v>
      </x:c>
      <x:c r="T926" s="51" t="str">
        <x:v>Automatic adoption of every recommendation or formal authorship by every later official.</x:v>
      </x:c>
      <x:c r="U926" s="51" t="str">
        <x:v>Policy uptake must be tested recommendation by recommendation.</x:v>
      </x:c>
      <x:c r="V926" s="51" t="str">
        <x:v>Published / partly implemented or rejected</x:v>
      </x:c>
      <x:c r="W926" s="51" t="str">
        <x:v>45;57</x:v>
      </x:c>
      <x:c r="X926" s="51" t="str">
        <x:v>2026-07-27</x:v>
      </x:c>
    </x:row>
    <x:row r="927">
      <x:c r="A927" s="51" t="str">
        <x:v>V14THINK-005</x:v>
      </x:c>
      <x:c r="B927" s="51" t="str">
        <x:v>Think-tank funding, expertise and policy production</x:v>
      </x:c>
      <x:c r="C927" s="51" t="str">
        <x:v>ACT-THINKTANKDONORS</x:v>
      </x:c>
      <x:c r="D927" s="51" t="str">
        <x:v>Think-tank donors</x:v>
      </x:c>
      <x:c r="E927" s="51" t="str">
        <x:v>ACT-HERITAGEFOUNDATION</x:v>
      </x:c>
      <x:c r="F927" s="51" t="str">
        <x:v>Heritage Foundation</x:v>
      </x:c>
      <x:c r="G927" s="51" t="str">
        <x:v>Donors → think tank</x:v>
      </x:c>
      <x:c r="H927" s="51" t="str">
        <x:v>Annual funding cycles</x:v>
      </x:c>
      <x:c r="I927" s="51" t="str">
        <x:v>Contributions and institutional support</x:v>
      </x:c>
      <x:c r="J927" s="51" t="str">
        <x:v>INS-310</x:v>
      </x:c>
      <x:c r="K927" s="51" t="str">
        <x:v>Donor-specific</x:v>
      </x:c>
      <x:c r="L927" s="51" t="str">
        <x:v>Private philanthropic resources</x:v>
      </x:c>
      <x:c r="M927" s="51" t="str">
        <x:v>Research, advocacy and personnel programmes</x:v>
      </x:c>
      <x:c r="N927" s="51" t="str">
        <x:v>Donor-funded institutional capacity can sustain policy production between elections</x:v>
      </x:c>
      <x:c r="O927" s="51" t="str">
        <x:v>Financial; political; relational</x:v>
      </x:c>
      <x:c r="P927" s="51" t="str">
        <x:v>E1</x:v>
      </x:c>
      <x:c r="Q927" s="51" t="str">
        <x:v>High</x:v>
      </x:c>
      <x:c r="R927" s="51" t="str">
        <x:v>SRC-621; SRC-623</x:v>
      </x:c>
      <x:c r="S927" s="51" t="str">
        <x:v>Heritage publishes financial information and an annual report.</x:v>
      </x:c>
      <x:c r="T927" s="51" t="str">
        <x:v>Donor control of individual recommendations or candidate coordination.</x:v>
      </x:c>
      <x:c r="U927" s="51" t="str">
        <x:v>Project-level donor restrictions require specific records.</x:v>
      </x:c>
      <x:c r="V927" s="51" t="str">
        <x:v>Active</x:v>
      </x:c>
      <x:c r="W927" s="51" t="str">
        <x:v>45;57</x:v>
      </x:c>
      <x:c r="X927" s="51" t="str">
        <x:v>2026-07-27</x:v>
      </x:c>
    </x:row>
    <x:row r="928">
      <x:c r="A928" s="51" t="str">
        <x:v>V14THINK-006</x:v>
      </x:c>
      <x:c r="B928" s="51" t="str">
        <x:v>Think-tank funding, expertise and policy production</x:v>
      </x:c>
      <x:c r="C928" s="51" t="str">
        <x:v>ACT-THINKTANKDONORS</x:v>
      </x:c>
      <x:c r="D928" s="51" t="str">
        <x:v>Think-tank donors</x:v>
      </x:c>
      <x:c r="E928" s="51" t="str">
        <x:v>ACT-COUNCILONFOREIGNRELATION</x:v>
      </x:c>
      <x:c r="F928" s="51" t="str">
        <x:v>Council on Foreign Relations</x:v>
      </x:c>
      <x:c r="G928" s="51" t="str">
        <x:v>Donors → membership and research organisation</x:v>
      </x:c>
      <x:c r="H928" s="51" t="str">
        <x:v>Annual and major-gift cycles</x:v>
      </x:c>
      <x:c r="I928" s="51" t="str">
        <x:v>Donations and endowment support</x:v>
      </x:c>
      <x:c r="J928" s="51" t="str">
        <x:v>INS-312</x:v>
      </x:c>
      <x:c r="K928" s="51" t="str">
        <x:v>More than $32 million new major gifts reported in 2025</x:v>
      </x:c>
      <x:c r="L928" s="51" t="str">
        <x:v>Private and institutional capital</x:v>
      </x:c>
      <x:c r="M928" s="51" t="str">
        <x:v>Research, publishing and convening capacity</x:v>
      </x:c>
      <x:c r="N928" s="51" t="str">
        <x:v>Donations finance a durable meeting and knowledge infrastructure connecting experts and leaders</x:v>
      </x:c>
      <x:c r="O928" s="51" t="str">
        <x:v>Financial; relational; informational</x:v>
      </x:c>
      <x:c r="P928" s="51" t="str">
        <x:v>E1</x:v>
      </x:c>
      <x:c r="Q928" s="51" t="str">
        <x:v>Very high</x:v>
      </x:c>
      <x:c r="R928" s="51" t="str">
        <x:v>SRC-624; SRC-625</x:v>
      </x:c>
      <x:c r="S928" s="51" t="str">
        <x:v>CFR reports donor support and major gifts.</x:v>
      </x:c>
      <x:c r="T928" s="51" t="str">
        <x:v>Donor control of foreign policy or government decisions.</x:v>
      </x:c>
      <x:c r="U928" s="51" t="str">
        <x:v>CFR is not a government and publishes funding and independence information.</x:v>
      </x:c>
      <x:c r="V928" s="51" t="str">
        <x:v>Active</x:v>
      </x:c>
      <x:c r="W928" s="51" t="str">
        <x:v>45;57</x:v>
      </x:c>
      <x:c r="X928" s="51" t="str">
        <x:v>2026-07-27</x:v>
      </x:c>
    </x:row>
    <x:row r="929">
      <x:c r="A929" s="51" t="str">
        <x:v>V14THINK-007</x:v>
      </x:c>
      <x:c r="B929" s="51" t="str">
        <x:v>Think-tank funding, expertise and policy production</x:v>
      </x:c>
      <x:c r="C929" s="51" t="str">
        <x:v>ACT-COUNCILONFOREIGNRELATION</x:v>
      </x:c>
      <x:c r="D929" s="51" t="str">
        <x:v>Council on Foreign Relations</x:v>
      </x:c>
      <x:c r="E929" s="51" t="str">
        <x:v>ACT-FEDERALPOLICYMAKERSANDAG</x:v>
      </x:c>
      <x:c r="F929" s="51" t="str">
        <x:v>Federal policymakers and agencies</x:v>
      </x:c>
      <x:c r="G929" s="51" t="str">
        <x:v>Research and membership network → decision makers</x:v>
      </x:c>
      <x:c r="H929" s="51" t="str">
        <x:v>Ongoing</x:v>
      </x:c>
      <x:c r="I929" s="51" t="str">
        <x:v>Publications, briefings and convenings</x:v>
      </x:c>
      <x:c r="J929" s="51" t="str">
        <x:v>INS-312</x:v>
      </x:c>
      <x:c r="K929" s="51" t="str">
        <x:v>Institution-wide</x:v>
      </x:c>
      <x:c r="L929" s="51" t="str">
        <x:v>Research, expert networks and elite meetings</x:v>
      </x:c>
      <x:c r="M929" s="51" t="str">
        <x:v>Policy framing and shared analytical language</x:v>
      </x:c>
      <x:c r="N929" s="51" t="str">
        <x:v>Convening power can align problem definitions and policy vocabulary without issuing binding decisions</x:v>
      </x:c>
      <x:c r="O929" s="51" t="str">
        <x:v>Informational; relational; geopolitical</x:v>
      </x:c>
      <x:c r="P929" s="51" t="str">
        <x:v>S1</x:v>
      </x:c>
      <x:c r="Q929" s="51" t="str">
        <x:v>High</x:v>
      </x:c>
      <x:c r="R929" s="51" t="str">
        <x:v>SRC-624; SRC-625</x:v>
      </x:c>
      <x:c r="S929" s="51" t="str">
        <x:v>CFR produces foreign-policy research and convenes members and officials.</x:v>
      </x:c>
      <x:c r="T929" s="51" t="str">
        <x:v>A hidden command structure directing US foreign policy.</x:v>
      </x:c>
      <x:c r="U929" s="51" t="str">
        <x:v>Influence is diffuse and must be traced through citations, appointments and decisions.</x:v>
      </x:c>
      <x:c r="V929" s="51" t="str">
        <x:v>Active</x:v>
      </x:c>
      <x:c r="W929" s="51" t="str">
        <x:v>45;57</x:v>
      </x:c>
      <x:c r="X929" s="51" t="str">
        <x:v>2026-07-27</x:v>
      </x:c>
    </x:row>
    <x:row r="930">
      <x:c r="A930" s="51" t="str">
        <x:v>V15ARB-001</x:v>
      </x:c>
      <x:c r="B930" s="51" t="str">
        <x:v>Commercial and investor-state arbitration enforcement</x:v>
      </x:c>
      <x:c r="C930" s="51" t="str">
        <x:v>ACT-ICCARBITRATIONPARTIES</x:v>
      </x:c>
      <x:c r="D930" s="51" t="str">
        <x:v>ICC arbitration parties</x:v>
      </x:c>
      <x:c r="E930" s="51" t="str">
        <x:v>ACT-ICCINTERNATIONALCOURTOFA</x:v>
      </x:c>
      <x:c r="F930" s="51" t="str">
        <x:v>ICC International Court of Arbitration</x:v>
      </x:c>
      <x:c r="G930" s="51" t="str">
        <x:v>Parties → institution</x:v>
      </x:c>
      <x:c r="H930" s="51" t="str">
        <x:v>By contract and filing</x:v>
      </x:c>
      <x:c r="I930" s="51" t="str">
        <x:v>Arbitration agreement and request</x:v>
      </x:c>
      <x:c r="J930" s="51" t="str">
        <x:v>INS-319</x:v>
      </x:c>
      <x:c r="K930" s="51" t="str">
        <x:v>894 new cases in 2025</x:v>
      </x:c>
      <x:c r="L930" s="51" t="str">
        <x:v>Contractual consent and dispute</x:v>
      </x:c>
      <x:c r="M930" s="51" t="str">
        <x:v>Administered arbitration</x:v>
      </x:c>
      <x:c r="N930" s="51" t="str">
        <x:v>Private agreement converts a dispute from ordinary court litigation into an institutional arbitral process</x:v>
      </x:c>
      <x:c r="O930" s="51" t="str">
        <x:v>Legal; relational; financial</x:v>
      </x:c>
      <x:c r="P930" s="51" t="str">
        <x:v>E1</x:v>
      </x:c>
      <x:c r="Q930" s="51" t="str">
        <x:v>Very high</x:v>
      </x:c>
      <x:c r="R930" s="51" t="str">
        <x:v>SRC-655; SRC-656; SRC-688</x:v>
      </x:c>
      <x:c r="S930" s="51" t="str">
        <x:v>ICC arbitration depends on party consent and institutional rules.</x:v>
      </x:c>
      <x:c r="T930" s="51" t="str">
        <x:v>An ICC award before tribunal appointment or automatic victory for the better-funded party.</x:v>
      </x:c>
      <x:c r="U930" s="51" t="str">
        <x:v>Jurisdiction and admissibility may be contested.</x:v>
      </x:c>
      <x:c r="V930" s="51" t="str">
        <x:v>Active</x:v>
      </x:c>
      <x:c r="W930" s="51" t="str">
        <x:v>46;57</x:v>
      </x:c>
      <x:c r="X930" s="51" t="str">
        <x:v>2026-07-27</x:v>
      </x:c>
    </x:row>
    <x:row r="931">
      <x:c r="A931" s="51" t="str">
        <x:v>V15ARB-002</x:v>
      </x:c>
      <x:c r="B931" s="51" t="str">
        <x:v>Commercial and investor-state arbitration enforcement</x:v>
      </x:c>
      <x:c r="C931" s="51" t="str">
        <x:v>ACT-ICCINTERNATIONALCOURTOFA</x:v>
      </x:c>
      <x:c r="D931" s="51" t="str">
        <x:v>ICC International Court of Arbitration</x:v>
      </x:c>
      <x:c r="E931" s="51" t="str">
        <x:v>ACT-ARBITRALTRIBUNALS</x:v>
      </x:c>
      <x:c r="F931" s="51" t="str">
        <x:v>Arbitral tribunals</x:v>
      </x:c>
      <x:c r="G931" s="51" t="str">
        <x:v>Institution → tribunal</x:v>
      </x:c>
      <x:c r="H931" s="51" t="str">
        <x:v>Case-specific</x:v>
      </x:c>
      <x:c r="I931" s="51" t="str">
        <x:v>Appointment, confirmation and case administration</x:v>
      </x:c>
      <x:c r="J931" s="51" t="str">
        <x:v>INS-319</x:v>
      </x:c>
      <x:c r="K931" s="51" t="str">
        <x:v>1,869 pending cases at end-2025</x:v>
      </x:c>
      <x:c r="L931" s="51" t="str">
        <x:v>Party nominations and institutional rules</x:v>
      </x:c>
      <x:c r="M931" s="51" t="str">
        <x:v>Constituted tribunal and supervised procedure</x:v>
      </x:c>
      <x:c r="N931" s="51" t="str">
        <x:v>Institutional administration creates a procedurally valid tribunal without deciding the merits itself</x:v>
      </x:c>
      <x:c r="O931" s="51" t="str">
        <x:v>Legal; institutional; relational</x:v>
      </x:c>
      <x:c r="P931" s="51" t="str">
        <x:v>E1</x:v>
      </x:c>
      <x:c r="Q931" s="51" t="str">
        <x:v>Very high</x:v>
      </x:c>
      <x:c r="R931" s="51" t="str">
        <x:v>SRC-655; SRC-656; SRC-657</x:v>
      </x:c>
      <x:c r="S931" s="51" t="str">
        <x:v>The ICC Court administers cases and performs appointment and scrutiny functions.</x:v>
      </x:c>
      <x:c r="T931" s="51" t="str">
        <x:v>The ICC Court itself acting as the merits tribunal in every case.</x:v>
      </x:c>
      <x:c r="U931" s="51" t="str">
        <x:v>Arbitrators remain responsible for deciding disputes.</x:v>
      </x:c>
      <x:c r="V931" s="51" t="str">
        <x:v>Active</x:v>
      </x:c>
      <x:c r="W931" s="51" t="str">
        <x:v>46;57</x:v>
      </x:c>
      <x:c r="X931" s="51" t="str">
        <x:v>2026-07-27</x:v>
      </x:c>
    </x:row>
    <x:row r="932">
      <x:c r="A932" s="51" t="str">
        <x:v>V15ARB-003</x:v>
      </x:c>
      <x:c r="B932" s="51" t="str">
        <x:v>Commercial and investor-state arbitration enforcement</x:v>
      </x:c>
      <x:c r="C932" s="51" t="str">
        <x:v>ACT-ARBITRALTRIBUNALS</x:v>
      </x:c>
      <x:c r="D932" s="51" t="str">
        <x:v>Arbitral tribunals</x:v>
      </x:c>
      <x:c r="E932" s="51" t="str">
        <x:v>ACT-NATIONALCOURTSENFORCINGA</x:v>
      </x:c>
      <x:c r="F932" s="51" t="str">
        <x:v>National courts enforcing arbitral awards</x:v>
      </x:c>
      <x:c r="G932" s="51" t="str">
        <x:v>Tribunal award → national court</x:v>
      </x:c>
      <x:c r="H932" s="51" t="str">
        <x:v>Post-award</x:v>
      </x:c>
      <x:c r="I932" s="51" t="str">
        <x:v>Recognition and enforcement application</x:v>
      </x:c>
      <x:c r="J932" s="51" t="str">
        <x:v>INS-319</x:v>
      </x:c>
      <x:c r="K932" s="51" t="str">
        <x:v>Award-specific</x:v>
      </x:c>
      <x:c r="L932" s="51" t="str">
        <x:v>Final or partial arbitral award</x:v>
      </x:c>
      <x:c r="M932" s="51" t="str">
        <x:v>Court-recognised enforcement or refusal</x:v>
      </x:c>
      <x:c r="N932" s="51" t="str">
        <x:v>An award becomes coercive against assets through national recognition and enforcement law</x:v>
      </x:c>
      <x:c r="O932" s="51" t="str">
        <x:v>Legal; enforcement; financial</x:v>
      </x:c>
      <x:c r="P932" s="51" t="str">
        <x:v>S1</x:v>
      </x:c>
      <x:c r="Q932" s="51" t="str">
        <x:v>High</x:v>
      </x:c>
      <x:c r="R932" s="51" t="str">
        <x:v>SRC-656</x:v>
      </x:c>
      <x:c r="S932" s="51" t="str">
        <x:v>Arbitral awards generally require national legal mechanisms for coercive enforcement.</x:v>
      </x:c>
      <x:c r="T932" s="51" t="str">
        <x:v>Automatic collection, global validity or immunity from challenge.</x:v>
      </x:c>
      <x:c r="U932" s="51" t="str">
        <x:v>Set-aside, public policy, jurisdiction and asset-location rules matter.</x:v>
      </x:c>
      <x:c r="V932" s="51" t="str">
        <x:v>Active</x:v>
      </x:c>
      <x:c r="W932" s="51" t="str">
        <x:v>46;57</x:v>
      </x:c>
      <x:c r="X932" s="51" t="str">
        <x:v>2026-07-27</x:v>
      </x:c>
    </x:row>
    <x:row r="933">
      <x:c r="A933" s="51" t="str">
        <x:v>V15ARB-004</x:v>
      </x:c>
      <x:c r="B933" s="51" t="str">
        <x:v>Commercial and investor-state arbitration enforcement</x:v>
      </x:c>
      <x:c r="C933" s="51" t="str">
        <x:v>ACT-FOREIGNINVESTORS</x:v>
      </x:c>
      <x:c r="D933" s="51" t="str">
        <x:v>Foreign investors</x:v>
      </x:c>
      <x:c r="E933" s="51" t="str">
        <x:v>ACT-ICSID</x:v>
      </x:c>
      <x:c r="F933" s="51" t="str">
        <x:v>ICSID</x:v>
      </x:c>
      <x:c r="G933" s="51" t="str">
        <x:v>Investor → institution</x:v>
      </x:c>
      <x:c r="H933" s="51" t="str">
        <x:v>Case-specific</x:v>
      </x:c>
      <x:c r="I933" s="51" t="str">
        <x:v>Request based on consent instrument</x:v>
      </x:c>
      <x:c r="J933" s="51" t="str">
        <x:v>INS-320</x:v>
      </x:c>
      <x:c r="K933" s="51" t="str">
        <x:v>63 new cases in calendar 2025</x:v>
      </x:c>
      <x:c r="L933" s="51" t="str">
        <x:v>Treaty, law or contract consent and investment claim</x:v>
      </x:c>
      <x:c r="M933" s="51" t="str">
        <x:v>Registered investor-state case</x:v>
      </x:c>
      <x:c r="N933" s="51" t="str">
        <x:v>Consent instruments convert sovereign–investor conflict into treaty-based adjudication</x:v>
      </x:c>
      <x:c r="O933" s="51" t="str">
        <x:v>Legal; geopolitical; financial</x:v>
      </x:c>
      <x:c r="P933" s="51" t="str">
        <x:v>E1</x:v>
      </x:c>
      <x:c r="Q933" s="51" t="str">
        <x:v>Very high</x:v>
      </x:c>
      <x:c r="R933" s="51" t="str">
        <x:v>SRC-652; SRC-653; SRC-681</x:v>
      </x:c>
      <x:c r="S933" s="51" t="str">
        <x:v>ICSID registers qualifying disputes based on asserted consent.</x:v>
      </x:c>
      <x:c r="T933" s="51" t="str">
        <x:v>Merits jurisdiction or state liability at registration.</x:v>
      </x:c>
      <x:c r="U933" s="51" t="str">
        <x:v>Tribunals decide contested jurisdiction and merits.</x:v>
      </x:c>
      <x:c r="V933" s="51" t="str">
        <x:v>Active</x:v>
      </x:c>
      <x:c r="W933" s="51" t="str">
        <x:v>46;57</x:v>
      </x:c>
      <x:c r="X933" s="51" t="str">
        <x:v>2026-07-27</x:v>
      </x:c>
    </x:row>
    <x:row r="934">
      <x:c r="A934" s="51" t="str">
        <x:v>V15ARB-005</x:v>
      </x:c>
      <x:c r="B934" s="51" t="str">
        <x:v>Commercial and investor-state arbitration enforcement</x:v>
      </x:c>
      <x:c r="C934" s="51" t="str">
        <x:v>ACT-HOSTSTATES</x:v>
      </x:c>
      <x:c r="D934" s="51" t="str">
        <x:v>Host states</x:v>
      </x:c>
      <x:c r="E934" s="51" t="str">
        <x:v>ACT-ICSIDTRIBUNALS</x:v>
      </x:c>
      <x:c r="F934" s="51" t="str">
        <x:v>ICSID tribunals</x:v>
      </x:c>
      <x:c r="G934" s="51" t="str">
        <x:v>State party → tribunal</x:v>
      </x:c>
      <x:c r="H934" s="51" t="str">
        <x:v>Case-specific</x:v>
      </x:c>
      <x:c r="I934" s="51" t="str">
        <x:v>Participation in investor-state arbitration</x:v>
      </x:c>
      <x:c r="J934" s="51" t="str">
        <x:v>INS-320</x:v>
      </x:c>
      <x:c r="K934" s="51" t="str">
        <x:v>Treaty- and contract-specific</x:v>
      </x:c>
      <x:c r="L934" s="51" t="str">
        <x:v>State defence, jurisdictional objections and evidence</x:v>
      </x:c>
      <x:c r="M934" s="51" t="str">
        <x:v>Award or procedural decision</x:v>
      </x:c>
      <x:c r="N934" s="51" t="str">
        <x:v>A sovereign consents to adjudication in defined instruments without transferring general sovereignty</x:v>
      </x:c>
      <x:c r="O934" s="51" t="str">
        <x:v>Legal; geopolitical; financial</x:v>
      </x:c>
      <x:c r="P934" s="51" t="str">
        <x:v>E1</x:v>
      </x:c>
      <x:c r="Q934" s="51" t="str">
        <x:v>High</x:v>
      </x:c>
      <x:c r="R934" s="51" t="str">
        <x:v>SRC-651; SRC-652; SRC-653</x:v>
      </x:c>
      <x:c r="S934" s="51" t="str">
        <x:v>States participate in ICSID proceedings under consent-based jurisdiction.</x:v>
      </x:c>
      <x:c r="T934" s="51" t="str">
        <x:v>ICSID authority over every public policy or state asset.</x:v>
      </x:c>
      <x:c r="U934" s="51" t="str">
        <x:v>Consent, immunity and enforcement remain legally bounded.</x:v>
      </x:c>
      <x:c r="V934" s="51" t="str">
        <x:v>Active</x:v>
      </x:c>
      <x:c r="W934" s="51" t="str">
        <x:v>46;57</x:v>
      </x:c>
      <x:c r="X934" s="51" t="str">
        <x:v>2026-07-27</x:v>
      </x:c>
    </x:row>
    <x:row r="935">
      <x:c r="A935" s="51" t="str">
        <x:v>V15ARB-006</x:v>
      </x:c>
      <x:c r="B935" s="51" t="str">
        <x:v>Commercial and investor-state arbitration enforcement</x:v>
      </x:c>
      <x:c r="C935" s="51" t="str">
        <x:v>ACT-MARTINAPOLASEK</x:v>
      </x:c>
      <x:c r="D935" s="51" t="str">
        <x:v>Martina Polasek</x:v>
      </x:c>
      <x:c r="E935" s="51" t="str">
        <x:v>ACT-ICSID</x:v>
      </x:c>
      <x:c r="F935" s="51" t="str">
        <x:v>ICSID</x:v>
      </x:c>
      <x:c r="G935" s="51" t="str">
        <x:v>Secretary-General → institution</x:v>
      </x:c>
      <x:c r="H935" s="51" t="str">
        <x:v>Current 2026</x:v>
      </x:c>
      <x:c r="I935" s="51" t="str">
        <x:v>Secretariat leadership and registration functions</x:v>
      </x:c>
      <x:c r="J935" s="51" t="str">
        <x:v>INS-320</x:v>
      </x:c>
      <x:c r="K935" s="51" t="str">
        <x:v>Formal institutional office</x:v>
      </x:c>
      <x:c r="L935" s="51" t="str">
        <x:v>Administrative Council election and Convention mandate</x:v>
      </x:c>
      <x:c r="M935" s="51" t="str">
        <x:v>Institutional administration and case registration</x:v>
      </x:c>
      <x:c r="N935" s="51" t="str">
        <x:v>Secretariat authority converts procedural requests into administered cases while tribunals decide merits</x:v>
      </x:c>
      <x:c r="O935" s="51" t="str">
        <x:v>Institutional; legal; relational</x:v>
      </x:c>
      <x:c r="P935" s="51" t="str">
        <x:v>E1</x:v>
      </x:c>
      <x:c r="Q935" s="51" t="str">
        <x:v>Very high</x:v>
      </x:c>
      <x:c r="R935" s="51" t="str">
        <x:v>SRC-654</x:v>
      </x:c>
      <x:c r="S935" s="51" t="str">
        <x:v>Martina Polasek is the current ICSID Secretary-General.</x:v>
      </x:c>
      <x:c r="T935" s="51" t="str">
        <x:v>Personal power to decide tribunal merits or impose awards.</x:v>
      </x:c>
      <x:c r="U935" s="51" t="str">
        <x:v>ICSID governance and tribunal independence remain separate.</x:v>
      </x:c>
      <x:c r="V935" s="51" t="str">
        <x:v>Active</x:v>
      </x:c>
      <x:c r="W935" s="51" t="str">
        <x:v>46;57</x:v>
      </x:c>
      <x:c r="X935" s="51" t="str">
        <x:v>2026-07-27</x:v>
      </x:c>
    </x:row>
    <x:row r="936">
      <x:c r="A936" s="51" t="str">
        <x:v>V15ARB-007</x:v>
      </x:c>
      <x:c r="B936" s="51" t="str">
        <x:v>Commercial and investor-state arbitration enforcement</x:v>
      </x:c>
      <x:c r="C936" s="51" t="str">
        <x:v>ACT-PERMANENTCOURTOFARBITRAT</x:v>
      </x:c>
      <x:c r="D936" s="51" t="str">
        <x:v>Permanent Court of Arbitration</x:v>
      </x:c>
      <x:c r="E936" s="51" t="str">
        <x:v>ACT-PCAADMINISTEREDTRIBUNALS</x:v>
      </x:c>
      <x:c r="F936" s="51" t="str">
        <x:v>PCA-administered tribunals</x:v>
      </x:c>
      <x:c r="G936" s="51" t="str">
        <x:v>Registry → tribunal</x:v>
      </x:c>
      <x:c r="H936" s="51" t="str">
        <x:v>Case-specific</x:v>
      </x:c>
      <x:c r="I936" s="51" t="str">
        <x:v>Registry, hearing and appointing-authority services</x:v>
      </x:c>
      <x:c r="J936" s="51" t="str">
        <x:v>INS-321</x:v>
      </x:c>
      <x:c r="K936" s="51" t="str">
        <x:v>251 cases handled in 2025</x:v>
      </x:c>
      <x:c r="L936" s="51" t="str">
        <x:v>Party agreement and procedural needs</x:v>
      </x:c>
      <x:c r="M936" s="51" t="str">
        <x:v>Administered tribunal process</x:v>
      </x:c>
      <x:c r="N936" s="51" t="str">
        <x:v>A standing registry supplies continuity and infrastructure to tribunals constituted for particular disputes</x:v>
      </x:c>
      <x:c r="O936" s="51" t="str">
        <x:v>Legal; institutional; geopolitical</x:v>
      </x:c>
      <x:c r="P936" s="51" t="str">
        <x:v>E1</x:v>
      </x:c>
      <x:c r="Q936" s="51" t="str">
        <x:v>Very high</x:v>
      </x:c>
      <x:c r="R936" s="51" t="str">
        <x:v>SRC-658; SRC-660; SRC-680</x:v>
      </x:c>
      <x:c r="S936" s="51" t="str">
        <x:v>The PCA administered 251 cases in 2025 and provides registry services.</x:v>
      </x:c>
      <x:c r="T936" s="51" t="str">
        <x:v>A permanent bench deciding every PCA-administered case.</x:v>
      </x:c>
      <x:c r="U936" s="51" t="str">
        <x:v>The PCA is an administrative institution; tribunals are case-specific.</x:v>
      </x:c>
      <x:c r="V936" s="51" t="str">
        <x:v>Active</x:v>
      </x:c>
      <x:c r="W936" s="51" t="str">
        <x:v>46;57</x:v>
      </x:c>
      <x:c r="X936" s="51" t="str">
        <x:v>2026-07-27</x:v>
      </x:c>
    </x:row>
    <x:row r="937">
      <x:c r="A937" s="51" t="str">
        <x:v>V15ARB-008</x:v>
      </x:c>
      <x:c r="B937" s="51" t="str">
        <x:v>Commercial and investor-state arbitration enforcement</x:v>
      </x:c>
      <x:c r="C937" s="51" t="str">
        <x:v>ACT-MARCINCZEPELAK</x:v>
      </x:c>
      <x:c r="D937" s="51" t="str">
        <x:v>Marcin Czepelak</x:v>
      </x:c>
      <x:c r="E937" s="51" t="str">
        <x:v>ACT-PERMANENTCOURTOFARBITRAT</x:v>
      </x:c>
      <x:c r="F937" s="51" t="str">
        <x:v>Permanent Court of Arbitration</x:v>
      </x:c>
      <x:c r="G937" s="51" t="str">
        <x:v>Secretary-General → institution</x:v>
      </x:c>
      <x:c r="H937" s="51" t="str">
        <x:v>Current 2026</x:v>
      </x:c>
      <x:c r="I937" s="51" t="str">
        <x:v>Secretary-General and appointing-authority functions</x:v>
      </x:c>
      <x:c r="J937" s="51" t="str">
        <x:v>INS-321</x:v>
      </x:c>
      <x:c r="K937" s="51" t="str">
        <x:v>Formal institutional office</x:v>
      </x:c>
      <x:c r="L937" s="51" t="str">
        <x:v>Institutional mandate</x:v>
      </x:c>
      <x:c r="M937" s="51" t="str">
        <x:v>Registry leadership and designated procedural decisions</x:v>
      </x:c>
      <x:c r="N937" s="51" t="str">
        <x:v>Secretary-General authority coordinates institutional services without becoming the merits tribunal</x:v>
      </x:c>
      <x:c r="O937" s="51" t="str">
        <x:v>Institutional; legal; relational</x:v>
      </x:c>
      <x:c r="P937" s="51" t="str">
        <x:v>E1</x:v>
      </x:c>
      <x:c r="Q937" s="51" t="str">
        <x:v>Very high</x:v>
      </x:c>
      <x:c r="R937" s="51" t="str">
        <x:v>SRC-659; SRC-660</x:v>
      </x:c>
      <x:c r="S937" s="51" t="str">
        <x:v>Marcin Czepelak is the current PCA Secretary-General.</x:v>
      </x:c>
      <x:c r="T937" s="51" t="str">
        <x:v>Personal adjudication of all PCA disputes.</x:v>
      </x:c>
      <x:c r="U937" s="51" t="str">
        <x:v>Authority depends on rules, party agreement and specific designation.</x:v>
      </x:c>
      <x:c r="V937" s="51" t="str">
        <x:v>Active</x:v>
      </x:c>
      <x:c r="W937" s="51" t="str">
        <x:v>46;57</x:v>
      </x:c>
      <x:c r="X937" s="51" t="str">
        <x:v>2026-07-27</x:v>
      </x:c>
    </x:row>
    <x:row r="938">
      <x:c r="A938" s="51" t="str">
        <x:v>V15ARB-009</x:v>
      </x:c>
      <x:c r="B938" s="51" t="str">
        <x:v>Commercial and investor-state arbitration enforcement</x:v>
      </x:c>
      <x:c r="C938" s="51" t="str">
        <x:v>ACT-CLAUDIASALOMON</x:v>
      </x:c>
      <x:c r="D938" s="51" t="str">
        <x:v>Claudia Salomon</x:v>
      </x:c>
      <x:c r="E938" s="51" t="str">
        <x:v>ACT-ICCINTERNATIONALCOURTOFA</x:v>
      </x:c>
      <x:c r="F938" s="51" t="str">
        <x:v>ICC International Court of Arbitration</x:v>
      </x:c>
      <x:c r="G938" s="51" t="str">
        <x:v>President → institution</x:v>
      </x:c>
      <x:c r="H938" s="51" t="str">
        <x:v>Current 2026</x:v>
      </x:c>
      <x:c r="I938" s="51" t="str">
        <x:v>Court presidency and procedural oversight</x:v>
      </x:c>
      <x:c r="J938" s="51" t="str">
        <x:v>INS-319</x:v>
      </x:c>
      <x:c r="K938" s="51" t="str">
        <x:v>Formal institutional office</x:v>
      </x:c>
      <x:c r="L938" s="51" t="str">
        <x:v>ICC governance and rules</x:v>
      </x:c>
      <x:c r="M938" s="51" t="str">
        <x:v>Leadership, appointments and procedural oversight</x:v>
      </x:c>
      <x:c r="N938" s="51" t="str">
        <x:v>Institutional leadership shapes procedure and administration while arbitral tribunals decide merits</x:v>
      </x:c>
      <x:c r="O938" s="51" t="str">
        <x:v>Institutional; legal; relational</x:v>
      </x:c>
      <x:c r="P938" s="51" t="str">
        <x:v>E1</x:v>
      </x:c>
      <x:c r="Q938" s="51" t="str">
        <x:v>Very high</x:v>
      </x:c>
      <x:c r="R938" s="51" t="str">
        <x:v>SRC-657</x:v>
      </x:c>
      <x:c r="S938" s="51" t="str">
        <x:v>Claudia Salomon is the current ICC Court President.</x:v>
      </x:c>
      <x:c r="T938" s="51" t="str">
        <x:v>Personal control of arbitral awards or party assets.</x:v>
      </x:c>
      <x:c r="U938" s="51" t="str">
        <x:v>The Court operates through collective and rule-based procedures.</x:v>
      </x:c>
      <x:c r="V938" s="51" t="str">
        <x:v>Active</x:v>
      </x:c>
      <x:c r="W938" s="51" t="str">
        <x:v>46;57</x:v>
      </x:c>
      <x:c r="X938" s="51" t="str">
        <x:v>2026-07-27</x:v>
      </x:c>
    </x:row>
    <x:row r="939">
      <x:c r="A939" s="51" t="str">
        <x:v>V15BK-001</x:v>
      </x:c>
      <x:c r="B939" s="51" t="str">
        <x:v>Bankruptcy, restructuring and ownership reallocation</x:v>
      </x:c>
      <x:c r="C939" s="51" t="str">
        <x:v>ACT-REORGANISINGDEBTORS</x:v>
      </x:c>
      <x:c r="D939" s="51" t="str">
        <x:v>Reorganising debtors</x:v>
      </x:c>
      <x:c r="E939" s="51" t="str">
        <x:v>ACT-USBANKRUPTCYCOURTS</x:v>
      </x:c>
      <x:c r="F939" s="51" t="str">
        <x:v>US Bankruptcy Courts</x:v>
      </x:c>
      <x:c r="G939" s="51" t="str">
        <x:v>Debtor → court</x:v>
      </x:c>
      <x:c r="H939" s="51" t="str">
        <x:v>At filing</x:v>
      </x:c>
      <x:c r="I939" s="51" t="str">
        <x:v>Chapter 11 petition</x:v>
      </x:c>
      <x:c r="J939" s="51" t="str">
        <x:v>INS-324</x:v>
      </x:c>
      <x:c r="K939" s="51" t="str">
        <x:v>24,737 business filings in year ending Dec. 31, 2025 across chapters</x:v>
      </x:c>
      <x:c r="L939" s="51" t="str">
        <x:v>Financial distress, assets, liabilities and petition</x:v>
      </x:c>
      <x:c r="M939" s="51" t="str">
        <x:v>Automatic bankruptcy case and estate administration</x:v>
      </x:c>
      <x:c r="N939" s="51" t="str">
        <x:v>A bankruptcy filing converts private financial distress into a collective court-supervised process</x:v>
      </x:c>
      <x:c r="O939" s="51" t="str">
        <x:v>Legal; financial; institutional</x:v>
      </x:c>
      <x:c r="P939" s="51" t="str">
        <x:v>E1</x:v>
      </x:c>
      <x:c r="Q939" s="51" t="str">
        <x:v>Very high</x:v>
      </x:c>
      <x:c r="R939" s="51" t="str">
        <x:v>SRC-642; SRC-643; SRC-678</x:v>
      </x:c>
      <x:c r="S939" s="51" t="str">
        <x:v>Chapter 11 is used to reorganise businesses and other eligible debtors.</x:v>
      </x:c>
      <x:c r="T939" s="51" t="str">
        <x:v>Liquidation, creditor recovery or successful reorganisation at filing.</x:v>
      </x:c>
      <x:c r="U939" s="51" t="str">
        <x:v>Cases may convert, dismiss, sell assets or confirm a plan.</x:v>
      </x:c>
      <x:c r="V939" s="51" t="str">
        <x:v>Active</x:v>
      </x:c>
      <x:c r="W939" s="51" t="str">
        <x:v>46;57</x:v>
      </x:c>
      <x:c r="X939" s="51" t="str">
        <x:v>2026-07-27</x:v>
      </x:c>
    </x:row>
    <x:row r="940">
      <x:c r="A940" s="51" t="str">
        <x:v>V15BK-002</x:v>
      </x:c>
      <x:c r="B940" s="51" t="str">
        <x:v>Bankruptcy, restructuring and ownership reallocation</x:v>
      </x:c>
      <x:c r="C940" s="51" t="str">
        <x:v>ACT-USBANKRUPTCYCOURTS</x:v>
      </x:c>
      <x:c r="D940" s="51" t="str">
        <x:v>US Bankruptcy Courts</x:v>
      </x:c>
      <x:c r="E940" s="51" t="str">
        <x:v>ACT-BANKRUPTCYJUDGES</x:v>
      </x:c>
      <x:c r="F940" s="51" t="str">
        <x:v>Bankruptcy judges</x:v>
      </x:c>
      <x:c r="G940" s="51" t="str">
        <x:v>Court system → judge</x:v>
      </x:c>
      <x:c r="H940" s="51" t="str">
        <x:v>Case assignment</x:v>
      </x:c>
      <x:c r="I940" s="51" t="str">
        <x:v>Judicial administration</x:v>
      </x:c>
      <x:c r="J940" s="51" t="str">
        <x:v>INS-324; INS-325; INS-326; INS-327</x:v>
      </x:c>
      <x:c r="K940" s="51" t="str">
        <x:v>More than 300 bankruptcy judges referenced by USTP</x:v>
      </x:c>
      <x:c r="L940" s="51" t="str">
        <x:v>Filed case and judicial assignment</x:v>
      </x:c>
      <x:c r="M940" s="51" t="str">
        <x:v>Case-management and adjudicative authority</x:v>
      </x:c>
      <x:c r="N940" s="51" t="str">
        <x:v>Specialised judges convert statutory bankruptcy rights into financing, sale and plan orders</x:v>
      </x:c>
      <x:c r="O940" s="51" t="str">
        <x:v>Legal; institutional; financial</x:v>
      </x:c>
      <x:c r="P940" s="51" t="str">
        <x:v>E1</x:v>
      </x:c>
      <x:c r="Q940" s="51" t="str">
        <x:v>High</x:v>
      </x:c>
      <x:c r="R940" s="51" t="str">
        <x:v>SRC-647; SRC-643</x:v>
      </x:c>
      <x:c r="S940" s="51" t="str">
        <x:v>Bankruptcy judges supervise and decide bankruptcy matters.</x:v>
      </x:c>
      <x:c r="T940" s="51" t="str">
        <x:v>Ownership of debtor assets or unilateral commercial management.</x:v>
      </x:c>
      <x:c r="U940" s="51" t="str">
        <x:v>Debtors, trustees and creditors make proposals subject to judicial approval.</x:v>
      </x:c>
      <x:c r="V940" s="51" t="str">
        <x:v>Active</x:v>
      </x:c>
      <x:c r="W940" s="51" t="str">
        <x:v>46;57</x:v>
      </x:c>
      <x:c r="X940" s="51" t="str">
        <x:v>2026-07-27</x:v>
      </x:c>
    </x:row>
    <x:row r="941">
      <x:c r="A941" s="51" t="str">
        <x:v>V15BK-003</x:v>
      </x:c>
      <x:c r="B941" s="51" t="str">
        <x:v>Bankruptcy, restructuring and ownership reallocation</x:v>
      </x:c>
      <x:c r="C941" s="51" t="str">
        <x:v>ACT-DEBTORPROFESSIONALSANDRE</x:v>
      </x:c>
      <x:c r="D941" s="51" t="str">
        <x:v>Debtor professionals and restructuring advisers</x:v>
      </x:c>
      <x:c r="E941" s="51" t="str">
        <x:v>ACT-DEBTORINPOSSESSION</x:v>
      </x:c>
      <x:c r="F941" s="51" t="str">
        <x:v>Debtor in possession</x:v>
      </x:c>
      <x:c r="G941" s="51" t="str">
        <x:v>Professionals → debtor</x:v>
      </x:c>
      <x:c r="H941" s="51" t="str">
        <x:v>Case-specific</x:v>
      </x:c>
      <x:c r="I941" s="51" t="str">
        <x:v>Legal, financial and operational advice</x:v>
      </x:c>
      <x:c r="J941" s="51" t="str">
        <x:v>INS-324; INS-329</x:v>
      </x:c>
      <x:c r="K941" s="51" t="str">
        <x:v>Court-approved professional fees</x:v>
      </x:c>
      <x:c r="L941" s="51" t="str">
        <x:v>Expertise, valuation and legal strategy</x:v>
      </x:c>
      <x:c r="M941" s="51" t="str">
        <x:v>Restructuring plan, financing and sale execution</x:v>
      </x:c>
      <x:c r="N941" s="51" t="str">
        <x:v>Professional advisers translate enterprise distress into legally executable restructuring options</x:v>
      </x:c>
      <x:c r="O941" s="51" t="str">
        <x:v>Financial; legal; relational</x:v>
      </x:c>
      <x:c r="P941" s="51" t="str">
        <x:v>S1</x:v>
      </x:c>
      <x:c r="Q941" s="51" t="str">
        <x:v>High</x:v>
      </x:c>
      <x:c r="R941" s="51" t="str">
        <x:v>SRC-643; SRC-649</x:v>
      </x:c>
      <x:c r="S941" s="51" t="str">
        <x:v>Chapter 11 debtors retain professionals subject to court and USTP review.</x:v>
      </x:c>
      <x:c r="T941" s="51" t="str">
        <x:v>Professional ownership of the debtor or automatic acceptance of advice.</x:v>
      </x:c>
      <x:c r="U941" s="51" t="str">
        <x:v>Fees and conflicts are subject to disclosure and approval.</x:v>
      </x:c>
      <x:c r="V941" s="51" t="str">
        <x:v>Active</x:v>
      </x:c>
      <x:c r="W941" s="51" t="str">
        <x:v>46;57</x:v>
      </x:c>
      <x:c r="X941" s="51" t="str">
        <x:v>2026-07-27</x:v>
      </x:c>
    </x:row>
    <x:row r="942">
      <x:c r="A942" s="51" t="str">
        <x:v>V15BK-004</x:v>
      </x:c>
      <x:c r="B942" s="51" t="str">
        <x:v>Bankruptcy, restructuring and ownership reallocation</x:v>
      </x:c>
      <x:c r="C942" s="51" t="str">
        <x:v>ACT-RAMONADELLIOTT</x:v>
      </x:c>
      <x:c r="D942" s="51" t="str">
        <x:v>Ramona D. Elliott</x:v>
      </x:c>
      <x:c r="E942" s="51" t="str">
        <x:v>ACT-USTRUSTEEPROGRAM</x:v>
      </x:c>
      <x:c r="F942" s="51" t="str">
        <x:v>US Trustee Program</x:v>
      </x:c>
      <x:c r="G942" s="51" t="str">
        <x:v>Acting Director → oversight programme</x:v>
      </x:c>
      <x:c r="H942" s="51" t="str">
        <x:v>Current 2026</x:v>
      </x:c>
      <x:c r="I942" s="51" t="str">
        <x:v>National leadership</x:v>
      </x:c>
      <x:c r="J942" s="51" t="str">
        <x:v>INS-329</x:v>
      </x:c>
      <x:c r="K942" s="51" t="str">
        <x:v>Programme-wide</x:v>
      </x:c>
      <x:c r="L942" s="51" t="str">
        <x:v>Attorney General authority and programme mandate</x:v>
      </x:c>
      <x:c r="M942" s="51" t="str">
        <x:v>National oversight, policy and enforcement</x:v>
      </x:c>
      <x:c r="N942" s="51" t="str">
        <x:v>Executive oversight coordinates bankruptcy integrity functions without replacing bankruptcy judges</x:v>
      </x:c>
      <x:c r="O942" s="51" t="str">
        <x:v>Institutional; legal; relational</x:v>
      </x:c>
      <x:c r="P942" s="51" t="str">
        <x:v>E1</x:v>
      </x:c>
      <x:c r="Q942" s="51" t="str">
        <x:v>Very high</x:v>
      </x:c>
      <x:c r="R942" s="51" t="str">
        <x:v>SRC-648; SRC-684; SRC-685</x:v>
      </x:c>
      <x:c r="S942" s="51" t="str">
        <x:v>Ramona D. Elliott is the current Acting Director of the USTP.</x:v>
      </x:c>
      <x:c r="T942" s="51" t="str">
        <x:v>Judicial authority to confirm plans or decide private claims.</x:v>
      </x:c>
      <x:c r="U942" s="51" t="str">
        <x:v>The USTP litigates and oversees; courts adjudicate.</x:v>
      </x:c>
      <x:c r="V942" s="51" t="str">
        <x:v>Active</x:v>
      </x:c>
      <x:c r="W942" s="51" t="str">
        <x:v>46;57</x:v>
      </x:c>
      <x:c r="X942" s="51" t="str">
        <x:v>2026-07-27</x:v>
      </x:c>
    </x:row>
    <x:row r="943">
      <x:c r="A943" s="51" t="str">
        <x:v>V15BK-005</x:v>
      </x:c>
      <x:c r="B943" s="51" t="str">
        <x:v>Bankruptcy, restructuring and ownership reallocation</x:v>
      </x:c>
      <x:c r="C943" s="51" t="str">
        <x:v>ACT-USTRUSTEEPROGRAM</x:v>
      </x:c>
      <x:c r="D943" s="51" t="str">
        <x:v>US Trustee Program</x:v>
      </x:c>
      <x:c r="E943" s="51" t="str">
        <x:v>ACT-DEBTORPROFESSIONALSANDRE</x:v>
      </x:c>
      <x:c r="F943" s="51" t="str">
        <x:v>Debtor professionals and restructuring advisers</x:v>
      </x:c>
      <x:c r="G943" s="51" t="str">
        <x:v>Oversight programme → professionals</x:v>
      </x:c>
      <x:c r="H943" s="51" t="str">
        <x:v>Case-specific</x:v>
      </x:c>
      <x:c r="I943" s="51" t="str">
        <x:v>Fee review and objection</x:v>
      </x:c>
      <x:c r="J943" s="51" t="str">
        <x:v>INS-329</x:v>
      </x:c>
      <x:c r="K943" s="51" t="str">
        <x:v>Professional applications in larger Chapter 11 cases</x:v>
      </x:c>
      <x:c r="L943" s="51" t="str">
        <x:v>Fee applications, staffing and billing records</x:v>
      </x:c>
      <x:c r="M943" s="51" t="str">
        <x:v>Court recommendation, objection or approved compensation</x:v>
      </x:c>
      <x:c r="N943" s="51" t="str">
        <x:v>Fee review makes professional extraction from the estate visible and contestable</x:v>
      </x:c>
      <x:c r="O943" s="51" t="str">
        <x:v>Financial; legal; accountability</x:v>
      </x:c>
      <x:c r="P943" s="51" t="str">
        <x:v>E1</x:v>
      </x:c>
      <x:c r="Q943" s="51" t="str">
        <x:v>Very high</x:v>
      </x:c>
      <x:c r="R943" s="51" t="str">
        <x:v>SRC-649</x:v>
      </x:c>
      <x:c r="S943" s="51" t="str">
        <x:v>USTP guidelines govern review of professional compensation in larger Chapter 11 cases.</x:v>
      </x:c>
      <x:c r="T943" s="51" t="str">
        <x:v>Automatic denial or direct fee-setting without court authority.</x:v>
      </x:c>
      <x:c r="U943" s="51" t="str">
        <x:v>Courts decide compensation under controlling law.</x:v>
      </x:c>
      <x:c r="V943" s="51" t="str">
        <x:v>Active</x:v>
      </x:c>
      <x:c r="W943" s="51" t="str">
        <x:v>46;57</x:v>
      </x:c>
      <x:c r="X943" s="51" t="str">
        <x:v>2026-07-27</x:v>
      </x:c>
    </x:row>
    <x:row r="944">
      <x:c r="A944" s="51" t="str">
        <x:v>V15BK-006</x:v>
      </x:c>
      <x:c r="B944" s="51" t="str">
        <x:v>Bankruptcy, restructuring and ownership reallocation</x:v>
      </x:c>
      <x:c r="C944" s="51" t="str">
        <x:v>ACT-DEBTORINPOSSESSIONLENDER</x:v>
      </x:c>
      <x:c r="D944" s="51" t="str">
        <x:v>Debtor-in-possession lenders</x:v>
      </x:c>
      <x:c r="E944" s="51" t="str">
        <x:v>ACT-DEBTORINPOSSESSION</x:v>
      </x:c>
      <x:c r="F944" s="51" t="str">
        <x:v>Debtor in possession</x:v>
      </x:c>
      <x:c r="G944" s="51" t="str">
        <x:v>New lender → debtor</x:v>
      </x:c>
      <x:c r="H944" s="51" t="str">
        <x:v>Interim and final financing orders</x:v>
      </x:c>
      <x:c r="I944" s="51" t="str">
        <x:v>DIP financing</x:v>
      </x:c>
      <x:c r="J944" s="51" t="str">
        <x:v>INS-325</x:v>
      </x:c>
      <x:c r="K944" s="51" t="str">
        <x:v>Case-specific</x:v>
      </x:c>
      <x:c r="L944" s="51" t="str">
        <x:v>New liquidity</x:v>
      </x:c>
      <x:c r="M944" s="51" t="str">
        <x:v>Priority claim, liens and operating runway</x:v>
      </x:c>
      <x:c r="N944" s="51" t="str">
        <x:v>New money can purchase priority and covenants that reshape control during distress</x:v>
      </x:c>
      <x:c r="O944" s="51" t="str">
        <x:v>Financial; legal; ownership</x:v>
      </x:c>
      <x:c r="P944" s="51" t="str">
        <x:v>E1</x:v>
      </x:c>
      <x:c r="Q944" s="51" t="str">
        <x:v>High</x:v>
      </x:c>
      <x:c r="R944" s="51" t="str">
        <x:v>SRC-643; SRC-644</x:v>
      </x:c>
      <x:c r="S944" s="51" t="str">
        <x:v>Chapter 11 permits court-approved financing and priority structures.</x:v>
      </x:c>
      <x:c r="T944" s="51" t="str">
        <x:v>Immediate ownership of the debtor or unlimited control outside financing documents.</x:v>
      </x:c>
      <x:c r="U944" s="51" t="str">
        <x:v>Court approval and creditor objections constrain terms.</x:v>
      </x:c>
      <x:c r="V944" s="51" t="str">
        <x:v>Active</x:v>
      </x:c>
      <x:c r="W944" s="51" t="str">
        <x:v>46;57</x:v>
      </x:c>
      <x:c r="X944" s="51" t="str">
        <x:v>2026-07-27</x:v>
      </x:c>
    </x:row>
    <x:row r="945">
      <x:c r="A945" s="51" t="str">
        <x:v>V15BK-007</x:v>
      </x:c>
      <x:c r="B945" s="51" t="str">
        <x:v>Bankruptcy, restructuring and ownership reallocation</x:v>
      </x:c>
      <x:c r="C945" s="51" t="str">
        <x:v>ACT-PREPETITIONSECUREDLENDER</x:v>
      </x:c>
      <x:c r="D945" s="51" t="str">
        <x:v>Prepetition secured lenders</x:v>
      </x:c>
      <x:c r="E945" s="51" t="str">
        <x:v>ACT-DEBTORINPOSSESSION</x:v>
      </x:c>
      <x:c r="F945" s="51" t="str">
        <x:v>Debtor in possession</x:v>
      </x:c>
      <x:c r="G945" s="51" t="str">
        <x:v>Secured creditor → debtor</x:v>
      </x:c>
      <x:c r="H945" s="51" t="str">
        <x:v>During case</x:v>
      </x:c>
      <x:c r="I945" s="51" t="str">
        <x:v>Cash-collateral consent or objection</x:v>
      </x:c>
      <x:c r="J945" s="51" t="str">
        <x:v>INS-325</x:v>
      </x:c>
      <x:c r="K945" s="51" t="str">
        <x:v>Collateral-specific</x:v>
      </x:c>
      <x:c r="L945" s="51" t="str">
        <x:v>Prepetition collateral rights</x:v>
      </x:c>
      <x:c r="M945" s="51" t="str">
        <x:v>Adequate protection, budget and use conditions</x:v>
      </x:c>
      <x:c r="N945" s="51" t="str">
        <x:v>Existing collateral rights convert into bargaining power over liquidity and restructuring pace</x:v>
      </x:c>
      <x:c r="O945" s="51" t="str">
        <x:v>Financial; legal; ownership</x:v>
      </x:c>
      <x:c r="P945" s="51" t="str">
        <x:v>E1</x:v>
      </x:c>
      <x:c r="Q945" s="51" t="str">
        <x:v>High</x:v>
      </x:c>
      <x:c r="R945" s="51" t="str">
        <x:v>SRC-643; SRC-644</x:v>
      </x:c>
      <x:c r="S945" s="51" t="str">
        <x:v>Secured creditors have rights in collateral and may condition cash use.</x:v>
      </x:c>
      <x:c r="T945" s="51" t="str">
        <x:v>Ownership of all debtor operations or final entitlement to enterprise value.</x:v>
      </x:c>
      <x:c r="U945" s="51" t="str">
        <x:v>Valuation, lien validity and adequate protection remain contested.</x:v>
      </x:c>
      <x:c r="V945" s="51" t="str">
        <x:v>Active</x:v>
      </x:c>
      <x:c r="W945" s="51" t="str">
        <x:v>46;57</x:v>
      </x:c>
      <x:c r="X945" s="51" t="str">
        <x:v>2026-07-27</x:v>
      </x:c>
    </x:row>
    <x:row r="946">
      <x:c r="A946" s="51" t="str">
        <x:v>V15BK-008</x:v>
      </x:c>
      <x:c r="B946" s="51" t="str">
        <x:v>Bankruptcy, restructuring and ownership reallocation</x:v>
      </x:c>
      <x:c r="C946" s="51" t="str">
        <x:v>ACT-CREDITORSCOMMITTEESANDAD</x:v>
      </x:c>
      <x:c r="D946" s="51" t="str">
        <x:v>Creditors' committees and advisers</x:v>
      </x:c>
      <x:c r="E946" s="51" t="str">
        <x:v>ACT-DEBTORINPOSSESSION</x:v>
      </x:c>
      <x:c r="F946" s="51" t="str">
        <x:v>Debtor in possession</x:v>
      </x:c>
      <x:c r="G946" s="51" t="str">
        <x:v>Committee → debtor</x:v>
      </x:c>
      <x:c r="H946" s="51" t="str">
        <x:v>Chapter 11 case</x:v>
      </x:c>
      <x:c r="I946" s="51" t="str">
        <x:v>Investigation, negotiation and plan participation</x:v>
      </x:c>
      <x:c r="J946" s="51" t="str">
        <x:v>INS-326; INS-329</x:v>
      </x:c>
      <x:c r="K946" s="51" t="str">
        <x:v>Case-specific</x:v>
      </x:c>
      <x:c r="L946" s="51" t="str">
        <x:v>Collective unsecured creditor representation</x:v>
      </x:c>
      <x:c r="M946" s="51" t="str">
        <x:v>Plan terms, litigation and disclosure scrutiny</x:v>
      </x:c>
      <x:c r="N946" s="51" t="str">
        <x:v>A committee aggregates dispersed unsecured creditors into a bargaining and oversight institution</x:v>
      </x:c>
      <x:c r="O946" s="51" t="str">
        <x:v>Financial; legal; relational</x:v>
      </x:c>
      <x:c r="P946" s="51" t="str">
        <x:v>E1</x:v>
      </x:c>
      <x:c r="Q946" s="51" t="str">
        <x:v>High</x:v>
      </x:c>
      <x:c r="R946" s="51" t="str">
        <x:v>SRC-643; SRC-644; SRC-684</x:v>
      </x:c>
      <x:c r="S946" s="51" t="str">
        <x:v>Official committees represent unsecured creditor interests in qualifying cases.</x:v>
      </x:c>
      <x:c r="T946" s="51" t="str">
        <x:v>Ownership of the debtor or unanimity among all creditors.</x:v>
      </x:c>
      <x:c r="U946" s="51" t="str">
        <x:v>Committee positions may differ from individual creditor interests.</x:v>
      </x:c>
      <x:c r="V946" s="51" t="str">
        <x:v>Active</x:v>
      </x:c>
      <x:c r="W946" s="51" t="str">
        <x:v>46;57</x:v>
      </x:c>
      <x:c r="X946" s="51" t="str">
        <x:v>2026-07-27</x:v>
      </x:c>
    </x:row>
    <x:row r="947">
      <x:c r="A947" s="51" t="str">
        <x:v>V15BK-009</x:v>
      </x:c>
      <x:c r="B947" s="51" t="str">
        <x:v>Bankruptcy, restructuring and ownership reallocation</x:v>
      </x:c>
      <x:c r="C947" s="51" t="str">
        <x:v>ACT-BANKRUPTCYJUDGES</x:v>
      </x:c>
      <x:c r="D947" s="51" t="str">
        <x:v>Bankruptcy judges</x:v>
      </x:c>
      <x:c r="E947" s="51" t="str">
        <x:v>ACT-JUDGMENTSANDCOURTORDERS</x:v>
      </x:c>
      <x:c r="F947" s="51" t="str">
        <x:v>Judgments and court orders</x:v>
      </x:c>
      <x:c r="G947" s="51" t="str">
        <x:v>Judge → legal decision</x:v>
      </x:c>
      <x:c r="H947" s="51" t="str">
        <x:v>Case-specific</x:v>
      </x:c>
      <x:c r="I947" s="51" t="str">
        <x:v>Financing, sale, confirmation or dismissal order</x:v>
      </x:c>
      <x:c r="J947" s="51" t="str">
        <x:v>INS-324; INS-325; INS-326; INS-327</x:v>
      </x:c>
      <x:c r="K947" s="51" t="str">
        <x:v>Case-specific</x:v>
      </x:c>
      <x:c r="L947" s="51" t="str">
        <x:v>Evidence, statutory tests and objections</x:v>
      </x:c>
      <x:c r="M947" s="51" t="str">
        <x:v>Binding bankruptcy order</x:v>
      </x:c>
      <x:c r="N947" s="51" t="str">
        <x:v>Judicial approval converts negotiated financial terms into enforceable priority and ownership changes</x:v>
      </x:c>
      <x:c r="O947" s="51" t="str">
        <x:v>Legal; financial; enforcement</x:v>
      </x:c>
      <x:c r="P947" s="51" t="str">
        <x:v>E1</x:v>
      </x:c>
      <x:c r="Q947" s="51" t="str">
        <x:v>Very high</x:v>
      </x:c>
      <x:c r="R947" s="51" t="str">
        <x:v>SRC-643; SRC-644</x:v>
      </x:c>
      <x:c r="S947" s="51" t="str">
        <x:v>Bankruptcy courts issue orders governing financing, sales and plans.</x:v>
      </x:c>
      <x:c r="T947" s="51" t="str">
        <x:v>Economic fairness in every case or absence of appeal.</x:v>
      </x:c>
      <x:c r="U947" s="51" t="str">
        <x:v>Statutory standards and appellate review remain relevant.</x:v>
      </x:c>
      <x:c r="V947" s="51" t="str">
        <x:v>Active</x:v>
      </x:c>
      <x:c r="W947" s="51" t="str">
        <x:v>46;57</x:v>
      </x:c>
      <x:c r="X947" s="51" t="str">
        <x:v>2026-07-27</x:v>
      </x:c>
    </x:row>
    <x:row r="948">
      <x:c r="A948" s="51" t="str">
        <x:v>V15BK-010</x:v>
      </x:c>
      <x:c r="B948" s="51" t="str">
        <x:v>Bankruptcy, restructuring and ownership reallocation</x:v>
      </x:c>
      <x:c r="C948" s="51" t="str">
        <x:v>ACT-BANKRUPTCYSALEBUYERS</x:v>
      </x:c>
      <x:c r="D948" s="51" t="str">
        <x:v>Bankruptcy sale buyers</x:v>
      </x:c>
      <x:c r="E948" s="51" t="str">
        <x:v>ACT-BANKRUPTCYESTATE</x:v>
      </x:c>
      <x:c r="F948" s="51" t="str">
        <x:v>Bankruptcy estate</x:v>
      </x:c>
      <x:c r="G948" s="51" t="str">
        <x:v>Buyer → estate</x:v>
      </x:c>
      <x:c r="H948" s="51" t="str">
        <x:v>Court-approved sale</x:v>
      </x:c>
      <x:c r="I948" s="51" t="str">
        <x:v>Asset purchase consideration</x:v>
      </x:c>
      <x:c r="J948" s="51" t="str">
        <x:v>INS-327</x:v>
      </x:c>
      <x:c r="K948" s="51" t="str">
        <x:v>Case-specific</x:v>
      </x:c>
      <x:c r="L948" s="51" t="str">
        <x:v>Cash or other consideration</x:v>
      </x:c>
      <x:c r="M948" s="51" t="str">
        <x:v>Transferred business or assets</x:v>
      </x:c>
      <x:c r="N948" s="51" t="str">
        <x:v>A supervised sale converts distressed assets into cash and new ownership</x:v>
      </x:c>
      <x:c r="O948" s="51" t="str">
        <x:v>Financial; legal; ownership</x:v>
      </x:c>
      <x:c r="P948" s="51" t="str">
        <x:v>E1</x:v>
      </x:c>
      <x:c r="Q948" s="51" t="str">
        <x:v>High</x:v>
      </x:c>
      <x:c r="R948" s="51" t="str">
        <x:v>SRC-643; SRC-644</x:v>
      </x:c>
      <x:c r="S948" s="51" t="str">
        <x:v>Chapter 11 can use court-approved asset sales.</x:v>
      </x:c>
      <x:c r="T948" s="51" t="str">
        <x:v>Automatic transfer free of every liability or proof that sale maximises long-term welfare.</x:v>
      </x:c>
      <x:c r="U948" s="51" t="str">
        <x:v>Sale terms and retained liabilities are order-specific.</x:v>
      </x:c>
      <x:c r="V948" s="51" t="str">
        <x:v>Active</x:v>
      </x:c>
      <x:c r="W948" s="51" t="str">
        <x:v>46;57</x:v>
      </x:c>
      <x:c r="X948" s="51" t="str">
        <x:v>2026-07-27</x:v>
      </x:c>
    </x:row>
    <x:row r="949">
      <x:c r="A949" s="51" t="str">
        <x:v>V15BK-011</x:v>
      </x:c>
      <x:c r="B949" s="51" t="str">
        <x:v>Bankruptcy, restructuring and ownership reallocation</x:v>
      </x:c>
      <x:c r="C949" s="51" t="str">
        <x:v>ACT-USBANKRUPTCYCOURTS</x:v>
      </x:c>
      <x:c r="D949" s="51" t="str">
        <x:v>US Bankruptcy Courts</x:v>
      </x:c>
      <x:c r="E949" s="51" t="str">
        <x:v>ACT-EQUITYHOLDERSINBANKRUPTC</x:v>
      </x:c>
      <x:c r="F949" s="51" t="str">
        <x:v>Equity holders in bankruptcy</x:v>
      </x:c>
      <x:c r="G949" s="51" t="str">
        <x:v>Court and plan → residual claimants</x:v>
      </x:c>
      <x:c r="H949" s="51" t="str">
        <x:v>Plan confirmation or liquidation</x:v>
      </x:c>
      <x:c r="I949" s="51" t="str">
        <x:v>Priority and distribution order</x:v>
      </x:c>
      <x:c r="J949" s="51" t="str">
        <x:v>INS-326</x:v>
      </x:c>
      <x:c r="K949" s="51" t="str">
        <x:v>Case-specific</x:v>
      </x:c>
      <x:c r="L949" s="51" t="str">
        <x:v>Enterprise value after creditor claims</x:v>
      </x:c>
      <x:c r="M949" s="51" t="str">
        <x:v>Retained, diluted, cancelled or redistributed equity</x:v>
      </x:c>
      <x:c r="N949" s="51" t="str">
        <x:v>The priority structure can extinguish old equity and allocate new ownership to creditors or investors</x:v>
      </x:c>
      <x:c r="O949" s="51" t="str">
        <x:v>Financial; legal; ownership</x:v>
      </x:c>
      <x:c r="P949" s="51" t="str">
        <x:v>S1</x:v>
      </x:c>
      <x:c r="Q949" s="51" t="str">
        <x:v>High</x:v>
      </x:c>
      <x:c r="R949" s="51" t="str">
        <x:v>SRC-643; SRC-644; SRC-683</x:v>
      </x:c>
      <x:c r="S949" s="51" t="str">
        <x:v>Equity is generally residual to creditor claims in bankruptcy.</x:v>
      </x:c>
      <x:c r="T949" s="51" t="str">
        <x:v>Automatic cancellation in every case or identical treatment across plans.</x:v>
      </x:c>
      <x:c r="U949" s="51" t="str">
        <x:v>Solvency, negotiation and class treatment determine outcome.</x:v>
      </x:c>
      <x:c r="V949" s="51" t="str">
        <x:v>Active</x:v>
      </x:c>
      <x:c r="W949" s="51" t="str">
        <x:v>46;57</x:v>
      </x:c>
      <x:c r="X949" s="51" t="str">
        <x:v>2026-07-27</x:v>
      </x:c>
    </x:row>
    <x:row r="950">
      <x:c r="A950" s="51" t="str">
        <x:v>V15BK-012</x:v>
      </x:c>
      <x:c r="B950" s="51" t="str">
        <x:v>Bankruptcy, restructuring and ownership reallocation</x:v>
      </x:c>
      <x:c r="C950" s="51" t="str">
        <x:v>ACT-CROSSBORDERINSOLVENCYREP</x:v>
      </x:c>
      <x:c r="D950" s="51" t="str">
        <x:v>Cross-border insolvency representatives</x:v>
      </x:c>
      <x:c r="E950" s="51" t="str">
        <x:v>ACT-USBANKRUPTCYCOURTS</x:v>
      </x:c>
      <x:c r="F950" s="51" t="str">
        <x:v>US Bankruptcy Courts</x:v>
      </x:c>
      <x:c r="G950" s="51" t="str">
        <x:v>Foreign representative → U.S. court</x:v>
      </x:c>
      <x:c r="H950" s="51" t="str">
        <x:v>Case-specific</x:v>
      </x:c>
      <x:c r="I950" s="51" t="str">
        <x:v>Chapter 15 recognition request</x:v>
      </x:c>
      <x:c r="J950" s="51" t="str">
        <x:v>INS-328</x:v>
      </x:c>
      <x:c r="K950" s="51" t="str">
        <x:v>Foreign-proceeding-specific</x:v>
      </x:c>
      <x:c r="L950" s="51" t="str">
        <x:v>Foreign insolvency appointment and proceeding evidence</x:v>
      </x:c>
      <x:c r="M950" s="51" t="str">
        <x:v>Recognition, stay and cooperation relief</x:v>
      </x:c>
      <x:c r="N950" s="51" t="str">
        <x:v>Recognition converts a foreign insolvency office into a legally effective U.S. coordination role</x:v>
      </x:c>
      <x:c r="O950" s="51" t="str">
        <x:v>Legal; geopolitical; financial</x:v>
      </x:c>
      <x:c r="P950" s="51" t="str">
        <x:v>E1</x:v>
      </x:c>
      <x:c r="Q950" s="51" t="str">
        <x:v>Very high</x:v>
      </x:c>
      <x:c r="R950" s="51" t="str">
        <x:v>SRC-645</x:v>
      </x:c>
      <x:c r="S950" s="51" t="str">
        <x:v>Chapter 15 implements cross-border insolvency cooperation in U.S. law.</x:v>
      </x:c>
      <x:c r="T950" s="51" t="str">
        <x:v>Automatic enforcement of every foreign order or surrender of U.S. judicial authority.</x:v>
      </x:c>
      <x:c r="U950" s="51" t="str">
        <x:v>Recognition standards and public-policy limits apply.</x:v>
      </x:c>
      <x:c r="V950" s="51" t="str">
        <x:v>Active</x:v>
      </x:c>
      <x:c r="W950" s="51" t="str">
        <x:v>46;57</x:v>
      </x:c>
      <x:c r="X950" s="51" t="str">
        <x:v>2026-07-27</x:v>
      </x:c>
    </x:row>
    <x:row r="951">
      <x:c r="A951" s="51" t="str">
        <x:v>V15COURT-001</x:v>
      </x:c>
      <x:c r="B951" s="51" t="str">
        <x:v>Public courts, precedent and enforceable remedies</x:v>
      </x:c>
      <x:c r="C951" s="51" t="str">
        <x:v>ACT-JOHNGROBERTSJR</x:v>
      </x:c>
      <x:c r="D951" s="51" t="str">
        <x:v>John G. Roberts Jr.</x:v>
      </x:c>
      <x:c r="E951" s="51" t="str">
        <x:v>ACT-SUPREMECOURTOFTHEUNITEDS</x:v>
      </x:c>
      <x:c r="F951" s="51" t="str">
        <x:v>Supreme Court of the United States</x:v>
      </x:c>
      <x:c r="G951" s="51" t="str">
        <x:v>Chief Justice → Court</x:v>
      </x:c>
      <x:c r="H951" s="51" t="str">
        <x:v>Current 2026</x:v>
      </x:c>
      <x:c r="I951" s="51" t="str">
        <x:v>Chief judicial office</x:v>
      </x:c>
      <x:c r="J951" s="51" t="str">
        <x:v>INS-316</x:v>
      </x:c>
      <x:c r="K951" s="51" t="str">
        <x:v>One Chief Justice among nine Justices</x:v>
      </x:c>
      <x:c r="L951" s="51" t="str">
        <x:v>Constitutional appointment and judicial office</x:v>
      </x:c>
      <x:c r="M951" s="51" t="str">
        <x:v>Participation in merits, administration and emergency matters</x:v>
      </x:c>
      <x:c r="N951" s="51" t="str">
        <x:v>Formal judicial office converts legal argument into binding votes and institutional administration</x:v>
      </x:c>
      <x:c r="O951" s="51" t="str">
        <x:v>Legal; institutional; relational</x:v>
      </x:c>
      <x:c r="P951" s="51" t="str">
        <x:v>E1</x:v>
      </x:c>
      <x:c r="Q951" s="51" t="str">
        <x:v>Very high</x:v>
      </x:c>
      <x:c r="R951" s="51" t="str">
        <x:v>SRC-638; SRC-682</x:v>
      </x:c>
      <x:c r="S951" s="51" t="str">
        <x:v>John G. Roberts Jr. is the current Chief Justice.</x:v>
      </x:c>
      <x:c r="T951" s="51" t="str">
        <x:v>Personal unilateral control of Court outcomes or lower-court compliance in every case.</x:v>
      </x:c>
      <x:c r="U951" s="51" t="str">
        <x:v>The Court acts through cases, votes, jurisdiction and written decisions.</x:v>
      </x:c>
      <x:c r="V951" s="51" t="str">
        <x:v>Active</x:v>
      </x:c>
      <x:c r="W951" s="51" t="str">
        <x:v>46;57</x:v>
      </x:c>
      <x:c r="X951" s="51" t="str">
        <x:v>2026-07-27</x:v>
      </x:c>
    </x:row>
    <x:row r="952">
      <x:c r="A952" s="51" t="str">
        <x:v>V15COURT-002</x:v>
      </x:c>
      <x:c r="B952" s="51" t="str">
        <x:v>Public courts, precedent and enforceable remedies</x:v>
      </x:c>
      <x:c r="C952" s="51" t="str">
        <x:v>ACT-ASSOCIATEJUSTICESOFTHESU</x:v>
      </x:c>
      <x:c r="D952" s="51" t="str">
        <x:v>Associate Justices of the Supreme Court</x:v>
      </x:c>
      <x:c r="E952" s="51" t="str">
        <x:v>ACT-SUPREMECOURTOFTHEUNITEDS</x:v>
      </x:c>
      <x:c r="F952" s="51" t="str">
        <x:v>Supreme Court of the United States</x:v>
      </x:c>
      <x:c r="G952" s="51" t="str">
        <x:v>Justices → Court</x:v>
      </x:c>
      <x:c r="H952" s="51" t="str">
        <x:v>Current 2026</x:v>
      </x:c>
      <x:c r="I952" s="51" t="str">
        <x:v>Merits and emergency adjudication</x:v>
      </x:c>
      <x:c r="J952" s="51" t="str">
        <x:v>INS-316</x:v>
      </x:c>
      <x:c r="K952" s="51" t="str">
        <x:v>Eight Associate Justices</x:v>
      </x:c>
      <x:c r="L952" s="51" t="str">
        <x:v>Legal briefs, record and jurisdiction</x:v>
      </x:c>
      <x:c r="M952" s="51" t="str">
        <x:v>Votes, opinions and orders</x:v>
      </x:c>
      <x:c r="N952" s="51" t="str">
        <x:v>A multimember court converts adversarial legal submissions into precedent and case-specific relief</x:v>
      </x:c>
      <x:c r="O952" s="51" t="str">
        <x:v>Legal; institutional; informational</x:v>
      </x:c>
      <x:c r="P952" s="51" t="str">
        <x:v>E1</x:v>
      </x:c>
      <x:c r="Q952" s="51" t="str">
        <x:v>Very high</x:v>
      </x:c>
      <x:c r="R952" s="51" t="str">
        <x:v>SRC-638; SRC-639</x:v>
      </x:c>
      <x:c r="S952" s="51" t="str">
        <x:v>The current Court consists of one Chief Justice and eight Associate Justices.</x:v>
      </x:c>
      <x:c r="T952" s="51" t="str">
        <x:v>Agreement among all Justices or a political command chain outside adjudication.</x:v>
      </x:c>
      <x:c r="U952" s="51" t="str">
        <x:v>Majorities, concurrences and dissents differ by case.</x:v>
      </x:c>
      <x:c r="V952" s="51" t="str">
        <x:v>Active</x:v>
      </x:c>
      <x:c r="W952" s="51" t="str">
        <x:v>46;57</x:v>
      </x:c>
      <x:c r="X952" s="51" t="str">
        <x:v>2026-07-27</x:v>
      </x:c>
    </x:row>
    <x:row r="953">
      <x:c r="A953" s="51" t="str">
        <x:v>V15COURT-003</x:v>
      </x:c>
      <x:c r="B953" s="51" t="str">
        <x:v>Public courts, precedent and enforceable remedies</x:v>
      </x:c>
      <x:c r="C953" s="51" t="str">
        <x:v>ACT-SUPREMECOURTOFTHEUNITEDS</x:v>
      </x:c>
      <x:c r="D953" s="51" t="str">
        <x:v>Supreme Court of the United States</x:v>
      </x:c>
      <x:c r="E953" s="51" t="str">
        <x:v>ACT-USCOURTSOFAPPEALS</x:v>
      </x:c>
      <x:c r="F953" s="51" t="str">
        <x:v>U.S. courts of appeals</x:v>
      </x:c>
      <x:c r="G953" s="51" t="str">
        <x:v>Apex court → appellate courts</x:v>
      </x:c>
      <x:c r="H953" s="51" t="str">
        <x:v>Ongoing</x:v>
      </x:c>
      <x:c r="I953" s="51" t="str">
        <x:v>Binding precedent and case disposition</x:v>
      </x:c>
      <x:c r="J953" s="51" t="str">
        <x:v>INS-316; INS-318</x:v>
      </x:c>
      <x:c r="K953" s="51" t="str">
        <x:v>Case-specific</x:v>
      </x:c>
      <x:c r="L953" s="51" t="str">
        <x:v>Granted review, briefs and record</x:v>
      </x:c>
      <x:c r="M953" s="51" t="str">
        <x:v>Opinion, judgment or remand</x:v>
      </x:c>
      <x:c r="N953" s="51" t="str">
        <x:v>Apex precedent changes the legal rule applied by lower federal courts</x:v>
      </x:c>
      <x:c r="O953" s="51" t="str">
        <x:v>Legal; institutional; informational</x:v>
      </x:c>
      <x:c r="P953" s="51" t="str">
        <x:v>E1</x:v>
      </x:c>
      <x:c r="Q953" s="51" t="str">
        <x:v>Very high</x:v>
      </x:c>
      <x:c r="R953" s="51" t="str">
        <x:v>SRC-638; SRC-639; SRC-641</x:v>
      </x:c>
      <x:c r="S953" s="51" t="str">
        <x:v>Supreme Court judgments bind lower federal courts within the legal system.</x:v>
      </x:c>
      <x:c r="T953" s="51" t="str">
        <x:v>Automatic resolution of every factual dispute or enforcement without lower-court action.</x:v>
      </x:c>
      <x:c r="U953" s="51" t="str">
        <x:v>Implementation may require remand and further proceedings.</x:v>
      </x:c>
      <x:c r="V953" s="51" t="str">
        <x:v>Active</x:v>
      </x:c>
      <x:c r="W953" s="51" t="str">
        <x:v>46;57</x:v>
      </x:c>
      <x:c r="X953" s="51" t="str">
        <x:v>2026-07-27</x:v>
      </x:c>
    </x:row>
    <x:row r="954">
      <x:c r="A954" s="51" t="str">
        <x:v>V15COURT-004</x:v>
      </x:c>
      <x:c r="B954" s="51" t="str">
        <x:v>Public courts, precedent and enforceable remedies</x:v>
      </x:c>
      <x:c r="C954" s="51" t="str">
        <x:v>ACT-USCOURTSOFAPPEALS</x:v>
      </x:c>
      <x:c r="D954" s="51" t="str">
        <x:v>U.S. courts of appeals</x:v>
      </x:c>
      <x:c r="E954" s="51" t="str">
        <x:v>ACT-USDISTRICTCOURTS</x:v>
      </x:c>
      <x:c r="F954" s="51" t="str">
        <x:v>U.S. district courts</x:v>
      </x:c>
      <x:c r="G954" s="51" t="str">
        <x:v>Appellate courts → trial courts</x:v>
      </x:c>
      <x:c r="H954" s="51" t="str">
        <x:v>Ongoing</x:v>
      </x:c>
      <x:c r="I954" s="51" t="str">
        <x:v>Review, reversal, affirmance and remand</x:v>
      </x:c>
      <x:c r="J954" s="51" t="str">
        <x:v>INS-317; INS-318</x:v>
      </x:c>
      <x:c r="K954" s="51" t="str">
        <x:v>41,824 appellate filings in 2025</x:v>
      </x:c>
      <x:c r="L954" s="51" t="str">
        <x:v>Trial record and appellate arguments</x:v>
      </x:c>
      <x:c r="M954" s="51" t="str">
        <x:v>Binding appellate judgment within circuit</x:v>
      </x:c>
      <x:c r="N954" s="51" t="str">
        <x:v>Appellate review converts alleged legal error into a revised or affirmed trial-court mandate</x:v>
      </x:c>
      <x:c r="O954" s="51" t="str">
        <x:v>Legal; institutional; informational</x:v>
      </x:c>
      <x:c r="P954" s="51" t="str">
        <x:v>E1</x:v>
      </x:c>
      <x:c r="Q954" s="51" t="str">
        <x:v>Very high</x:v>
      </x:c>
      <x:c r="R954" s="51" t="str">
        <x:v>SRC-640; SRC-641</x:v>
      </x:c>
      <x:c r="S954" s="51" t="str">
        <x:v>Federal courts of appeals review district-court judgments and issue mandates.</x:v>
      </x:c>
      <x:c r="T954" s="51" t="str">
        <x:v>Rehearing of all evidence or national precedent identical to Supreme Court precedent.</x:v>
      </x:c>
      <x:c r="U954" s="51" t="str">
        <x:v>Standards of review and circuit boundaries matter.</x:v>
      </x:c>
      <x:c r="V954" s="51" t="str">
        <x:v>Active</x:v>
      </x:c>
      <x:c r="W954" s="51" t="str">
        <x:v>46;57</x:v>
      </x:c>
      <x:c r="X954" s="51" t="str">
        <x:v>2026-07-27</x:v>
      </x:c>
    </x:row>
    <x:row r="955">
      <x:c r="A955" s="51" t="str">
        <x:v>V15COURT-005</x:v>
      </x:c>
      <x:c r="B955" s="51" t="str">
        <x:v>Public courts, precedent and enforceable remedies</x:v>
      </x:c>
      <x:c r="C955" s="51" t="str">
        <x:v>ACT-CIVILLITIGANTS</x:v>
      </x:c>
      <x:c r="D955" s="51" t="str">
        <x:v>Civil litigants</x:v>
      </x:c>
      <x:c r="E955" s="51" t="str">
        <x:v>ACT-LAWFIRMSANDLEGALCOUNSEL</x:v>
      </x:c>
      <x:c r="F955" s="51" t="str">
        <x:v>Law firms and legal counsel</x:v>
      </x:c>
      <x:c r="G955" s="51" t="str">
        <x:v>Client → counsel</x:v>
      </x:c>
      <x:c r="H955" s="51" t="str">
        <x:v>Case-specific</x:v>
      </x:c>
      <x:c r="I955" s="51" t="str">
        <x:v>Representation and legal strategy</x:v>
      </x:c>
      <x:c r="J955" s="51" t="str">
        <x:v>INS-318</x:v>
      </x:c>
      <x:c r="K955" s="51" t="str">
        <x:v>Case-specific fees and engagement terms</x:v>
      </x:c>
      <x:c r="L955" s="51" t="str">
        <x:v>Claims, evidence, resources and objectives</x:v>
      </x:c>
      <x:c r="M955" s="51" t="str">
        <x:v>Pleadings, discovery, argument and settlement strategy</x:v>
      </x:c>
      <x:c r="N955" s="51" t="str">
        <x:v>Professional expertise converts a client's grievance or defence into legally cognisable claims</x:v>
      </x:c>
      <x:c r="O955" s="51" t="str">
        <x:v>Financial; legal; relational</x:v>
      </x:c>
      <x:c r="P955" s="51" t="str">
        <x:v>S1</x:v>
      </x:c>
      <x:c r="Q955" s="51" t="str">
        <x:v>High</x:v>
      </x:c>
      <x:c r="R955" s="51" t="str">
        <x:v>SRC-639; SRC-640; SRC-641</x:v>
      </x:c>
      <x:c r="S955" s="51" t="str">
        <x:v>Counsel represent litigants through formal court procedures.</x:v>
      </x:c>
      <x:c r="T955" s="51" t="str">
        <x:v>Law-firm ownership of the underlying claim or guaranteed litigation success.</x:v>
      </x:c>
      <x:c r="U955" s="51" t="str">
        <x:v>Client authority, ethics rules, insurance and funding contracts vary.</x:v>
      </x:c>
      <x:c r="V955" s="51" t="str">
        <x:v>Active</x:v>
      </x:c>
      <x:c r="W955" s="51" t="str">
        <x:v>46;57</x:v>
      </x:c>
      <x:c r="X955" s="51" t="str">
        <x:v>2026-07-27</x:v>
      </x:c>
    </x:row>
    <x:row r="956">
      <x:c r="A956" s="51" t="str">
        <x:v>V15COURT-006</x:v>
      </x:c>
      <x:c r="B956" s="51" t="str">
        <x:v>Public courts, precedent and enforceable remedies</x:v>
      </x:c>
      <x:c r="C956" s="51" t="str">
        <x:v>ACT-LAWFIRMSANDLEGALCOUNSEL</x:v>
      </x:c>
      <x:c r="D956" s="51" t="str">
        <x:v>Law firms and legal counsel</x:v>
      </x:c>
      <x:c r="E956" s="51" t="str">
        <x:v>ACT-USDISTRICTCOURTS</x:v>
      </x:c>
      <x:c r="F956" s="51" t="str">
        <x:v>U.S. district courts</x:v>
      </x:c>
      <x:c r="G956" s="51" t="str">
        <x:v>Counsel → trial court</x:v>
      </x:c>
      <x:c r="H956" s="51" t="str">
        <x:v>Case-specific</x:v>
      </x:c>
      <x:c r="I956" s="51" t="str">
        <x:v>Pleadings, motions, evidence and advocacy</x:v>
      </x:c>
      <x:c r="J956" s="51" t="str">
        <x:v>INS-318</x:v>
      </x:c>
      <x:c r="K956" s="51" t="str">
        <x:v>303,563 civil filings in district courts in 2025</x:v>
      </x:c>
      <x:c r="L956" s="51" t="str">
        <x:v>Client record and legal argument</x:v>
      </x:c>
      <x:c r="M956" s="51" t="str">
        <x:v>Judicially reviewable case presentation</x:v>
      </x:c>
      <x:c r="N956" s="51" t="str">
        <x:v>Lawyers translate contested events into the procedural forms that courts can adjudicate</x:v>
      </x:c>
      <x:c r="O956" s="51" t="str">
        <x:v>Legal; informational; relational</x:v>
      </x:c>
      <x:c r="P956" s="51" t="str">
        <x:v>E1</x:v>
      </x:c>
      <x:c r="Q956" s="51" t="str">
        <x:v>High</x:v>
      </x:c>
      <x:c r="R956" s="51" t="str">
        <x:v>SRC-639; SRC-640</x:v>
      </x:c>
      <x:c r="S956" s="51" t="str">
        <x:v>Federal civil litigation proceeds through counsel and court rules.</x:v>
      </x:c>
      <x:c r="T956" s="51" t="str">
        <x:v>That advocacy determines the outcome or that all parties have equal resources.</x:v>
      </x:c>
      <x:c r="U956" s="51" t="str">
        <x:v>Judges, juries, evidence and substantive law constrain advocacy.</x:v>
      </x:c>
      <x:c r="V956" s="51" t="str">
        <x:v>Active</x:v>
      </x:c>
      <x:c r="W956" s="51" t="str">
        <x:v>46;57</x:v>
      </x:c>
      <x:c r="X956" s="51" t="str">
        <x:v>2026-07-27</x:v>
      </x:c>
    </x:row>
    <x:row r="957">
      <x:c r="A957" s="51" t="str">
        <x:v>V15COURT-007</x:v>
      </x:c>
      <x:c r="B957" s="51" t="str">
        <x:v>Public courts, precedent and enforceable remedies</x:v>
      </x:c>
      <x:c r="C957" s="51" t="str">
        <x:v>ACT-USDISTRICTCOURTS</x:v>
      </x:c>
      <x:c r="D957" s="51" t="str">
        <x:v>U.S. district courts</x:v>
      </x:c>
      <x:c r="E957" s="51" t="str">
        <x:v>ACT-JUDGMENTSANDCOURTORDERS</x:v>
      </x:c>
      <x:c r="F957" s="51" t="str">
        <x:v>Judgments and court orders</x:v>
      </x:c>
      <x:c r="G957" s="51" t="str">
        <x:v>Trial court → legal decision</x:v>
      </x:c>
      <x:c r="H957" s="51" t="str">
        <x:v>Case-specific</x:v>
      </x:c>
      <x:c r="I957" s="51" t="str">
        <x:v>Injunction, damages, dismissal or declaratory relief</x:v>
      </x:c>
      <x:c r="J957" s="51" t="str">
        <x:v>INS-318</x:v>
      </x:c>
      <x:c r="K957" s="51" t="str">
        <x:v>382,692 total district-court filings in 2025</x:v>
      </x:c>
      <x:c r="L957" s="51" t="str">
        <x:v>Jurisdiction, pleadings, evidence and law</x:v>
      </x:c>
      <x:c r="M957" s="51" t="str">
        <x:v>Enforceable order or judgment</x:v>
      </x:c>
      <x:c r="N957" s="51" t="str">
        <x:v>A court converts allegations and proof into state-backed legal consequences</x:v>
      </x:c>
      <x:c r="O957" s="51" t="str">
        <x:v>Legal; institutional; enforcement</x:v>
      </x:c>
      <x:c r="P957" s="51" t="str">
        <x:v>E1</x:v>
      </x:c>
      <x:c r="Q957" s="51" t="str">
        <x:v>Very high</x:v>
      </x:c>
      <x:c r="R957" s="51" t="str">
        <x:v>SRC-640; SRC-641</x:v>
      </x:c>
      <x:c r="S957" s="51" t="str">
        <x:v>District courts issue case-specific judgments and orders.</x:v>
      </x:c>
      <x:c r="T957" s="51" t="str">
        <x:v>Truth of every allegation at filing or finality before appeal.</x:v>
      </x:c>
      <x:c r="U957" s="51" t="str">
        <x:v>Interim orders and final judgments have different effects.</x:v>
      </x:c>
      <x:c r="V957" s="51" t="str">
        <x:v>Active</x:v>
      </x:c>
      <x:c r="W957" s="51" t="str">
        <x:v>46;57</x:v>
      </x:c>
      <x:c r="X957" s="51" t="str">
        <x:v>2026-07-27</x:v>
      </x:c>
    </x:row>
    <x:row r="958">
      <x:c r="A958" s="51" t="str">
        <x:v>V15COURT-008</x:v>
      </x:c>
      <x:c r="B958" s="51" t="str">
        <x:v>Public courts, precedent and enforceable remedies</x:v>
      </x:c>
      <x:c r="C958" s="51" t="str">
        <x:v>ACT-PLAINTIFFS</x:v>
      </x:c>
      <x:c r="D958" s="51" t="str">
        <x:v>Plaintiffs</x:v>
      </x:c>
      <x:c r="E958" s="51" t="str">
        <x:v>ACT-USDISTRICTCOURTS</x:v>
      </x:c>
      <x:c r="F958" s="51" t="str">
        <x:v>U.S. district courts</x:v>
      </x:c>
      <x:c r="G958" s="51" t="str">
        <x:v>Claimant → court</x:v>
      </x:c>
      <x:c r="H958" s="51" t="str">
        <x:v>Case-specific</x:v>
      </x:c>
      <x:c r="I958" s="51" t="str">
        <x:v>Complaint and request for relief</x:v>
      </x:c>
      <x:c r="J958" s="51" t="str">
        <x:v>INS-318</x:v>
      </x:c>
      <x:c r="K958" s="51" t="str">
        <x:v>Case-specific</x:v>
      </x:c>
      <x:c r="L958" s="51" t="str">
        <x:v>Alleged facts and legal claims</x:v>
      </x:c>
      <x:c r="M958" s="51" t="str">
        <x:v>Filed civil action</x:v>
      </x:c>
      <x:c r="N958" s="51" t="str">
        <x:v>A complaint opens an adjudicative process but does not establish the pleaded facts</x:v>
      </x:c>
      <x:c r="O958" s="51" t="str">
        <x:v>Legal; informational</x:v>
      </x:c>
      <x:c r="P958" s="51" t="str">
        <x:v>E1</x:v>
      </x:c>
      <x:c r="Q958" s="51" t="str">
        <x:v>Very high</x:v>
      </x:c>
      <x:c r="R958" s="51" t="str">
        <x:v>SRC-639; SRC-640</x:v>
      </x:c>
      <x:c r="S958" s="51" t="str">
        <x:v>Plaintiffs initiate civil actions by filing claims under court rules.</x:v>
      </x:c>
      <x:c r="T958" s="51" t="str">
        <x:v>Liability, damages or factual truth.</x:v>
      </x:c>
      <x:c r="U958" s="51" t="str">
        <x:v>Claims may be dismissed, settled or disproved.</x:v>
      </x:c>
      <x:c r="V958" s="51" t="str">
        <x:v>Active</x:v>
      </x:c>
      <x:c r="W958" s="51" t="str">
        <x:v>46;57</x:v>
      </x:c>
      <x:c r="X958" s="51" t="str">
        <x:v>2026-07-27</x:v>
      </x:c>
    </x:row>
    <x:row r="959">
      <x:c r="A959" s="51" t="str">
        <x:v>V15COURT-009</x:v>
      </x:c>
      <x:c r="B959" s="51" t="str">
        <x:v>Public courts, precedent and enforceable remedies</x:v>
      </x:c>
      <x:c r="C959" s="51" t="str">
        <x:v>ACT-DEFENDANTS</x:v>
      </x:c>
      <x:c r="D959" s="51" t="str">
        <x:v>Defendants</x:v>
      </x:c>
      <x:c r="E959" s="51" t="str">
        <x:v>ACT-USDISTRICTCOURTS</x:v>
      </x:c>
      <x:c r="F959" s="51" t="str">
        <x:v>U.S. district courts</x:v>
      </x:c>
      <x:c r="G959" s="51" t="str">
        <x:v>Respondent → court</x:v>
      </x:c>
      <x:c r="H959" s="51" t="str">
        <x:v>Case-specific</x:v>
      </x:c>
      <x:c r="I959" s="51" t="str">
        <x:v>Answer, motion and counterclaim</x:v>
      </x:c>
      <x:c r="J959" s="51" t="str">
        <x:v>INS-318</x:v>
      </x:c>
      <x:c r="K959" s="51" t="str">
        <x:v>Case-specific</x:v>
      </x:c>
      <x:c r="L959" s="51" t="str">
        <x:v>Defences, objections and counterclaims</x:v>
      </x:c>
      <x:c r="M959" s="51" t="str">
        <x:v>Contested record and procedural response</x:v>
      </x:c>
      <x:c r="N959" s="51" t="str">
        <x:v>Adversarial procedure supplies competing evidence and legal theories</x:v>
      </x:c>
      <x:c r="O959" s="51" t="str">
        <x:v>Legal; informational</x:v>
      </x:c>
      <x:c r="P959" s="51" t="str">
        <x:v>E1</x:v>
      </x:c>
      <x:c r="Q959" s="51" t="str">
        <x:v>High</x:v>
      </x:c>
      <x:c r="R959" s="51" t="str">
        <x:v>SRC-639; SRC-640</x:v>
      </x:c>
      <x:c r="S959" s="51" t="str">
        <x:v>Defendants may contest claims through formal procedures.</x:v>
      </x:c>
      <x:c r="T959" s="51" t="str">
        <x:v>That denial disproves the claim or that procedural victory establishes innocence in every sense.</x:v>
      </x:c>
      <x:c r="U959" s="51" t="str">
        <x:v>Burden of proof and claim type determine consequences.</x:v>
      </x:c>
      <x:c r="V959" s="51" t="str">
        <x:v>Active</x:v>
      </x:c>
      <x:c r="W959" s="51" t="str">
        <x:v>46;57</x:v>
      </x:c>
      <x:c r="X959" s="51" t="str">
        <x:v>2026-07-27</x:v>
      </x:c>
    </x:row>
    <x:row r="960">
      <x:c r="A960" s="51" t="str">
        <x:v>V15IP-001</x:v>
      </x:c>
      <x:c r="B960" s="51" t="str">
        <x:v>Patent grants, licensing and border exclusion</x:v>
      </x:c>
      <x:c r="C960" s="51" t="str">
        <x:v>ACT-DARENTANG</x:v>
      </x:c>
      <x:c r="D960" s="51" t="str">
        <x:v>Daren Tang</x:v>
      </x:c>
      <x:c r="E960" s="51" t="str">
        <x:v>ACT-WORLDINTELLECTUALPROPERT</x:v>
      </x:c>
      <x:c r="F960" s="51" t="str">
        <x:v>World Intellectual Property Organization</x:v>
      </x:c>
      <x:c r="G960" s="51" t="str">
        <x:v>Director General → organisation</x:v>
      </x:c>
      <x:c r="H960" s="51" t="str">
        <x:v>Current 2026</x:v>
      </x:c>
      <x:c r="I960" s="51" t="str">
        <x:v>Executive leadership</x:v>
      </x:c>
      <x:c r="J960" s="51" t="str">
        <x:v>INS-330; INS-332</x:v>
      </x:c>
      <x:c r="K960" s="51" t="str">
        <x:v>Second term appointed to begin October 1, 2026</x:v>
      </x:c>
      <x:c r="L960" s="51" t="str">
        <x:v>Member-state appointment and institutional mandate</x:v>
      </x:c>
      <x:c r="M960" s="51" t="str">
        <x:v>Leadership over WIPO systems and policy</x:v>
      </x:c>
      <x:c r="N960" s="51" t="str">
        <x:v>Executive authority coordinates international filing and policy infrastructure without granting national patents</x:v>
      </x:c>
      <x:c r="O960" s="51" t="str">
        <x:v>Institutional; legal; relational</x:v>
      </x:c>
      <x:c r="P960" s="51" t="str">
        <x:v>E1</x:v>
      </x:c>
      <x:c r="Q960" s="51" t="str">
        <x:v>Very high</x:v>
      </x:c>
      <x:c r="R960" s="51" t="str">
        <x:v>SRC-664</x:v>
      </x:c>
      <x:c r="S960" s="51" t="str">
        <x:v>Daren Tang is WIPO Director General and was reappointed for a second term.</x:v>
      </x:c>
      <x:c r="T960" s="51" t="str">
        <x:v>Authority to grant national patents or decide national infringement cases.</x:v>
      </x:c>
      <x:c r="U960" s="51" t="str">
        <x:v>Member states and national offices retain territorial authority.</x:v>
      </x:c>
      <x:c r="V960" s="51" t="str">
        <x:v>Active</x:v>
      </x:c>
      <x:c r="W960" s="51" t="str">
        <x:v>46;57</x:v>
      </x:c>
      <x:c r="X960" s="51" t="str">
        <x:v>2026-07-27</x:v>
      </x:c>
    </x:row>
    <x:row r="961">
      <x:c r="A961" s="51" t="str">
        <x:v>V15IP-002</x:v>
      </x:c>
      <x:c r="B961" s="51" t="str">
        <x:v>Patent grants, licensing and border exclusion</x:v>
      </x:c>
      <x:c r="C961" s="51" t="str">
        <x:v>ACT-PATENTAPPLICANTSANDASSIG</x:v>
      </x:c>
      <x:c r="D961" s="51" t="str">
        <x:v>Patent applicants and assignees</x:v>
      </x:c>
      <x:c r="E961" s="51" t="str">
        <x:v>ACT-WORLDINTELLECTUALPROPERT</x:v>
      </x:c>
      <x:c r="F961" s="51" t="str">
        <x:v>World Intellectual Property Organization</x:v>
      </x:c>
      <x:c r="G961" s="51" t="str">
        <x:v>Applicant → international system</x:v>
      </x:c>
      <x:c r="H961" s="51" t="str">
        <x:v>Application cycle</x:v>
      </x:c>
      <x:c r="I961" s="51" t="str">
        <x:v>PCT filing</x:v>
      </x:c>
      <x:c r="J961" s="51" t="str">
        <x:v>INS-332</x:v>
      </x:c>
      <x:c r="K961" s="51" t="str">
        <x:v>275,900 PCT applications in 2025</x:v>
      </x:c>
      <x:c r="L961" s="51" t="str">
        <x:v>Invention disclosure and filing fees</x:v>
      </x:c>
      <x:c r="M961" s="51" t="str">
        <x:v>International application and search process</x:v>
      </x:c>
      <x:c r="N961" s="51" t="str">
        <x:v>The PCT route delays and coordinates national filing decisions without creating a global patent</x:v>
      </x:c>
      <x:c r="O961" s="51" t="str">
        <x:v>Legal; financial; informational</x:v>
      </x:c>
      <x:c r="P961" s="51" t="str">
        <x:v>E1</x:v>
      </x:c>
      <x:c r="Q961" s="51" t="str">
        <x:v>Very high</x:v>
      </x:c>
      <x:c r="R961" s="51" t="str">
        <x:v>SRC-663; SRC-664</x:v>
      </x:c>
      <x:c r="S961" s="51" t="str">
        <x:v>WIPO administers the PCT international filing route.</x:v>
      </x:c>
      <x:c r="T961" s="51" t="str">
        <x:v>A unitary worldwide patent or guaranteed grant in national phases.</x:v>
      </x:c>
      <x:c r="U961" s="51" t="str">
        <x:v>National and regional offices decide patentability.</x:v>
      </x:c>
      <x:c r="V961" s="51" t="str">
        <x:v>Active</x:v>
      </x:c>
      <x:c r="W961" s="51" t="str">
        <x:v>46;57</x:v>
      </x:c>
      <x:c r="X961" s="51" t="str">
        <x:v>2026-07-27</x:v>
      </x:c>
    </x:row>
    <x:row r="962">
      <x:c r="A962" s="51" t="str">
        <x:v>V15IP-003</x:v>
      </x:c>
      <x:c r="B962" s="51" t="str">
        <x:v>Patent grants, licensing and border exclusion</x:v>
      </x:c>
      <x:c r="C962" s="51" t="str">
        <x:v>ACT-WORLDINTELLECTUALPROPERT</x:v>
      </x:c>
      <x:c r="D962" s="51" t="str">
        <x:v>World Intellectual Property Organization</x:v>
      </x:c>
      <x:c r="E962" s="51" t="str">
        <x:v>ACT-PATENTOFFICES</x:v>
      </x:c>
      <x:c r="F962" s="51" t="str">
        <x:v>Patent offices</x:v>
      </x:c>
      <x:c r="G962" s="51" t="str">
        <x:v>International organisation → national offices</x:v>
      </x:c>
      <x:c r="H962" s="51" t="str">
        <x:v>Ongoing</x:v>
      </x:c>
      <x:c r="I962" s="51" t="str">
        <x:v>Treaties, data and filing coordination</x:v>
      </x:c>
      <x:c r="J962" s="51" t="str">
        <x:v>INS-330; INS-332</x:v>
      </x:c>
      <x:c r="K962" s="51" t="str">
        <x:v>Global network</x:v>
      </x:c>
      <x:c r="L962" s="51" t="str">
        <x:v>International filing data and treaty procedures</x:v>
      </x:c>
      <x:c r="M962" s="51" t="str">
        <x:v>National-phase applications and harmonised information</x:v>
      </x:c>
      <x:c r="N962" s="51" t="str">
        <x:v>WIPO creates interoperability among territorial IP systems without replacing them</x:v>
      </x:c>
      <x:c r="O962" s="51" t="str">
        <x:v>Institutional; informational; geopolitical</x:v>
      </x:c>
      <x:c r="P962" s="51" t="str">
        <x:v>E1</x:v>
      </x:c>
      <x:c r="Q962" s="51" t="str">
        <x:v>Very high</x:v>
      </x:c>
      <x:c r="R962" s="51" t="str">
        <x:v>SRC-661; SRC-663; SRC-687</x:v>
      </x:c>
      <x:c r="S962" s="51" t="str">
        <x:v>WIPO coordinates international systems and publishes global IP statistics.</x:v>
      </x:c>
      <x:c r="T962" s="51" t="str">
        <x:v>Power to compel identical national substantive law.</x:v>
      </x:c>
      <x:c r="U962" s="51" t="str">
        <x:v>National sovereignty and regional systems remain distinct.</x:v>
      </x:c>
      <x:c r="V962" s="51" t="str">
        <x:v>Active</x:v>
      </x:c>
      <x:c r="W962" s="51" t="str">
        <x:v>46;57</x:v>
      </x:c>
      <x:c r="X962" s="51" t="str">
        <x:v>2026-07-27</x:v>
      </x:c>
    </x:row>
    <x:row r="963">
      <x:c r="A963" s="51" t="str">
        <x:v>V15IP-004</x:v>
      </x:c>
      <x:c r="B963" s="51" t="str">
        <x:v>Patent grants, licensing and border exclusion</x:v>
      </x:c>
      <x:c r="C963" s="51" t="str">
        <x:v>ACT-JOHNASQUIRES</x:v>
      </x:c>
      <x:c r="D963" s="51" t="str">
        <x:v>John A. Squires</x:v>
      </x:c>
      <x:c r="E963" s="51" t="str">
        <x:v>ACT-UNITEDSTATESPATENTANDTRA</x:v>
      </x:c>
      <x:c r="F963" s="51" t="str">
        <x:v>United States Patent and Trademark Office</x:v>
      </x:c>
      <x:c r="G963" s="51" t="str">
        <x:v>Director → agency</x:v>
      </x:c>
      <x:c r="H963" s="51" t="str">
        <x:v>Current 2026</x:v>
      </x:c>
      <x:c r="I963" s="51" t="str">
        <x:v>Under Secretary and USPTO Director role</x:v>
      </x:c>
      <x:c r="J963" s="51" t="str">
        <x:v>INS-331</x:v>
      </x:c>
      <x:c r="K963" s="51" t="str">
        <x:v>Formal executive office</x:v>
      </x:c>
      <x:c r="L963" s="51" t="str">
        <x:v>Presidential appointment and statutory authority</x:v>
      </x:c>
      <x:c r="M963" s="51" t="str">
        <x:v>Agency policy, management and IP advice</x:v>
      </x:c>
      <x:c r="N963" s="51" t="str">
        <x:v>Agency leadership converts political and legal priorities into examination and administrative policy</x:v>
      </x:c>
      <x:c r="O963" s="51" t="str">
        <x:v>Institutional; legal; relational</x:v>
      </x:c>
      <x:c r="P963" s="51" t="str">
        <x:v>E1</x:v>
      </x:c>
      <x:c r="Q963" s="51" t="str">
        <x:v>Very high</x:v>
      </x:c>
      <x:c r="R963" s="51" t="str">
        <x:v>SRC-667; SRC-668</x:v>
      </x:c>
      <x:c r="S963" s="51" t="str">
        <x:v>John A. Squires is the current USPTO Director.</x:v>
      </x:c>
      <x:c r="T963" s="51" t="str">
        <x:v>Personal grant or cancellation of every patent outside statutory procedure.</x:v>
      </x:c>
      <x:c r="U963" s="51" t="str">
        <x:v>Examiners, tribunals, courts and statutes constrain authority.</x:v>
      </x:c>
      <x:c r="V963" s="51" t="str">
        <x:v>Active</x:v>
      </x:c>
      <x:c r="W963" s="51" t="str">
        <x:v>46;57</x:v>
      </x:c>
      <x:c r="X963" s="51" t="str">
        <x:v>2026-07-27</x:v>
      </x:c>
    </x:row>
    <x:row r="964">
      <x:c r="A964" s="51" t="str">
        <x:v>V15IP-005</x:v>
      </x:c>
      <x:c r="B964" s="51" t="str">
        <x:v>Patent grants, licensing and border exclusion</x:v>
      </x:c>
      <x:c r="C964" s="51" t="str">
        <x:v>ACT-PATENTAPPLICANTSANDASSIG</x:v>
      </x:c>
      <x:c r="D964" s="51" t="str">
        <x:v>Patent applicants and assignees</x:v>
      </x:c>
      <x:c r="E964" s="51" t="str">
        <x:v>ACT-UNITEDSTATESPATENTANDTRA</x:v>
      </x:c>
      <x:c r="F964" s="51" t="str">
        <x:v>United States Patent and Trademark Office</x:v>
      </x:c>
      <x:c r="G964" s="51" t="str">
        <x:v>Applicant → office</x:v>
      </x:c>
      <x:c r="H964" s="51" t="str">
        <x:v>Application cycle</x:v>
      </x:c>
      <x:c r="I964" s="51" t="str">
        <x:v>Patent or trademark application</x:v>
      </x:c>
      <x:c r="J964" s="51" t="str">
        <x:v>INS-331</x:v>
      </x:c>
      <x:c r="K964" s="51" t="str">
        <x:v>Application-specific</x:v>
      </x:c>
      <x:c r="L964" s="51" t="str">
        <x:v>Disclosure, claims, fees and evidence</x:v>
      </x:c>
      <x:c r="M964" s="51" t="str">
        <x:v>Examination record</x:v>
      </x:c>
      <x:c r="N964" s="51" t="str">
        <x:v>Filing converts private knowledge into a public claim for territorial exclusivity</x:v>
      </x:c>
      <x:c r="O964" s="51" t="str">
        <x:v>Legal; informational; financial</x:v>
      </x:c>
      <x:c r="P964" s="51" t="str">
        <x:v>E1</x:v>
      </x:c>
      <x:c r="Q964" s="51" t="str">
        <x:v>Very high</x:v>
      </x:c>
      <x:c r="R964" s="51" t="str">
        <x:v>SRC-665; SRC-666</x:v>
      </x:c>
      <x:c r="S964" s="51" t="str">
        <x:v>USPTO receives and examines patent and trademark applications.</x:v>
      </x:c>
      <x:c r="T964" s="51" t="str">
        <x:v>Validity, commercial value or freedom to operate at filing.</x:v>
      </x:c>
      <x:c r="U964" s="51" t="str">
        <x:v>Rights depend on examination, maintenance and later challenge.</x:v>
      </x:c>
      <x:c r="V964" s="51" t="str">
        <x:v>Active</x:v>
      </x:c>
      <x:c r="W964" s="51" t="str">
        <x:v>46;57</x:v>
      </x:c>
      <x:c r="X964" s="51" t="str">
        <x:v>2026-07-27</x:v>
      </x:c>
    </x:row>
    <x:row r="965">
      <x:c r="A965" s="51" t="str">
        <x:v>V15IP-006</x:v>
      </x:c>
      <x:c r="B965" s="51" t="str">
        <x:v>Patent grants, licensing and border exclusion</x:v>
      </x:c>
      <x:c r="C965" s="51" t="str">
        <x:v>ACT-PATENTEXAMINERS</x:v>
      </x:c>
      <x:c r="D965" s="51" t="str">
        <x:v>Patent examiners</x:v>
      </x:c>
      <x:c r="E965" s="51" t="str">
        <x:v>ACT-PATENTAPPLICANTSANDASSIG</x:v>
      </x:c>
      <x:c r="F965" s="51" t="str">
        <x:v>Patent applicants and assignees</x:v>
      </x:c>
      <x:c r="G965" s="51" t="str">
        <x:v>Examiner → applicant</x:v>
      </x:c>
      <x:c r="H965" s="51" t="str">
        <x:v>Examination cycle</x:v>
      </x:c>
      <x:c r="I965" s="51" t="str">
        <x:v>Office action and allowance or rejection</x:v>
      </x:c>
      <x:c r="J965" s="51" t="str">
        <x:v>INS-331</x:v>
      </x:c>
      <x:c r="K965" s="51" t="str">
        <x:v>Application-specific</x:v>
      </x:c>
      <x:c r="L965" s="51" t="str">
        <x:v>Prior art and statutory criteria</x:v>
      </x:c>
      <x:c r="M965" s="51" t="str">
        <x:v>Rejection, amendment or allowed claims</x:v>
      </x:c>
      <x:c r="N965" s="51" t="str">
        <x:v>Public examination converts broad private claims into bounded, reviewable legal rights</x:v>
      </x:c>
      <x:c r="O965" s="51" t="str">
        <x:v>Legal; informational; institutional</x:v>
      </x:c>
      <x:c r="P965" s="51" t="str">
        <x:v>E1</x:v>
      </x:c>
      <x:c r="Q965" s="51" t="str">
        <x:v>High</x:v>
      </x:c>
      <x:c r="R965" s="51" t="str">
        <x:v>SRC-665; SRC-667</x:v>
      </x:c>
      <x:c r="S965" s="51" t="str">
        <x:v>Patent examiners evaluate applications under law and agency procedure.</x:v>
      </x:c>
      <x:c r="T965" s="51" t="str">
        <x:v>Final validity against all future evidence or guaranteed enforceability.</x:v>
      </x:c>
      <x:c r="U965" s="51" t="str">
        <x:v>Administrative and judicial review remain available.</x:v>
      </x:c>
      <x:c r="V965" s="51" t="str">
        <x:v>Active</x:v>
      </x:c>
      <x:c r="W965" s="51" t="str">
        <x:v>46;57</x:v>
      </x:c>
      <x:c r="X965" s="51" t="str">
        <x:v>2026-07-27</x:v>
      </x:c>
    </x:row>
    <x:row r="966">
      <x:c r="A966" s="51" t="str">
        <x:v>V15IP-007</x:v>
      </x:c>
      <x:c r="B966" s="51" t="str">
        <x:v>Patent grants, licensing and border exclusion</x:v>
      </x:c>
      <x:c r="C966" s="51" t="str">
        <x:v>ACT-UNITEDSTATESPATENTANDTRA</x:v>
      </x:c>
      <x:c r="D966" s="51" t="str">
        <x:v>United States Patent and Trademark Office</x:v>
      </x:c>
      <x:c r="E966" s="51" t="str">
        <x:v>ACT-PATENTHOLDERS</x:v>
      </x:c>
      <x:c r="F966" s="51" t="str">
        <x:v>Patent holders</x:v>
      </x:c>
      <x:c r="G966" s="51" t="str">
        <x:v>Office → rights holder</x:v>
      </x:c>
      <x:c r="H966" s="51" t="str">
        <x:v>After examination</x:v>
      </x:c>
      <x:c r="I966" s="51" t="str">
        <x:v>Patent grant</x:v>
      </x:c>
      <x:c r="J966" s="51" t="str">
        <x:v>INS-331</x:v>
      </x:c>
      <x:c r="K966" s="51" t="str">
        <x:v>Territorial and time-limited</x:v>
      </x:c>
      <x:c r="L966" s="51" t="str">
        <x:v>Allowed claims and issue fees</x:v>
      </x:c>
      <x:c r="M966" s="51" t="str">
        <x:v>Presumptive exclusionary right</x:v>
      </x:c>
      <x:c r="N966" s="51" t="str">
        <x:v>A patent grant converts an examined disclosure into a legal right to exclude, not an affirmative licence to operate</x:v>
      </x:c>
      <x:c r="O966" s="51" t="str">
        <x:v>Legal; ownership; financial</x:v>
      </x:c>
      <x:c r="P966" s="51" t="str">
        <x:v>E1</x:v>
      </x:c>
      <x:c r="Q966" s="51" t="str">
        <x:v>Very high</x:v>
      </x:c>
      <x:c r="R966" s="51" t="str">
        <x:v>SRC-665; SRC-667</x:v>
      </x:c>
      <x:c r="S966" s="51" t="str">
        <x:v>USPTO grants U.S. patents after examination.</x:v>
      </x:c>
      <x:c r="T966" s="51" t="str">
        <x:v>Commercial success, non-infringement of others' rights or unchallengeable validity.</x:v>
      </x:c>
      <x:c r="U966" s="51" t="str">
        <x:v>Patents are territorial and subject to challenge and expiration.</x:v>
      </x:c>
      <x:c r="V966" s="51" t="str">
        <x:v>Active</x:v>
      </x:c>
      <x:c r="W966" s="51" t="str">
        <x:v>46;57</x:v>
      </x:c>
      <x:c r="X966" s="51" t="str">
        <x:v>2026-07-27</x:v>
      </x:c>
    </x:row>
    <x:row r="967">
      <x:c r="A967" s="51" t="str">
        <x:v>V15IP-008</x:v>
      </x:c>
      <x:c r="B967" s="51" t="str">
        <x:v>Patent grants, licensing and border exclusion</x:v>
      </x:c>
      <x:c r="C967" s="51" t="str">
        <x:v>ACT-PATENTHOLDERS</x:v>
      </x:c>
      <x:c r="D967" s="51" t="str">
        <x:v>Patent holders</x:v>
      </x:c>
      <x:c r="E967" s="51" t="str">
        <x:v>ACT-PATENTLICENSEESANDTECHNO</x:v>
      </x:c>
      <x:c r="F967" s="51" t="str">
        <x:v>Patent licensees and technology implementers</x:v>
      </x:c>
      <x:c r="G967" s="51" t="str">
        <x:v>Rights holder → user</x:v>
      </x:c>
      <x:c r="H967" s="51" t="str">
        <x:v>Contract term</x:v>
      </x:c>
      <x:c r="I967" s="51" t="str">
        <x:v>Patent licence or settlement</x:v>
      </x:c>
      <x:c r="J967" s="51" t="str">
        <x:v>INS-330; INS-331</x:v>
      </x:c>
      <x:c r="K967" s="51" t="str">
        <x:v>Royalty- and field-specific</x:v>
      </x:c>
      <x:c r="L967" s="51" t="str">
        <x:v>Exclusionary rights and negotiated access</x:v>
      </x:c>
      <x:c r="M967" s="51" t="str">
        <x:v>Authorised technology use</x:v>
      </x:c>
      <x:c r="N967" s="51" t="str">
        <x:v>Licensing converts a right to exclude into a revenue stream and operating permission</x:v>
      </x:c>
      <x:c r="O967" s="51" t="str">
        <x:v>Financial; legal; ownership</x:v>
      </x:c>
      <x:c r="P967" s="51" t="str">
        <x:v>S1</x:v>
      </x:c>
      <x:c r="Q967" s="51" t="str">
        <x:v>High</x:v>
      </x:c>
      <x:c r="R967" s="51" t="str">
        <x:v>SRC-661; SRC-665</x:v>
      </x:c>
      <x:c r="S967" s="51" t="str">
        <x:v>Patent rights can be licensed to commercial users.</x:v>
      </x:c>
      <x:c r="T967" s="51" t="str">
        <x:v>Patent validity, market power or fair pricing in every licence.</x:v>
      </x:c>
      <x:c r="U967" s="51" t="str">
        <x:v>Terms depend on bargaining power, substitutes and legal risk.</x:v>
      </x:c>
      <x:c r="V967" s="51" t="str">
        <x:v>Active</x:v>
      </x:c>
      <x:c r="W967" s="51" t="str">
        <x:v>46;57</x:v>
      </x:c>
      <x:c r="X967" s="51" t="str">
        <x:v>2026-07-27</x:v>
      </x:c>
    </x:row>
    <x:row r="968">
      <x:c r="A968" s="51" t="str">
        <x:v>V15IP-009</x:v>
      </x:c>
      <x:c r="B968" s="51" t="str">
        <x:v>Patent grants, licensing and border exclusion</x:v>
      </x:c>
      <x:c r="C968" s="51" t="str">
        <x:v>ACT-DOMESTICINDUSTRIESASSERT</x:v>
      </x:c>
      <x:c r="D968" s="51" t="str">
        <x:v>Domestic industries asserting Section 337 rights</x:v>
      </x:c>
      <x:c r="E968" s="51" t="str">
        <x:v>ACT-USINTERNATIONALTRADECOMM</x:v>
      </x:c>
      <x:c r="F968" s="51" t="str">
        <x:v>U.S. International Trade Commission</x:v>
      </x:c>
      <x:c r="G968" s="51" t="str">
        <x:v>Complainant → agency</x:v>
      </x:c>
      <x:c r="H968" s="51" t="str">
        <x:v>Investigation-specific</x:v>
      </x:c>
      <x:c r="I968" s="51" t="str">
        <x:v>Section 337 complaint</x:v>
      </x:c>
      <x:c r="J968" s="51" t="str">
        <x:v>INS-333</x:v>
      </x:c>
      <x:c r="K968" s="51" t="str">
        <x:v>Technology- and import-specific</x:v>
      </x:c>
      <x:c r="L968" s="51" t="str">
        <x:v>Domestic-industry evidence and alleged unfair importation</x:v>
      </x:c>
      <x:c r="M968" s="51" t="str">
        <x:v>Instituted investigation</x:v>
      </x:c>
      <x:c r="N968" s="51" t="str">
        <x:v>Section 337 converts IP and trade claims into a specialised import-remedy proceeding</x:v>
      </x:c>
      <x:c r="O968" s="51" t="str">
        <x:v>Legal; trade; financial</x:v>
      </x:c>
      <x:c r="P968" s="51" t="str">
        <x:v>E1</x:v>
      </x:c>
      <x:c r="Q968" s="51" t="str">
        <x:v>Very high</x:v>
      </x:c>
      <x:c r="R968" s="51" t="str">
        <x:v>SRC-670; SRC-671; SRC-679</x:v>
      </x:c>
      <x:c r="S968" s="51" t="str">
        <x:v>USITC institutes investigations based on complaints alleging unfair imports or IP infringement.</x:v>
      </x:c>
      <x:c r="T968" s="51" t="str">
        <x:v>Infringement or entitlement to exclusion at institution.</x:v>
      </x:c>
      <x:c r="U968" s="51" t="str">
        <x:v>The Commission adjudicates liability and remedy.</x:v>
      </x:c>
      <x:c r="V968" s="51" t="str">
        <x:v>Active</x:v>
      </x:c>
      <x:c r="W968" s="51" t="str">
        <x:v>46;57</x:v>
      </x:c>
      <x:c r="X968" s="51" t="str">
        <x:v>2026-07-27</x:v>
      </x:c>
    </x:row>
    <x:row r="969">
      <x:c r="A969" s="51" t="str">
        <x:v>V15IP-010</x:v>
      </x:c>
      <x:c r="B969" s="51" t="str">
        <x:v>Patent grants, licensing and border exclusion</x:v>
      </x:c>
      <x:c r="C969" s="51" t="str">
        <x:v>ACT-IMPORTERSANDRESPONDENTSI</x:v>
      </x:c>
      <x:c r="D969" s="51" t="str">
        <x:v>Importers and respondents in Section 337 cases</x:v>
      </x:c>
      <x:c r="E969" s="51" t="str">
        <x:v>ACT-USINTERNATIONALTRADECOMM</x:v>
      </x:c>
      <x:c r="F969" s="51" t="str">
        <x:v>U.S. International Trade Commission</x:v>
      </x:c>
      <x:c r="G969" s="51" t="str">
        <x:v>Respondent → agency</x:v>
      </x:c>
      <x:c r="H969" s="51" t="str">
        <x:v>Investigation-specific</x:v>
      </x:c>
      <x:c r="I969" s="51" t="str">
        <x:v>Defence in Section 337 proceeding</x:v>
      </x:c>
      <x:c r="J969" s="51" t="str">
        <x:v>INS-333</x:v>
      </x:c>
      <x:c r="K969" s="51" t="str">
        <x:v>Case-specific</x:v>
      </x:c>
      <x:c r="L969" s="51" t="str">
        <x:v>Non-infringement, invalidity, domestic-industry and public-interest arguments</x:v>
      </x:c>
      <x:c r="M969" s="51" t="str">
        <x:v>Contested adjudicative record</x:v>
      </x:c>
      <x:c r="N969" s="51" t="str">
        <x:v>Respondent participation creates an adversarial record before border remedies issue</x:v>
      </x:c>
      <x:c r="O969" s="51" t="str">
        <x:v>Legal; trade; informational</x:v>
      </x:c>
      <x:c r="P969" s="51" t="str">
        <x:v>E1</x:v>
      </x:c>
      <x:c r="Q969" s="51" t="str">
        <x:v>High</x:v>
      </x:c>
      <x:c r="R969" s="51" t="str">
        <x:v>SRC-670; SRC-679</x:v>
      </x:c>
      <x:c r="S969" s="51" t="str">
        <x:v>Section 337 respondents may contest complaints and remedies.</x:v>
      </x:c>
      <x:c r="T969" s="51" t="str">
        <x:v>That every respondent is an infringer or that the patent is valid in all forums.</x:v>
      </x:c>
      <x:c r="U969" s="51" t="str">
        <x:v>USITC and district-court proceedings can differ in remedy and timing.</x:v>
      </x:c>
      <x:c r="V969" s="51" t="str">
        <x:v>Active</x:v>
      </x:c>
      <x:c r="W969" s="51" t="str">
        <x:v>46;57</x:v>
      </x:c>
      <x:c r="X969" s="51" t="str">
        <x:v>2026-07-27</x:v>
      </x:c>
    </x:row>
    <x:row r="970">
      <x:c r="A970" s="51" t="str">
        <x:v>V15IP-011</x:v>
      </x:c>
      <x:c r="B970" s="51" t="str">
        <x:v>Patent grants, licensing and border exclusion</x:v>
      </x:c>
      <x:c r="C970" s="51" t="str">
        <x:v>ACT-USINTERNATIONALTRADECOMM</x:v>
      </x:c>
      <x:c r="D970" s="51" t="str">
        <x:v>U.S. International Trade Commission</x:v>
      </x:c>
      <x:c r="E970" s="51" t="str">
        <x:v>ACT-USCUSTOMSANDBORDERPROTEC</x:v>
      </x:c>
      <x:c r="F970" s="51" t="str">
        <x:v>U.S. Customs and Border Protection</x:v>
      </x:c>
      <x:c r="G970" s="51" t="str">
        <x:v>Agency → border enforcer</x:v>
      </x:c>
      <x:c r="H970" s="51" t="str">
        <x:v>After violation finding</x:v>
      </x:c>
      <x:c r="I970" s="51" t="str">
        <x:v>Exclusion order</x:v>
      </x:c>
      <x:c r="J970" s="51" t="str">
        <x:v>INS-333</x:v>
      </x:c>
      <x:c r="K970" s="51" t="str">
        <x:v>Limited or general exclusion order</x:v>
      </x:c>
      <x:c r="L970" s="51" t="str">
        <x:v>Commission determination and remedial order</x:v>
      </x:c>
      <x:c r="M970" s="51" t="str">
        <x:v>Border exclusion instruction</x:v>
      </x:c>
      <x:c r="N970" s="51" t="str">
        <x:v>A specialised administrative judgment becomes material trade control through customs enforcement</x:v>
      </x:c>
      <x:c r="O970" s="51" t="str">
        <x:v>Legal; trade; enforcement</x:v>
      </x:c>
      <x:c r="P970" s="51" t="str">
        <x:v>E1</x:v>
      </x:c>
      <x:c r="Q970" s="51" t="str">
        <x:v>Very high</x:v>
      </x:c>
      <x:c r="R970" s="51" t="str">
        <x:v>SRC-671; SRC-679</x:v>
      </x:c>
      <x:c r="S970" s="51" t="str">
        <x:v>USITC exclusion orders direct CBP to block covered imports.</x:v>
      </x:c>
      <x:c r="T970" s="51" t="str">
        <x:v>Transfer of patent ownership, damages award or worldwide import ban.</x:v>
      </x:c>
      <x:c r="U970" s="51" t="str">
        <x:v>Orders are product-, scope- and jurisdiction-specific.</x:v>
      </x:c>
      <x:c r="V970" s="51" t="str">
        <x:v>Active</x:v>
      </x:c>
      <x:c r="W970" s="51" t="str">
        <x:v>46;57</x:v>
      </x:c>
      <x:c r="X970" s="51" t="str">
        <x:v>2026-07-27</x:v>
      </x:c>
    </x:row>
    <x:row r="971">
      <x:c r="A971" s="51" t="str">
        <x:v>V15IP-012</x:v>
      </x:c>
      <x:c r="B971" s="51" t="str">
        <x:v>Patent grants, licensing and border exclusion</x:v>
      </x:c>
      <x:c r="C971" s="51" t="str">
        <x:v>ACT-USCUSTOMSANDBORDERPROTEC</x:v>
      </x:c>
      <x:c r="D971" s="51" t="str">
        <x:v>U.S. Customs and Border Protection</x:v>
      </x:c>
      <x:c r="E971" s="51" t="str">
        <x:v>ACT-IMPORTERSANDRESPONDENTSI</x:v>
      </x:c>
      <x:c r="F971" s="51" t="str">
        <x:v>Importers and respondents in Section 337 cases</x:v>
      </x:c>
      <x:c r="G971" s="51" t="str">
        <x:v>Border agency → importer</x:v>
      </x:c>
      <x:c r="H971" s="51" t="str">
        <x:v>During order term</x:v>
      </x:c>
      <x:c r="I971" s="51" t="str">
        <x:v>Exclusion enforcement</x:v>
      </x:c>
      <x:c r="J971" s="51" t="str">
        <x:v>INS-333</x:v>
      </x:c>
      <x:c r="K971" s="51" t="str">
        <x:v>Shipment-specific</x:v>
      </x:c>
      <x:c r="L971" s="51" t="str">
        <x:v>Product classification and exclusion order</x:v>
      </x:c>
      <x:c r="M971" s="51" t="str">
        <x:v>Denied or conditioned entry</x:v>
      </x:c>
      <x:c r="N971" s="51" t="str">
        <x:v>Border enforcement converts an IP judgment into physical market exclusion</x:v>
      </x:c>
      <x:c r="O971" s="51" t="str">
        <x:v>Legal; material; trade</x:v>
      </x:c>
      <x:c r="P971" s="51" t="str">
        <x:v>E1</x:v>
      </x:c>
      <x:c r="Q971" s="51" t="str">
        <x:v>High</x:v>
      </x:c>
      <x:c r="R971" s="51" t="str">
        <x:v>SRC-679</x:v>
      </x:c>
      <x:c r="S971" s="51" t="str">
        <x:v>CBP enforces USITC exclusion orders at the U.S. border.</x:v>
      </x:c>
      <x:c r="T971" s="51" t="str">
        <x:v>Determination of all patent damages or prohibition in foreign markets.</x:v>
      </x:c>
      <x:c r="U971" s="51" t="str">
        <x:v>Scope disputes and redesign questions may continue.</x:v>
      </x:c>
      <x:c r="V971" s="51" t="str">
        <x:v>Active</x:v>
      </x:c>
      <x:c r="W971" s="51" t="str">
        <x:v>46;57</x:v>
      </x:c>
      <x:c r="X971" s="51" t="str">
        <x:v>2026-07-27</x:v>
      </x:c>
    </x:row>
    <x:row r="972">
      <x:c r="A972" s="51" t="str">
        <x:v>V15IP-013</x:v>
      </x:c>
      <x:c r="B972" s="51" t="str">
        <x:v>Patent grants, licensing and border exclusion</x:v>
      </x:c>
      <x:c r="C972" s="51" t="str">
        <x:v>ACT-BRETTWDOYLE</x:v>
      </x:c>
      <x:c r="D972" s="51" t="str">
        <x:v>Brett W. Doyle</x:v>
      </x:c>
      <x:c r="E972" s="51" t="str">
        <x:v>ACT-USINTERNATIONALTRADECOMM</x:v>
      </x:c>
      <x:c r="F972" s="51" t="str">
        <x:v>U.S. International Trade Commission</x:v>
      </x:c>
      <x:c r="G972" s="51" t="str">
        <x:v>Chairman → commission</x:v>
      </x:c>
      <x:c r="H972" s="51" t="str">
        <x:v>Current 2026</x:v>
      </x:c>
      <x:c r="I972" s="51" t="str">
        <x:v>Commission leadership</x:v>
      </x:c>
      <x:c r="J972" s="51" t="str">
        <x:v>INS-333</x:v>
      </x:c>
      <x:c r="K972" s="51" t="str">
        <x:v>Term expiring June 16, 2028</x:v>
      </x:c>
      <x:c r="L972" s="51" t="str">
        <x:v>Presidential designation and commission office</x:v>
      </x:c>
      <x:c r="M972" s="51" t="str">
        <x:v>Administrative leadership and participation in determinations</x:v>
      </x:c>
      <x:c r="N972" s="51" t="str">
        <x:v>Commission leadership coordinates an adjudicative agency without individually controlling every vote</x:v>
      </x:c>
      <x:c r="O972" s="51" t="str">
        <x:v>Institutional; legal; trade</x:v>
      </x:c>
      <x:c r="P972" s="51" t="str">
        <x:v>E1</x:v>
      </x:c>
      <x:c r="Q972" s="51" t="str">
        <x:v>Very high</x:v>
      </x:c>
      <x:c r="R972" s="51" t="str">
        <x:v>SRC-672; SRC-686</x:v>
      </x:c>
      <x:c r="S972" s="51" t="str">
        <x:v>Brett W. Doyle is the current USITC Chairman.</x:v>
      </x:c>
      <x:c r="T972" s="51" t="str">
        <x:v>Personal unilateral authority to issue every exclusion order.</x:v>
      </x:c>
      <x:c r="U972" s="51" t="str">
        <x:v>The Commission acts through statutory procedures and commissioner votes.</x:v>
      </x:c>
      <x:c r="V972" s="51" t="str">
        <x:v>Active</x:v>
      </x:c>
      <x:c r="W972" s="51" t="str">
        <x:v>46;57</x:v>
      </x:c>
      <x:c r="X972" s="51" t="str">
        <x:v>2026-07-27</x:v>
      </x:c>
    </x:row>
    <x:row r="973">
      <x:c r="A973" s="51" t="str">
        <x:v>V15LIT-001</x:v>
      </x:c>
      <x:c r="B973" s="51" t="str">
        <x:v>Litigation finance, claim economics and disclosure</x:v>
      </x:c>
      <x:c r="C973" s="51" t="str">
        <x:v>ACT-LITIGATIONFINANCEINVESTO</x:v>
      </x:c>
      <x:c r="D973" s="51" t="str">
        <x:v>Litigation-finance investors</x:v>
      </x:c>
      <x:c r="E973" s="51" t="str">
        <x:v>ACT-THIRDPARTYLITIGATIONFUND</x:v>
      </x:c>
      <x:c r="F973" s="51" t="str">
        <x:v>Third-party litigation funders</x:v>
      </x:c>
      <x:c r="G973" s="51" t="str">
        <x:v>Investors → funders</x:v>
      </x:c>
      <x:c r="H973" s="51" t="str">
        <x:v>Fund and portfolio cycle</x:v>
      </x:c>
      <x:c r="I973" s="51" t="str">
        <x:v>Equity, debt or committed capital</x:v>
      </x:c>
      <x:c r="J973" s="51" t="str">
        <x:v>INS-322; INS-334</x:v>
      </x:c>
      <x:c r="K973" s="51" t="str">
        <x:v>Vehicle-specific</x:v>
      </x:c>
      <x:c r="L973" s="51" t="str">
        <x:v>Investment capital and return requirements</x:v>
      </x:c>
      <x:c r="M973" s="51" t="str">
        <x:v>Funding capacity for legal claims</x:v>
      </x:c>
      <x:c r="N973" s="51" t="str">
        <x:v>Capital markets turn legal claims into an investable asset class through specialist intermediaries</x:v>
      </x:c>
      <x:c r="O973" s="51" t="str">
        <x:v>Financial; legal; ownership</x:v>
      </x:c>
      <x:c r="P973" s="51" t="str">
        <x:v>S1</x:v>
      </x:c>
      <x:c r="Q973" s="51" t="str">
        <x:v>High</x:v>
      </x:c>
      <x:c r="R973" s="51" t="str">
        <x:v>SRC-673; SRC-674</x:v>
      </x:c>
      <x:c r="S973" s="51" t="str">
        <x:v>GAO describes funders as private firms that obtain capital from investors.</x:v>
      </x:c>
      <x:c r="T973" s="51" t="str">
        <x:v>Investor control of individual litigation decisions or knowledge of every funded case.</x:v>
      </x:c>
      <x:c r="U973" s="51" t="str">
        <x:v>Fund governance and confidentiality vary.</x:v>
      </x:c>
      <x:c r="V973" s="51" t="str">
        <x:v>Active</x:v>
      </x:c>
      <x:c r="W973" s="51" t="str">
        <x:v>46;57</x:v>
      </x:c>
      <x:c r="X973" s="51" t="str">
        <x:v>2026-07-27</x:v>
      </x:c>
    </x:row>
    <x:row r="974">
      <x:c r="A974" s="51" t="str">
        <x:v>V15LIT-002</x:v>
      </x:c>
      <x:c r="B974" s="51" t="str">
        <x:v>Litigation finance, claim economics and disclosure</x:v>
      </x:c>
      <x:c r="C974" s="51" t="str">
        <x:v>ACT-THIRDPARTYLITIGATIONFUND</x:v>
      </x:c>
      <x:c r="D974" s="51" t="str">
        <x:v>Third-party litigation funders</x:v>
      </x:c>
      <x:c r="E974" s="51" t="str">
        <x:v>ACT-FUNDEDCLAIMANTS</x:v>
      </x:c>
      <x:c r="F974" s="51" t="str">
        <x:v>Funded claimants</x:v>
      </x:c>
      <x:c r="G974" s="51" t="str">
        <x:v>Funder → claimant</x:v>
      </x:c>
      <x:c r="H974" s="51" t="str">
        <x:v>Case-specific</x:v>
      </x:c>
      <x:c r="I974" s="51" t="str">
        <x:v>Nonrecourse funding agreement</x:v>
      </x:c>
      <x:c r="J974" s="51" t="str">
        <x:v>INS-322</x:v>
      </x:c>
      <x:c r="K974" s="51" t="str">
        <x:v>Case- and portfolio-specific</x:v>
      </x:c>
      <x:c r="L974" s="51" t="str">
        <x:v>Committed legal capital</x:v>
      </x:c>
      <x:c r="M974" s="51" t="str">
        <x:v>Ability to pay counsel and litigation costs</x:v>
      </x:c>
      <x:c r="N974" s="51" t="str">
        <x:v>Nonrecourse finance converts contingent legal recovery into present litigation capacity</x:v>
      </x:c>
      <x:c r="O974" s="51" t="str">
        <x:v>Financial; legal; relational</x:v>
      </x:c>
      <x:c r="P974" s="51" t="str">
        <x:v>E1</x:v>
      </x:c>
      <x:c r="Q974" s="51" t="str">
        <x:v>Very high</x:v>
      </x:c>
      <x:c r="R974" s="51" t="str">
        <x:v>SRC-673; SRC-674</x:v>
      </x:c>
      <x:c r="S974" s="51" t="str">
        <x:v>Third-party funders finance litigants in exchange for a contingent interest in recovery.</x:v>
      </x:c>
      <x:c r="T974" s="51" t="str">
        <x:v>Ownership of the legal claim in every arrangement or guaranteed influence over settlement.</x:v>
      </x:c>
      <x:c r="U974" s="51" t="str">
        <x:v>Control rights vary by contract, ethics rules and jurisdiction.</x:v>
      </x:c>
      <x:c r="V974" s="51" t="str">
        <x:v>Active</x:v>
      </x:c>
      <x:c r="W974" s="51" t="str">
        <x:v>46;57</x:v>
      </x:c>
      <x:c r="X974" s="51" t="str">
        <x:v>2026-07-27</x:v>
      </x:c>
    </x:row>
    <x:row r="975">
      <x:c r="A975" s="51" t="str">
        <x:v>V15LIT-003</x:v>
      </x:c>
      <x:c r="B975" s="51" t="str">
        <x:v>Litigation finance, claim economics and disclosure</x:v>
      </x:c>
      <x:c r="C975" s="51" t="str">
        <x:v>ACT-FUNDEDCLAIMANTS</x:v>
      </x:c>
      <x:c r="D975" s="51" t="str">
        <x:v>Funded claimants</x:v>
      </x:c>
      <x:c r="E975" s="51" t="str">
        <x:v>ACT-THIRDPARTYLITIGATIONFUND</x:v>
      </x:c>
      <x:c r="F975" s="51" t="str">
        <x:v>Third-party litigation funders</x:v>
      </x:c>
      <x:c r="G975" s="51" t="str">
        <x:v>Claimant → funder</x:v>
      </x:c>
      <x:c r="H975" s="51" t="str">
        <x:v>Successful recovery or settlement</x:v>
      </x:c>
      <x:c r="I975" s="51" t="str">
        <x:v>Contingent return</x:v>
      </x:c>
      <x:c r="J975" s="51" t="str">
        <x:v>INS-322</x:v>
      </x:c>
      <x:c r="K975" s="51" t="str">
        <x:v>Contract-specific</x:v>
      </x:c>
      <x:c r="L975" s="51" t="str">
        <x:v>Judgment or settlement proceeds</x:v>
      </x:c>
      <x:c r="M975" s="51" t="str">
        <x:v>Funder return</x:v>
      </x:c>
      <x:c r="N975" s="51" t="str">
        <x:v>A successful legal claim converts judicial or settlement value into a financial return for outside capital</x:v>
      </x:c>
      <x:c r="O975" s="51" t="str">
        <x:v>Financial; ownership; legal</x:v>
      </x:c>
      <x:c r="P975" s="51" t="str">
        <x:v>S1</x:v>
      </x:c>
      <x:c r="Q975" s="51" t="str">
        <x:v>High</x:v>
      </x:c>
      <x:c r="R975" s="51" t="str">
        <x:v>SRC-673; SRC-674</x:v>
      </x:c>
      <x:c r="S975" s="51" t="str">
        <x:v>Commercial funding commonly provides a contingent return if the claim succeeds.</x:v>
      </x:c>
      <x:c r="T975" s="51" t="str">
        <x:v>A repayment obligation after all unsuccessful cases.</x:v>
      </x:c>
      <x:c r="U975" s="51" t="str">
        <x:v>Nonrecourse structures place loss risk on the funder.</x:v>
      </x:c>
      <x:c r="V975" s="51" t="str">
        <x:v>Active</x:v>
      </x:c>
      <x:c r="W975" s="51" t="str">
        <x:v>46;57</x:v>
      </x:c>
      <x:c r="X975" s="51" t="str">
        <x:v>2026-07-27</x:v>
      </x:c>
    </x:row>
    <x:row r="976">
      <x:c r="A976" s="51" t="str">
        <x:v>V15LIT-004</x:v>
      </x:c>
      <x:c r="B976" s="51" t="str">
        <x:v>Litigation finance, claim economics and disclosure</x:v>
      </x:c>
      <x:c r="C976" s="51" t="str">
        <x:v>ACT-THIRDPARTYLITIGATIONFUN2</x:v>
      </x:c>
      <x:c r="D976" s="51" t="str">
        <x:v>Third-party litigation funding disclosure rules</x:v>
      </x:c>
      <x:c r="E976" s="51" t="str">
        <x:v>ACT-LAWFIRMSREPRESENTINGFUND</x:v>
      </x:c>
      <x:c r="F976" s="51" t="str">
        <x:v>Law firms representing funded parties</x:v>
      </x:c>
      <x:c r="G976" s="51" t="str">
        <x:v>Rule or order → counsel</x:v>
      </x:c>
      <x:c r="H976" s="51" t="str">
        <x:v>2025–2026</x:v>
      </x:c>
      <x:c r="I976" s="51" t="str">
        <x:v>Funding disclosure obligation</x:v>
      </x:c>
      <x:c r="J976" s="51" t="str">
        <x:v>INS-323</x:v>
      </x:c>
      <x:c r="K976" s="51" t="str">
        <x:v>Court- and case-specific</x:v>
      </x:c>
      <x:c r="L976" s="51" t="str">
        <x:v>Funding contract and interested-party information</x:v>
      </x:c>
      <x:c r="M976" s="51" t="str">
        <x:v>Disclosure to court or opposing parties</x:v>
      </x:c>
      <x:c r="N976" s="51" t="str">
        <x:v>Disclosure can reveal conflicts and control interests but may expose strategy and financing terms</x:v>
      </x:c>
      <x:c r="O976" s="51" t="str">
        <x:v>Legal; informational; institutional</x:v>
      </x:c>
      <x:c r="P976" s="51" t="str">
        <x:v>E1</x:v>
      </x:c>
      <x:c r="Q976" s="51" t="str">
        <x:v>High</x:v>
      </x:c>
      <x:c r="R976" s="51" t="str">
        <x:v>SRC-675; SRC-676; SRC-677</x:v>
      </x:c>
      <x:c r="S976" s="51" t="str">
        <x:v>Federal rulemaking remains under study and selected courts require case-specific disclosure.</x:v>
      </x:c>
      <x:c r="T976" s="51" t="str">
        <x:v>A universal federal disclosure rule already in force.</x:v>
      </x:c>
      <x:c r="U976" s="51" t="str">
        <x:v>Scope, privilege and disclosure recipients remain contested.</x:v>
      </x:c>
      <x:c r="V976" s="51" t="str">
        <x:v>Active / under study</x:v>
      </x:c>
      <x:c r="W976" s="51" t="str">
        <x:v>46;57</x:v>
      </x:c>
      <x:c r="X976" s="51" t="str">
        <x:v>2026-07-27</x:v>
      </x:c>
    </x:row>
    <x:row r="977">
      <x:c r="A977" s="51" t="str">
        <x:v>V15LIT-005</x:v>
      </x:c>
      <x:c r="B977" s="51" t="str">
        <x:v>Litigation finance, claim economics and disclosure</x:v>
      </x:c>
      <x:c r="C977" s="51" t="str">
        <x:v>ACT-THIRDPARTYLITIGATIONFUND</x:v>
      </x:c>
      <x:c r="D977" s="51" t="str">
        <x:v>Third-party litigation funders</x:v>
      </x:c>
      <x:c r="E977" s="51" t="str">
        <x:v>ACT-PATENTHOLDERS</x:v>
      </x:c>
      <x:c r="F977" s="51" t="str">
        <x:v>Patent holders</x:v>
      </x:c>
      <x:c r="G977" s="51" t="str">
        <x:v>Funder → patent owner</x:v>
      </x:c>
      <x:c r="H977" s="51" t="str">
        <x:v>Case-specific</x:v>
      </x:c>
      <x:c r="I977" s="51" t="str">
        <x:v>Patent-litigation funding</x:v>
      </x:c>
      <x:c r="J977" s="51" t="str">
        <x:v>INS-334</x:v>
      </x:c>
      <x:c r="K977" s="51" t="str">
        <x:v>Extent difficult to measure</x:v>
      </x:c>
      <x:c r="L977" s="51" t="str">
        <x:v>Capital and case assessment</x:v>
      </x:c>
      <x:c r="M977" s="51" t="str">
        <x:v>Patent enforcement capacity</x:v>
      </x:c>
      <x:c r="N977" s="51" t="str">
        <x:v>External capital can separate a patent owner's enforcement capacity from its operating cash flow</x:v>
      </x:c>
      <x:c r="O977" s="51" t="str">
        <x:v>Financial; legal; informational</x:v>
      </x:c>
      <x:c r="P977" s="51" t="str">
        <x:v>E1</x:v>
      </x:c>
      <x:c r="Q977" s="51" t="str">
        <x:v>High</x:v>
      </x:c>
      <x:c r="R977" s="51" t="str">
        <x:v>SRC-674</x:v>
      </x:c>
      <x:c r="S977" s="51" t="str">
        <x:v>GAO documents third-party funding of patent litigation and measurement challenges.</x:v>
      </x:c>
      <x:c r="T977" s="51" t="str">
        <x:v>Patent validity, infringement or abusive litigation.</x:v>
      </x:c>
      <x:c r="U977" s="51" t="str">
        <x:v>Funding decisions reflect expected recovery and legal risk but do not determine merits.</x:v>
      </x:c>
      <x:c r="V977" s="51" t="str">
        <x:v>Active</x:v>
      </x:c>
      <x:c r="W977" s="51" t="str">
        <x:v>46;57</x:v>
      </x:c>
      <x:c r="X977" s="51" t="str">
        <x:v>2026-07-27</x:v>
      </x:c>
    </x:row>
    <x:row r="978">
      <x:c r="A978" s="51" t="str">
        <x:v>V16CAT-001</x:v>
      </x:c>
      <x:c r="B978" s="51" t="str">
        <x:v>Catastrophe losses, protection gaps and risk pricing</x:v>
      </x:c>
      <x:c r="C978" s="51" t="str">
        <x:v>ACT-NATURALCATASTROPHES</x:v>
      </x:c>
      <x:c r="D978" s="51" t="str">
        <x:v>Natural catastrophes</x:v>
      </x:c>
      <x:c r="E978" s="51" t="str">
        <x:v>ACT-POLICYHOLDERS</x:v>
      </x:c>
      <x:c r="F978" s="51" t="str">
        <x:v>Policyholders</x:v>
      </x:c>
      <x:c r="G978" s="51" t="str">
        <x:v>Physical event → households and firms</x:v>
      </x:c>
      <x:c r="H978" s="51" t="str">
        <x:v>2025</x:v>
      </x:c>
      <x:c r="I978" s="51" t="str">
        <x:v>Economic damage</x:v>
      </x:c>
      <x:c r="J978" s="51" t="str">
        <x:v>INS-358</x:v>
      </x:c>
      <x:c r="K978" s="51" t="str">
        <x:v>$224 billion total global losses in 2025</x:v>
      </x:c>
      <x:c r="L978" s="51" t="str">
        <x:v>Physical destruction and interruption</x:v>
      </x:c>
      <x:c r="M978" s="51" t="str">
        <x:v>Uninsured and insured economic loss</x:v>
      </x:c>
      <x:c r="N978" s="51" t="str">
        <x:v>Catastrophes convert environmental hazards into balance-sheet and welfare losses</x:v>
      </x:c>
      <x:c r="O978" s="51" t="str">
        <x:v>Material; financial; social</x:v>
      </x:c>
      <x:c r="P978" s="51" t="str">
        <x:v>E1</x:v>
      </x:c>
      <x:c r="Q978" s="51" t="str">
        <x:v>Very high</x:v>
      </x:c>
      <x:c r="R978" s="51" t="str">
        <x:v>SRC-699; SRC-701</x:v>
      </x:c>
      <x:c r="S978" s="51" t="str">
        <x:v>Munich Re estimated $224 billion of total natural-catastrophe losses in 2025.</x:v>
      </x:c>
      <x:c r="T978" s="51" t="str">
        <x:v>Exact final loss for every event or attribution of every event to climate change.</x:v>
      </x:c>
      <x:c r="U978" s="51" t="str">
        <x:v>Loss estimates evolve and include modelling uncertainty.</x:v>
      </x:c>
      <x:c r="V978" s="51" t="str">
        <x:v>Historical reporting</x:v>
      </x:c>
      <x:c r="W978" s="51" t="str">
        <x:v>47;57</x:v>
      </x:c>
      <x:c r="X978" s="51" t="str">
        <x:v>2026-07-27</x:v>
      </x:c>
    </x:row>
    <x:row r="979">
      <x:c r="A979" s="51" t="str">
        <x:v>V16CAT-002</x:v>
      </x:c>
      <x:c r="B979" s="51" t="str">
        <x:v>Catastrophe losses, protection gaps and risk pricing</x:v>
      </x:c>
      <x:c r="C979" s="51" t="str">
        <x:v>ACT-PRIMARYINSURERS</x:v>
      </x:c>
      <x:c r="D979" s="51" t="str">
        <x:v>Primary insurers</x:v>
      </x:c>
      <x:c r="E979" s="51" t="str">
        <x:v>ACT-POLICYHOLDERS</x:v>
      </x:c>
      <x:c r="F979" s="51" t="str">
        <x:v>Policyholders</x:v>
      </x:c>
      <x:c r="G979" s="51" t="str">
        <x:v>Insurer → affected insureds</x:v>
      </x:c>
      <x:c r="H979" s="51" t="str">
        <x:v>After catastrophe</x:v>
      </x:c>
      <x:c r="I979" s="51" t="str">
        <x:v>Covered claims payment</x:v>
      </x:c>
      <x:c r="J979" s="51" t="str">
        <x:v>INS-337; INS-358</x:v>
      </x:c>
      <x:c r="K979" s="51" t="str">
        <x:v>About $108 billion global insured losses in 2025</x:v>
      </x:c>
      <x:c r="L979" s="51" t="str">
        <x:v>Covered catastrophe claims</x:v>
      </x:c>
      <x:c r="M979" s="51" t="str">
        <x:v>Insurance recovery</x:v>
      </x:c>
      <x:c r="N979" s="51" t="str">
        <x:v>Insurance shifts part of catastrophe loss from exposed households and firms to pooled capital</x:v>
      </x:c>
      <x:c r="O979" s="51" t="str">
        <x:v>Financial; social; operational</x:v>
      </x:c>
      <x:c r="P979" s="51" t="str">
        <x:v>E1</x:v>
      </x:c>
      <x:c r="Q979" s="51" t="str">
        <x:v>High</x:v>
      </x:c>
      <x:c r="R979" s="51" t="str">
        <x:v>SRC-699</x:v>
      </x:c>
      <x:c r="S979" s="51" t="str">
        <x:v>Approximately $108 billion of 2025 catastrophe losses were insured according to Munich Re.</x:v>
      </x:c>
      <x:c r="T979" s="51" t="str">
        <x:v>Full compensation of all $224 billion in total losses.</x:v>
      </x:c>
      <x:c r="U979" s="51" t="str">
        <x:v>Deductibles, limits and uninsured assets create a protection gap.</x:v>
      </x:c>
      <x:c r="V979" s="51" t="str">
        <x:v>Historical reporting</x:v>
      </x:c>
      <x:c r="W979" s="51" t="str">
        <x:v>47;57</x:v>
      </x:c>
      <x:c r="X979" s="51" t="str">
        <x:v>2026-07-27</x:v>
      </x:c>
    </x:row>
    <x:row r="980">
      <x:c r="A980" s="51" t="str">
        <x:v>V16CAT-003</x:v>
      </x:c>
      <x:c r="B980" s="51" t="str">
        <x:v>Catastrophe losses, protection gaps and risk pricing</x:v>
      </x:c>
      <x:c r="C980" s="51" t="str">
        <x:v>ACT-POLICYHOLDERS</x:v>
      </x:c>
      <x:c r="D980" s="51" t="str">
        <x:v>Policyholders</x:v>
      </x:c>
      <x:c r="E980" s="51" t="str">
        <x:v>ACT-NATURALCATASTROPHES</x:v>
      </x:c>
      <x:c r="F980" s="51" t="str">
        <x:v>Natural catastrophes</x:v>
      </x:c>
      <x:c r="G980" s="51" t="str">
        <x:v>Exposed assets → hazard</x:v>
      </x:c>
      <x:c r="H980" s="51" t="str">
        <x:v>2025</x:v>
      </x:c>
      <x:c r="I980" s="51" t="str">
        <x:v>Uninsured retention</x:v>
      </x:c>
      <x:c r="J980" s="51" t="str">
        <x:v>INS-358</x:v>
      </x:c>
      <x:c r="K980" s="51" t="str">
        <x:v>Approximately $116 billion difference between total and insured losses</x:v>
      </x:c>
      <x:c r="L980" s="51" t="str">
        <x:v>Uninsured assets and excluded loss</x:v>
      </x:c>
      <x:c r="M980" s="51" t="str">
        <x:v>Loss retained by households, firms and governments</x:v>
      </x:c>
      <x:c r="N980" s="51" t="str">
        <x:v>The protection gap reveals where risk remains outside formal insurance capital</x:v>
      </x:c>
      <x:c r="O980" s="51" t="str">
        <x:v>Financial; social; political</x:v>
      </x:c>
      <x:c r="P980" s="51" t="str">
        <x:v>S1</x:v>
      </x:c>
      <x:c r="Q980" s="51" t="str">
        <x:v>High</x:v>
      </x:c>
      <x:c r="R980" s="51" t="str">
        <x:v>SRC-699</x:v>
      </x:c>
      <x:c r="S980" s="51" t="str">
        <x:v>Total losses exceeded insured losses materially in 2025.</x:v>
      </x:c>
      <x:c r="T980" s="51" t="str">
        <x:v>Exact uninsured loss borne only by policyholders rather than governments and others.</x:v>
      </x:c>
      <x:c r="U980" s="51" t="str">
        <x:v>Public aid and informal risk sharing can absorb part of the gap.</x:v>
      </x:c>
      <x:c r="V980" s="51" t="str">
        <x:v>Historical inference</x:v>
      </x:c>
      <x:c r="W980" s="51" t="str">
        <x:v>47;57</x:v>
      </x:c>
      <x:c r="X980" s="51" t="str">
        <x:v>2026-07-27</x:v>
      </x:c>
    </x:row>
    <x:row r="981">
      <x:c r="A981" s="51" t="str">
        <x:v>V16CAT-004</x:v>
      </x:c>
      <x:c r="B981" s="51" t="str">
        <x:v>Catastrophe losses, protection gaps and risk pricing</x:v>
      </x:c>
      <x:c r="C981" s="51" t="str">
        <x:v>ACT-MUNICHRE</x:v>
      </x:c>
      <x:c r="D981" s="51" t="str">
        <x:v>Munich Re</x:v>
      </x:c>
      <x:c r="E981" s="51" t="str">
        <x:v>ACT-INSURANCESUPERVISORS</x:v>
      </x:c>
      <x:c r="F981" s="51" t="str">
        <x:v>Insurance supervisors</x:v>
      </x:c>
      <x:c r="G981" s="51" t="str">
        <x:v>Risk-data provider → supervisory community</x:v>
      </x:c>
      <x:c r="H981" s="51" t="str">
        <x:v>Ongoing</x:v>
      </x:c>
      <x:c r="I981" s="51" t="str">
        <x:v>NatCat data and risk analysis</x:v>
      </x:c>
      <x:c r="J981" s="51" t="str">
        <x:v>INS-358</x:v>
      </x:c>
      <x:c r="K981" s="51" t="str">
        <x:v>Multi-decade event database</x:v>
      </x:c>
      <x:c r="L981" s="51" t="str">
        <x:v>Catastrophe event and loss records</x:v>
      </x:c>
      <x:c r="M981" s="51" t="str">
        <x:v>Risk models, pricing and supervisory analysis</x:v>
      </x:c>
      <x:c r="N981" s="51" t="str">
        <x:v>Private catastrophe data platforms become informational infrastructure for capital and policy decisions</x:v>
      </x:c>
      <x:c r="O981" s="51" t="str">
        <x:v>Informational; financial; institutional</x:v>
      </x:c>
      <x:c r="P981" s="51" t="str">
        <x:v>E1</x:v>
      </x:c>
      <x:c r="Q981" s="51" t="str">
        <x:v>High</x:v>
      </x:c>
      <x:c r="R981" s="51" t="str">
        <x:v>SRC-701</x:v>
      </x:c>
      <x:c r="S981" s="51" t="str">
        <x:v>Munich Re operates the NatCatSERVICE loss database.</x:v>
      </x:c>
      <x:c r="T981" s="51" t="str">
        <x:v>Regulatory adoption of every Munich Re estimate or exclusive ownership of catastrophe truth.</x:v>
      </x:c>
      <x:c r="U981" s="51" t="str">
        <x:v>Supervisors and firms use multiple models and datasets.</x:v>
      </x:c>
      <x:c r="V981" s="51" t="str">
        <x:v>Active</x:v>
      </x:c>
      <x:c r="W981" s="51" t="str">
        <x:v>47;57</x:v>
      </x:c>
      <x:c r="X981" s="51" t="str">
        <x:v>2026-07-27</x:v>
      </x:c>
    </x:row>
    <x:row r="982">
      <x:c r="A982" s="51" t="str">
        <x:v>V16CCP-001</x:v>
      </x:c>
      <x:c r="B982" s="51" t="str">
        <x:v>Central clearing, novation and concentrated counterparty risk</x:v>
      </x:c>
      <x:c r="C982" s="51" t="str">
        <x:v>ACT-CLEARINGMEMBERS</x:v>
      </x:c>
      <x:c r="D982" s="51" t="str">
        <x:v>Clearing members</x:v>
      </x:c>
      <x:c r="E982" s="51" t="str">
        <x:v>ACT-CENTRALCOUNTERPARTIES</x:v>
      </x:c>
      <x:c r="F982" s="51" t="str">
        <x:v>Central counterparties</x:v>
      </x:c>
      <x:c r="G982" s="51" t="str">
        <x:v>Member → CCP</x:v>
      </x:c>
      <x:c r="H982" s="51" t="str">
        <x:v>Trade acceptance</x:v>
      </x:c>
      <x:c r="I982" s="51" t="str">
        <x:v>Cleared position and collateral</x:v>
      </x:c>
      <x:c r="J982" s="51" t="str">
        <x:v>INS-348; INS-349; INS-350</x:v>
      </x:c>
      <x:c r="K982" s="51" t="str">
        <x:v>Portfolio-specific</x:v>
      </x:c>
      <x:c r="L982" s="51" t="str">
        <x:v>Matched trade, margin and default-fund contribution</x:v>
      </x:c>
      <x:c r="M982" s="51" t="str">
        <x:v>Obligation to the CCP</x:v>
      </x:c>
      <x:c r="N982" s="51" t="str">
        <x:v>Novation replaces bilateral counterparty exposure with exposure to a central institution</x:v>
      </x:c>
      <x:c r="O982" s="51" t="str">
        <x:v>Financial; legal; systemic</x:v>
      </x:c>
      <x:c r="P982" s="51" t="str">
        <x:v>E1</x:v>
      </x:c>
      <x:c r="Q982" s="51" t="str">
        <x:v>Very high</x:v>
      </x:c>
      <x:c r="R982" s="51" t="str">
        <x:v>SRC-712; SRC-714; SRC-719; SRC-724; SRC-728</x:v>
      </x:c>
      <x:c r="S982" s="51" t="str">
        <x:v>CCPs interpose themselves between clearing counterparties and collect risk resources.</x:v>
      </x:c>
      <x:c r="T982" s="51" t="str">
        <x:v>Elimination of counterparty risk or guarantee of no losses.</x:v>
      </x:c>
      <x:c r="U982" s="51" t="str">
        <x:v>Risk becomes concentrated and managed at the CCP.</x:v>
      </x:c>
      <x:c r="V982" s="51" t="str">
        <x:v>Active</x:v>
      </x:c>
      <x:c r="W982" s="51" t="str">
        <x:v>47;57</x:v>
      </x:c>
      <x:c r="X982" s="51" t="str">
        <x:v>2026-07-27</x:v>
      </x:c>
    </x:row>
    <x:row r="983">
      <x:c r="A983" s="51" t="str">
        <x:v>V16CCP-002</x:v>
      </x:c>
      <x:c r="B983" s="51" t="str">
        <x:v>Central clearing, novation and concentrated counterparty risk</x:v>
      </x:c>
      <x:c r="C983" s="51" t="str">
        <x:v>ACT-CENTRALCOUNTERPARTIES</x:v>
      </x:c>
      <x:c r="D983" s="51" t="str">
        <x:v>Central counterparties</x:v>
      </x:c>
      <x:c r="E983" s="51" t="str">
        <x:v>ACT-CLEARINGMEMBERS</x:v>
      </x:c>
      <x:c r="F983" s="51" t="str">
        <x:v>Clearing members</x:v>
      </x:c>
      <x:c r="G983" s="51" t="str">
        <x:v>CCP → members</x:v>
      </x:c>
      <x:c r="H983" s="51" t="str">
        <x:v>Daily and intraday</x:v>
      </x:c>
      <x:c r="I983" s="51" t="str">
        <x:v>Settlement, margin calls and risk limits</x:v>
      </x:c>
      <x:c r="J983" s="51" t="str">
        <x:v>INS-348; INS-349; INS-350</x:v>
      </x:c>
      <x:c r="K983" s="51" t="str">
        <x:v>Portfolio-specific</x:v>
      </x:c>
      <x:c r="L983" s="51" t="str">
        <x:v>Market prices and risk models</x:v>
      </x:c>
      <x:c r="M983" s="51" t="str">
        <x:v>Collateral calls and settlement obligations</x:v>
      </x:c>
      <x:c r="N983" s="51" t="str">
        <x:v>A CCP turns market moves into immediate liquidity demands on members</x:v>
      </x:c>
      <x:c r="O983" s="51" t="str">
        <x:v>Financial; operational; systemic</x:v>
      </x:c>
      <x:c r="P983" s="51" t="str">
        <x:v>E1</x:v>
      </x:c>
      <x:c r="Q983" s="51" t="str">
        <x:v>Very high</x:v>
      </x:c>
      <x:c r="R983" s="51" t="str">
        <x:v>SRC-712; SRC-713; SRC-719; SRC-724; SRC-730</x:v>
      </x:c>
      <x:c r="S983" s="51" t="str">
        <x:v>CCPs calculate margin and settle current exposure.</x:v>
      </x:c>
      <x:c r="T983" s="51" t="str">
        <x:v>Perfectly predictable calls or absence of procyclicality.</x:v>
      </x:c>
      <x:c r="U983" s="51" t="str">
        <x:v>Stress periods can produce large and rapid liquidity needs.</x:v>
      </x:c>
      <x:c r="V983" s="51" t="str">
        <x:v>Active</x:v>
      </x:c>
      <x:c r="W983" s="51" t="str">
        <x:v>47;57</x:v>
      </x:c>
      <x:c r="X983" s="51" t="str">
        <x:v>2026-07-27</x:v>
      </x:c>
    </x:row>
    <x:row r="984">
      <x:c r="A984" s="51" t="str">
        <x:v>V16CCP-003</x:v>
      </x:c>
      <x:c r="B984" s="51" t="str">
        <x:v>Central clearing, novation and concentrated counterparty risk</x:v>
      </x:c>
      <x:c r="C984" s="51" t="str">
        <x:v>ACT-CLEAREDDERIVATIVESCLIENT</x:v>
      </x:c>
      <x:c r="D984" s="51" t="str">
        <x:v>Cleared-derivatives clients</x:v>
      </x:c>
      <x:c r="E984" s="51" t="str">
        <x:v>ACT-CLEARINGMEMBERS</x:v>
      </x:c>
      <x:c r="F984" s="51" t="str">
        <x:v>Clearing members</x:v>
      </x:c>
      <x:c r="G984" s="51" t="str">
        <x:v>Client → intermediary</x:v>
      </x:c>
      <x:c r="H984" s="51" t="str">
        <x:v>Ongoing</x:v>
      </x:c>
      <x:c r="I984" s="51" t="str">
        <x:v>Client clearing relationship</x:v>
      </x:c>
      <x:c r="J984" s="51" t="str">
        <x:v>INS-348; INS-349; INS-350</x:v>
      </x:c>
      <x:c r="K984" s="51" t="str">
        <x:v>Client portfolio</x:v>
      </x:c>
      <x:c r="L984" s="51" t="str">
        <x:v>Client trades and collateral</x:v>
      </x:c>
      <x:c r="M984" s="51" t="str">
        <x:v>Access to CCP and segregated or omnibus account</x:v>
      </x:c>
      <x:c r="N984" s="51" t="str">
        <x:v>Clearing members convert client trades into positions accepted by the CCP</x:v>
      </x:c>
      <x:c r="O984" s="51" t="str">
        <x:v>Financial; relational; legal</x:v>
      </x:c>
      <x:c r="P984" s="51" t="str">
        <x:v>E1</x:v>
      </x:c>
      <x:c r="Q984" s="51" t="str">
        <x:v>High</x:v>
      </x:c>
      <x:c r="R984" s="51" t="str">
        <x:v>SRC-711; SRC-712</x:v>
      </x:c>
      <x:c r="S984" s="51" t="str">
        <x:v>Clients often access CCPs through registered intermediaries.</x:v>
      </x:c>
      <x:c r="T984" s="51" t="str">
        <x:v>Direct client membership or complete insulation from clearing-member failure.</x:v>
      </x:c>
      <x:c r="U984" s="51" t="str">
        <x:v>Account structure, porting and segregation determine protection.</x:v>
      </x:c>
      <x:c r="V984" s="51" t="str">
        <x:v>Active</x:v>
      </x:c>
      <x:c r="W984" s="51" t="str">
        <x:v>47;57</x:v>
      </x:c>
      <x:c r="X984" s="51" t="str">
        <x:v>2026-07-27</x:v>
      </x:c>
    </x:row>
    <x:row r="985">
      <x:c r="A985" s="51" t="str">
        <x:v>V16CCP-004</x:v>
      </x:c>
      <x:c r="B985" s="51" t="str">
        <x:v>Central clearing, novation and concentrated counterparty risk</x:v>
      </x:c>
      <x:c r="C985" s="51" t="str">
        <x:v>ACT-COMMITTEEONPAYMENTSANDMA</x:v>
      </x:c>
      <x:c r="D985" s="51" t="str">
        <x:v>Committee on Payments and Market Infrastructures</x:v>
      </x:c>
      <x:c r="E985" s="51" t="str">
        <x:v>ACT-CENTRALCOUNTERPARTIES</x:v>
      </x:c>
      <x:c r="F985" s="51" t="str">
        <x:v>Central counterparties</x:v>
      </x:c>
      <x:c r="G985" s="51" t="str">
        <x:v>Standard setter → market infrastructure</x:v>
      </x:c>
      <x:c r="H985" s="51" t="str">
        <x:v>Ongoing</x:v>
      </x:c>
      <x:c r="I985" s="51" t="str">
        <x:v>PFMI and CCP guidance</x:v>
      </x:c>
      <x:c r="J985" s="51" t="str">
        <x:v>INS-352; INS-353</x:v>
      </x:c>
      <x:c r="K985" s="51" t="str">
        <x:v>Global</x:v>
      </x:c>
      <x:c r="L985" s="51" t="str">
        <x:v>Systemic-risk analysis and international standards</x:v>
      </x:c>
      <x:c r="M985" s="51" t="str">
        <x:v>Risk-management, disclosure and resilience expectations</x:v>
      </x:c>
      <x:c r="N985" s="51" t="str">
        <x:v>International infrastructure standards shape CCP governance through national implementation</x:v>
      </x:c>
      <x:c r="O985" s="51" t="str">
        <x:v>Institutional; informational; systemic</x:v>
      </x:c>
      <x:c r="P985" s="51" t="str">
        <x:v>E1</x:v>
      </x:c>
      <x:c r="Q985" s="51" t="str">
        <x:v>Very high</x:v>
      </x:c>
      <x:c r="R985" s="51" t="str">
        <x:v>SRC-713; SRC-714</x:v>
      </x:c>
      <x:c r="S985" s="51" t="str">
        <x:v>CPMI develops standards and guidance for clearing and settlement systems.</x:v>
      </x:c>
      <x:c r="T985" s="51" t="str">
        <x:v>Direct legal enforcement against every CCP.</x:v>
      </x:c>
      <x:c r="U985" s="51" t="str">
        <x:v>National authorities and rulebooks provide coercive effect.</x:v>
      </x:c>
      <x:c r="V985" s="51" t="str">
        <x:v>Active</x:v>
      </x:c>
      <x:c r="W985" s="51" t="str">
        <x:v>47;57</x:v>
      </x:c>
      <x:c r="X985" s="51" t="str">
        <x:v>2026-07-27</x:v>
      </x:c>
    </x:row>
    <x:row r="986">
      <x:c r="A986" s="51" t="str">
        <x:v>V16CCP-005</x:v>
      </x:c>
      <x:c r="B986" s="51" t="str">
        <x:v>Central clearing, novation and concentrated counterparty risk</x:v>
      </x:c>
      <x:c r="C986" s="51" t="str">
        <x:v>ACT-FINANCIALSTABILITYBOARD</x:v>
      </x:c>
      <x:c r="D986" s="51" t="str">
        <x:v>Financial Stability Board</x:v>
      </x:c>
      <x:c r="E986" s="51" t="str">
        <x:v>ACT-RESOLUTIONAUTHORITIESFOR</x:v>
      </x:c>
      <x:c r="F986" s="51" t="str">
        <x:v>Resolution authorities for CCPs</x:v>
      </x:c>
      <x:c r="G986" s="51" t="str">
        <x:v>International stability body → national authorities</x:v>
      </x:c>
      <x:c r="H986" s="51" t="str">
        <x:v>2024–2026</x:v>
      </x:c>
      <x:c r="I986" s="51" t="str">
        <x:v>CCP resolution-resource standard</x:v>
      </x:c>
      <x:c r="J986" s="51" t="str">
        <x:v>INS-353</x:v>
      </x:c>
      <x:c r="K986" s="51" t="str">
        <x:v>Systemically important CCPs</x:v>
      </x:c>
      <x:c r="L986" s="51" t="str">
        <x:v>Resolution analysis and international agreement</x:v>
      </x:c>
      <x:c r="M986" s="51" t="str">
        <x:v>Resolution plans, tools and dedicated resources</x:v>
      </x:c>
      <x:c r="N986" s="51" t="str">
        <x:v>Resolution standards prepare a public backstop process for failure beyond private recovery tools</x:v>
      </x:c>
      <x:c r="O986" s="51" t="str">
        <x:v>Institutional; systemic; financial</x:v>
      </x:c>
      <x:c r="P986" s="51" t="str">
        <x:v>E1</x:v>
      </x:c>
      <x:c r="Q986" s="51" t="str">
        <x:v>Very high</x:v>
      </x:c>
      <x:c r="R986" s="51" t="str">
        <x:v>SRC-715; SRC-716; SRC-717</x:v>
      </x:c>
      <x:c r="S986" s="51" t="str">
        <x:v>FSB guidance addresses resources and tools for orderly CCP resolution.</x:v>
      </x:c>
      <x:c r="T986" s="51" t="str">
        <x:v>Automatic taxpayer bailout or uniform legal powers in every jurisdiction.</x:v>
      </x:c>
      <x:c r="U986" s="51" t="str">
        <x:v>Implementation and funding choices remain national.</x:v>
      </x:c>
      <x:c r="V986" s="51" t="str">
        <x:v>Implementation</x:v>
      </x:c>
      <x:c r="W986" s="51" t="str">
        <x:v>47;57</x:v>
      </x:c>
      <x:c r="X986" s="51" t="str">
        <x:v>2026-07-27</x:v>
      </x:c>
    </x:row>
    <x:row r="987">
      <x:c r="A987" s="51" t="str">
        <x:v>V16CME-001</x:v>
      </x:c>
      <x:c r="B987" s="51" t="str">
        <x:v>Named clearinghouses and operational risk resources</x:v>
      </x:c>
      <x:c r="C987" s="51" t="str">
        <x:v>ACT-CMECLEARING</x:v>
      </x:c>
      <x:c r="D987" s="51" t="str">
        <x:v>CME Clearing</x:v>
      </x:c>
      <x:c r="E987" s="51" t="str">
        <x:v>ACT-CLEARINGMEMBERS</x:v>
      </x:c>
      <x:c r="F987" s="51" t="str">
        <x:v>Clearing members</x:v>
      </x:c>
      <x:c r="G987" s="51" t="str">
        <x:v>CCP → members</x:v>
      </x:c>
      <x:c r="H987" s="51" t="str">
        <x:v>Current 2026</x:v>
      </x:c>
      <x:c r="I987" s="51" t="str">
        <x:v>Base and IRS financial safeguards</x:v>
      </x:c>
      <x:c r="J987" s="51" t="str">
        <x:v>INS-354</x:v>
      </x:c>
      <x:c r="K987" s="51" t="str">
        <x:v>$100 million and $150 million CCP contributions before mutualised layers</x:v>
      </x:c>
      <x:c r="L987" s="51" t="str">
        <x:v>Rules, margin and guaranty funds</x:v>
      </x:c>
      <x:c r="M987" s="51" t="str">
        <x:v>Clearing access and default allocation</x:v>
      </x:c>
      <x:c r="N987" s="51" t="str">
        <x:v>Separate waterfalls isolate product risks and define the order of loss absorption</x:v>
      </x:c>
      <x:c r="O987" s="51" t="str">
        <x:v>Financial; operational; systemic</x:v>
      </x:c>
      <x:c r="P987" s="51" t="str">
        <x:v>E1</x:v>
      </x:c>
      <x:c r="Q987" s="51" t="str">
        <x:v>Very high</x:v>
      </x:c>
      <x:c r="R987" s="51" t="str">
        <x:v>SRC-719; SRC-720; SRC-722</x:v>
      </x:c>
      <x:c r="S987" s="51" t="str">
        <x:v>CME publishes its financial safeguards structure and CCP contributions.</x:v>
      </x:c>
      <x:c r="T987" s="51" t="str">
        <x:v>Guarantee that non-defaulting members can never incur losses.</x:v>
      </x:c>
      <x:c r="U987" s="51" t="str">
        <x:v>Assessments and mutualised resources remain possible after prior layers.</x:v>
      </x:c>
      <x:c r="V987" s="51" t="str">
        <x:v>Active</x:v>
      </x:c>
      <x:c r="W987" s="51" t="str">
        <x:v>47;57</x:v>
      </x:c>
      <x:c r="X987" s="51" t="str">
        <x:v>2026-07-27</x:v>
      </x:c>
    </x:row>
    <x:row r="988">
      <x:c r="A988" s="51" t="str">
        <x:v>V16CME-002</x:v>
      </x:c>
      <x:c r="B988" s="51" t="str">
        <x:v>Named clearinghouses and operational risk resources</x:v>
      </x:c>
      <x:c r="C988" s="51" t="str">
        <x:v>ACT-CMECLEARING</x:v>
      </x:c>
      <x:c r="D988" s="51" t="str">
        <x:v>CME Clearing</x:v>
      </x:c>
      <x:c r="E988" s="51" t="str">
        <x:v>ACT-NONDEFAULTINGCLEARINGMEM</x:v>
      </x:c>
      <x:c r="F988" s="51" t="str">
        <x:v>Non-defaulting clearing members</x:v>
      </x:c>
      <x:c r="G988" s="51" t="str">
        <x:v>CCP → auction participants</x:v>
      </x:c>
      <x:c r="H988" s="51" t="str">
        <x:v>Default event</x:v>
      </x:c>
      <x:c r="I988" s="51" t="str">
        <x:v>Hedging, auction and assessment obligations</x:v>
      </x:c>
      <x:c r="J988" s="51" t="str">
        <x:v>INS-354</x:v>
      </x:c>
      <x:c r="K988" s="51" t="str">
        <x:v>Waterfall-specific</x:v>
      </x:c>
      <x:c r="L988" s="51" t="str">
        <x:v>Defaulted portfolio</x:v>
      </x:c>
      <x:c r="M988" s="51" t="str">
        <x:v>Liquidation or transfer of positions</x:v>
      </x:c>
      <x:c r="N988" s="51" t="str">
        <x:v>Default-management auctions mobilise private member expertise to restore a matched book</x:v>
      </x:c>
      <x:c r="O988" s="51" t="str">
        <x:v>Operational; relational; systemic</x:v>
      </x:c>
      <x:c r="P988" s="51" t="str">
        <x:v>E1</x:v>
      </x:c>
      <x:c r="Q988" s="51" t="str">
        <x:v>High</x:v>
      </x:c>
      <x:c r="R988" s="51" t="str">
        <x:v>SRC-721</x:v>
      </x:c>
      <x:c r="S988" s="51" t="str">
        <x:v>CME conducts default-management drills and requires participation in relevant auctions.</x:v>
      </x:c>
      <x:c r="T988" s="51" t="str">
        <x:v>Guaranteed profitable auction or absence of conflicts.</x:v>
      </x:c>
      <x:c r="U988" s="51" t="str">
        <x:v>Members may face concentrated risk during default management.</x:v>
      </x:c>
      <x:c r="V988" s="51" t="str">
        <x:v>Active contingency</x:v>
      </x:c>
      <x:c r="W988" s="51" t="str">
        <x:v>47;57</x:v>
      </x:c>
      <x:c r="X988" s="51" t="str">
        <x:v>2026-07-27</x:v>
      </x:c>
    </x:row>
    <x:row r="989">
      <x:c r="A989" s="51" t="str">
        <x:v>V16DEF-001</x:v>
      </x:c>
      <x:c r="B989" s="51" t="str">
        <x:v>Default waterfalls, mutualisation and resolution</x:v>
      </x:c>
      <x:c r="C989" s="51" t="str">
        <x:v>ACT-DEFAULTINGCLEARINGMEMBER</x:v>
      </x:c>
      <x:c r="D989" s="51" t="str">
        <x:v>Defaulting clearing member</x:v>
      </x:c>
      <x:c r="E989" s="51" t="str">
        <x:v>ACT-CENTRALCOUNTERPARTIES</x:v>
      </x:c>
      <x:c r="F989" s="51" t="str">
        <x:v>Central counterparties</x:v>
      </x:c>
      <x:c r="G989" s="51" t="str">
        <x:v>Failed member → CCP</x:v>
      </x:c>
      <x:c r="H989" s="51" t="str">
        <x:v>Default event</x:v>
      </x:c>
      <x:c r="I989" s="51" t="str">
        <x:v>Unpaid obligations and default portfolio</x:v>
      </x:c>
      <x:c r="J989" s="51" t="str">
        <x:v>INS-351</x:v>
      </x:c>
      <x:c r="K989" s="51" t="str">
        <x:v>Portfolio-specific</x:v>
      </x:c>
      <x:c r="L989" s="51" t="str">
        <x:v>Member failure and market moves</x:v>
      </x:c>
      <x:c r="M989" s="51" t="str">
        <x:v>Default-management process</x:v>
      </x:c>
      <x:c r="N989" s="51" t="str">
        <x:v>CCP default procedures convert one member's failure into hedging, auction and loss-allocation actions</x:v>
      </x:c>
      <x:c r="O989" s="51" t="str">
        <x:v>Financial; operational; systemic</x:v>
      </x:c>
      <x:c r="P989" s="51" t="str">
        <x:v>E1</x:v>
      </x:c>
      <x:c r="Q989" s="51" t="str">
        <x:v>Very high</x:v>
      </x:c>
      <x:c r="R989" s="51" t="str">
        <x:v>SRC-720; SRC-721; SRC-724; SRC-728</x:v>
      </x:c>
      <x:c r="S989" s="51" t="str">
        <x:v>CCPs maintain default-management and waterfall processes.</x:v>
      </x:c>
      <x:c r="T989" s="51" t="str">
        <x:v>Automatic containment without residual loss.</x:v>
      </x:c>
      <x:c r="U989" s="51" t="str">
        <x:v>Extreme moves can exceed prefunded resources.</x:v>
      </x:c>
      <x:c r="V989" s="51" t="str">
        <x:v>Active contingency</x:v>
      </x:c>
      <x:c r="W989" s="51" t="str">
        <x:v>47;57</x:v>
      </x:c>
      <x:c r="X989" s="51" t="str">
        <x:v>2026-07-27</x:v>
      </x:c>
    </x:row>
    <x:row r="990">
      <x:c r="A990" s="51" t="str">
        <x:v>V16DEF-002</x:v>
      </x:c>
      <x:c r="B990" s="51" t="str">
        <x:v>Default waterfalls, mutualisation and resolution</x:v>
      </x:c>
      <x:c r="C990" s="51" t="str">
        <x:v>ACT-INITIALMARGINCOLLATERAL</x:v>
      </x:c>
      <x:c r="D990" s="51" t="str">
        <x:v>Initial margin collateral</x:v>
      </x:c>
      <x:c r="E990" s="51" t="str">
        <x:v>ACT-DEFAULTINGCLEARINGMEMBER</x:v>
      </x:c>
      <x:c r="F990" s="51" t="str">
        <x:v>Defaulting clearing member</x:v>
      </x:c>
      <x:c r="G990" s="51" t="str">
        <x:v>Defaulter resources → losses</x:v>
      </x:c>
      <x:c r="H990" s="51" t="str">
        <x:v>Default event</x:v>
      </x:c>
      <x:c r="I990" s="51" t="str">
        <x:v>First-loss application</x:v>
      </x:c>
      <x:c r="J990" s="51" t="str">
        <x:v>INS-351</x:v>
      </x:c>
      <x:c r="K990" s="51" t="str">
        <x:v>Defaulter-specific</x:v>
      </x:c>
      <x:c r="L990" s="51" t="str">
        <x:v>Posted collateral</x:v>
      </x:c>
      <x:c r="M990" s="51" t="str">
        <x:v>Loss absorption</x:v>
      </x:c>
      <x:c r="N990" s="51" t="str">
        <x:v>The defaulter-pays principle uses the failed member's own resources before mutualised resources</x:v>
      </x:c>
      <x:c r="O990" s="51" t="str">
        <x:v>Financial; legal; systemic</x:v>
      </x:c>
      <x:c r="P990" s="51" t="str">
        <x:v>E1</x:v>
      </x:c>
      <x:c r="Q990" s="51" t="str">
        <x:v>Very high</x:v>
      </x:c>
      <x:c r="R990" s="51" t="str">
        <x:v>SRC-719; SRC-720; SRC-724; SRC-728</x:v>
      </x:c>
      <x:c r="S990" s="51" t="str">
        <x:v>Defaulting-member margin and default-fund contributions are applied early in waterfalls.</x:v>
      </x:c>
      <x:c r="T990" s="51" t="str">
        <x:v>Protection against every possible loss or use of unrelated client collateral where law prohibits it.</x:v>
      </x:c>
      <x:c r="U990" s="51" t="str">
        <x:v>Account segregation and product waterfalls matter.</x:v>
      </x:c>
      <x:c r="V990" s="51" t="str">
        <x:v>Active contingency</x:v>
      </x:c>
      <x:c r="W990" s="51" t="str">
        <x:v>47;57</x:v>
      </x:c>
      <x:c r="X990" s="51" t="str">
        <x:v>2026-07-27</x:v>
      </x:c>
    </x:row>
    <x:row r="991">
      <x:c r="A991" s="51" t="str">
        <x:v>V16DEF-003</x:v>
      </x:c>
      <x:c r="B991" s="51" t="str">
        <x:v>Default waterfalls, mutualisation and resolution</x:v>
      </x:c>
      <x:c r="C991" s="51" t="str">
        <x:v>ACT-CENTRALCOUNTERPARTIES</x:v>
      </x:c>
      <x:c r="D991" s="51" t="str">
        <x:v>Central counterparties</x:v>
      </x:c>
      <x:c r="E991" s="51" t="str">
        <x:v>ACT-DEFAULTFUNDS</x:v>
      </x:c>
      <x:c r="F991" s="51" t="str">
        <x:v>Default funds</x:v>
      </x:c>
      <x:c r="G991" s="51" t="str">
        <x:v>CCP and members → mutualised pool</x:v>
      </x:c>
      <x:c r="H991" s="51" t="str">
        <x:v>Ongoing</x:v>
      </x:c>
      <x:c r="I991" s="51" t="str">
        <x:v>Prefunded default resources</x:v>
      </x:c>
      <x:c r="J991" s="51" t="str">
        <x:v>INS-351; INS-354; INS-355; INS-356</x:v>
      </x:c>
      <x:c r="K991" s="51" t="str">
        <x:v>CCP-specific</x:v>
      </x:c>
      <x:c r="L991" s="51" t="str">
        <x:v>CCP contributions and member contributions</x:v>
      </x:c>
      <x:c r="M991" s="51" t="str">
        <x:v>Mutualised loss-absorbing capacity</x:v>
      </x:c>
      <x:c r="N991" s="51" t="str">
        <x:v>A default fund socialises extreme residual losses among clearing participants after specified layers</x:v>
      </x:c>
      <x:c r="O991" s="51" t="str">
        <x:v>Financial; ownership; systemic</x:v>
      </x:c>
      <x:c r="P991" s="51" t="str">
        <x:v>E1</x:v>
      </x:c>
      <x:c r="Q991" s="51" t="str">
        <x:v>Very high</x:v>
      </x:c>
      <x:c r="R991" s="51" t="str">
        <x:v>SRC-720; SRC-724; SRC-728</x:v>
      </x:c>
      <x:c r="S991" s="51" t="str">
        <x:v>CCP waterfalls include mutualised prefunded resources.</x:v>
      </x:c>
      <x:c r="T991" s="51" t="str">
        <x:v>Deposit insurance, government guarantee or equal loss allocation across all products.</x:v>
      </x:c>
      <x:c r="U991" s="51" t="str">
        <x:v>Waterfalls are service- and rule-specific.</x:v>
      </x:c>
      <x:c r="V991" s="51" t="str">
        <x:v>Active</x:v>
      </x:c>
      <x:c r="W991" s="51" t="str">
        <x:v>47;57</x:v>
      </x:c>
      <x:c r="X991" s="51" t="str">
        <x:v>2026-07-27</x:v>
      </x:c>
    </x:row>
    <x:row r="992">
      <x:c r="A992" s="51" t="str">
        <x:v>V16DEF-004</x:v>
      </x:c>
      <x:c r="B992" s="51" t="str">
        <x:v>Default waterfalls, mutualisation and resolution</x:v>
      </x:c>
      <x:c r="C992" s="51" t="str">
        <x:v>ACT-DEFAULTFUNDS</x:v>
      </x:c>
      <x:c r="D992" s="51" t="str">
        <x:v>Default funds</x:v>
      </x:c>
      <x:c r="E992" s="51" t="str">
        <x:v>ACT-NONDEFAULTINGCLEARINGMEM</x:v>
      </x:c>
      <x:c r="F992" s="51" t="str">
        <x:v>Non-defaulting clearing members</x:v>
      </x:c>
      <x:c r="G992" s="51" t="str">
        <x:v>Mutualised pool → solvent members</x:v>
      </x:c>
      <x:c r="H992" s="51" t="str">
        <x:v>Extreme default event</x:v>
      </x:c>
      <x:c r="I992" s="51" t="str">
        <x:v>Use of prefunded contributions and assessments</x:v>
      </x:c>
      <x:c r="J992" s="51" t="str">
        <x:v>INS-351</x:v>
      </x:c>
      <x:c r="K992" s="51" t="str">
        <x:v>CCP-specific</x:v>
      </x:c>
      <x:c r="L992" s="51" t="str">
        <x:v>Residual default losses</x:v>
      </x:c>
      <x:c r="M992" s="51" t="str">
        <x:v>Loss mutualisation and recapitalisation obligation</x:v>
      </x:c>
      <x:c r="N992" s="51" t="str">
        <x:v>Central clearing replaces bilateral contagion with rule-based collective exposure to tail losses</x:v>
      </x:c>
      <x:c r="O992" s="51" t="str">
        <x:v>Financial; relational; systemic</x:v>
      </x:c>
      <x:c r="P992" s="51" t="str">
        <x:v>S1</x:v>
      </x:c>
      <x:c r="Q992" s="51" t="str">
        <x:v>High</x:v>
      </x:c>
      <x:c r="R992" s="51" t="str">
        <x:v>SRC-720; SRC-724; SRC-725; SRC-728</x:v>
      </x:c>
      <x:c r="S992" s="51" t="str">
        <x:v>Non-defaulting members can bear residual losses through default funds and assessments.</x:v>
      </x:c>
      <x:c r="T992" s="51" t="str">
        <x:v>Unlimited liability or frequent use in ordinary conditions.</x:v>
      </x:c>
      <x:c r="U992" s="51" t="str">
        <x:v>Caps, product silos and recovery rules differ.</x:v>
      </x:c>
      <x:c r="V992" s="51" t="str">
        <x:v>Active contingency</x:v>
      </x:c>
      <x:c r="W992" s="51" t="str">
        <x:v>47;57</x:v>
      </x:c>
      <x:c r="X992" s="51" t="str">
        <x:v>2026-07-27</x:v>
      </x:c>
    </x:row>
    <x:row r="993">
      <x:c r="A993" s="51" t="str">
        <x:v>V16DEF-005</x:v>
      </x:c>
      <x:c r="B993" s="51" t="str">
        <x:v>Default waterfalls, mutualisation and resolution</x:v>
      </x:c>
      <x:c r="C993" s="51" t="str">
        <x:v>ACT-RESOLUTIONAUTHORITIESFOR</x:v>
      </x:c>
      <x:c r="D993" s="51" t="str">
        <x:v>Resolution authorities for CCPs</x:v>
      </x:c>
      <x:c r="E993" s="51" t="str">
        <x:v>ACT-CENTRALCOUNTERPARTIES</x:v>
      </x:c>
      <x:c r="F993" s="51" t="str">
        <x:v>Central counterparties</x:v>
      </x:c>
      <x:c r="G993" s="51" t="str">
        <x:v>Public authority → critical infrastructure</x:v>
      </x:c>
      <x:c r="H993" s="51" t="str">
        <x:v>Failure beyond recovery</x:v>
      </x:c>
      <x:c r="I993" s="51" t="str">
        <x:v>Resolution powers and resources</x:v>
      </x:c>
      <x:c r="J993" s="51" t="str">
        <x:v>INS-353</x:v>
      </x:c>
      <x:c r="K993" s="51" t="str">
        <x:v>Systemically important CCP-specific</x:v>
      </x:c>
      <x:c r="L993" s="51" t="str">
        <x:v>Exhausted or inadequate recovery resources</x:v>
      </x:c>
      <x:c r="M993" s="51" t="str">
        <x:v>Orderly continuation, transfer or wind-down</x:v>
      </x:c>
      <x:c r="N993" s="51" t="str">
        <x:v>Resolution converts a private infrastructure failure into a public financial-stability intervention</x:v>
      </x:c>
      <x:c r="O993" s="51" t="str">
        <x:v>Institutional; legal; systemic</x:v>
      </x:c>
      <x:c r="P993" s="51" t="str">
        <x:v>E1</x:v>
      </x:c>
      <x:c r="Q993" s="51" t="str">
        <x:v>High</x:v>
      </x:c>
      <x:c r="R993" s="51" t="str">
        <x:v>SRC-715; SRC-716</x:v>
      </x:c>
      <x:c r="S993" s="51" t="str">
        <x:v>FSB standards require planning for CCP resolution resources and tools.</x:v>
      </x:c>
      <x:c r="T993" s="51" t="str">
        <x:v>Automatic public recapitalisation or guarantee of uninterrupted service.</x:v>
      </x:c>
      <x:c r="U993" s="51" t="str">
        <x:v>Authorities choose tools under national law.</x:v>
      </x:c>
      <x:c r="V993" s="51" t="str">
        <x:v>Implementation</x:v>
      </x:c>
      <x:c r="W993" s="51" t="str">
        <x:v>47;57</x:v>
      </x:c>
      <x:c r="X993" s="51" t="str">
        <x:v>2026-07-27</x:v>
      </x:c>
    </x:row>
    <x:row r="994">
      <x:c r="A994" s="51" t="str">
        <x:v>V16DER-001</x:v>
      </x:c>
      <x:c r="B994" s="51" t="str">
        <x:v>Derivatives trading, hedging and market risk</x:v>
      </x:c>
      <x:c r="C994" s="51" t="str">
        <x:v>ACT-COMMERCIALHEDGERS</x:v>
      </x:c>
      <x:c r="D994" s="51" t="str">
        <x:v>Commercial hedgers</x:v>
      </x:c>
      <x:c r="E994" s="51" t="str">
        <x:v>ACT-SWAPDEALERS</x:v>
      </x:c>
      <x:c r="F994" s="51" t="str">
        <x:v>Swap dealers</x:v>
      </x:c>
      <x:c r="G994" s="51" t="str">
        <x:v>End user → dealer</x:v>
      </x:c>
      <x:c r="H994" s="51" t="str">
        <x:v>Trade inception</x:v>
      </x:c>
      <x:c r="I994" s="51" t="str">
        <x:v>Hedging transaction</x:v>
      </x:c>
      <x:c r="J994" s="51" t="str">
        <x:v>INS-347; INS-357</x:v>
      </x:c>
      <x:c r="K994" s="51" t="str">
        <x:v>Trade-specific</x:v>
      </x:c>
      <x:c r="L994" s="51" t="str">
        <x:v>Commodity, rate, currency or credit exposure</x:v>
      </x:c>
      <x:c r="M994" s="51" t="str">
        <x:v>Derivative position offsetting defined risk</x:v>
      </x:c>
      <x:c r="N994" s="51" t="str">
        <x:v>A derivative converts an underlying business exposure into a tradable contractual payoff</x:v>
      </x:c>
      <x:c r="O994" s="51" t="str">
        <x:v>Financial; relational; informational</x:v>
      </x:c>
      <x:c r="P994" s="51" t="str">
        <x:v>E1</x:v>
      </x:c>
      <x:c r="Q994" s="51" t="str">
        <x:v>High</x:v>
      </x:c>
      <x:c r="R994" s="51" t="str">
        <x:v>SRC-707; SRC-710</x:v>
      </x:c>
      <x:c r="S994" s="51" t="str">
        <x:v>U.S. derivatives markets support large futures and swaps activity.</x:v>
      </x:c>
      <x:c r="T994" s="51" t="str">
        <x:v>Elimination of all risk or proof that every derivative is a hedge.</x:v>
      </x:c>
      <x:c r="U994" s="51" t="str">
        <x:v>Basis, liquidity, model and counterparty risks remain.</x:v>
      </x:c>
      <x:c r="V994" s="51" t="str">
        <x:v>Active</x:v>
      </x:c>
      <x:c r="W994" s="51" t="str">
        <x:v>47;57</x:v>
      </x:c>
      <x:c r="X994" s="51" t="str">
        <x:v>2026-07-27</x:v>
      </x:c>
    </x:row>
    <x:row r="995">
      <x:c r="A995" s="51" t="str">
        <x:v>V16DER-002</x:v>
      </x:c>
      <x:c r="B995" s="51" t="str">
        <x:v>Derivatives trading, hedging and market risk</x:v>
      </x:c>
      <x:c r="C995" s="51" t="str">
        <x:v>ACT-SWAPDEALERS</x:v>
      </x:c>
      <x:c r="D995" s="51" t="str">
        <x:v>Swap dealers</x:v>
      </x:c>
      <x:c r="E995" s="51" t="str">
        <x:v>ACT-COMMERCIALHEDGERS</x:v>
      </x:c>
      <x:c r="F995" s="51" t="str">
        <x:v>Commercial hedgers</x:v>
      </x:c>
      <x:c r="G995" s="51" t="str">
        <x:v>Dealer → end user</x:v>
      </x:c>
      <x:c r="H995" s="51" t="str">
        <x:v>Trade term</x:v>
      </x:c>
      <x:c r="I995" s="51" t="str">
        <x:v>Market-making and risk intermediation</x:v>
      </x:c>
      <x:c r="J995" s="51" t="str">
        <x:v>INS-347; INS-357</x:v>
      </x:c>
      <x:c r="K995" s="51" t="str">
        <x:v>Trade-specific</x:v>
      </x:c>
      <x:c r="L995" s="51" t="str">
        <x:v>Dealer balance sheet, pricing and market access</x:v>
      </x:c>
      <x:c r="M995" s="51" t="str">
        <x:v>Customised risk-transfer contract</x:v>
      </x:c>
      <x:c r="N995" s="51" t="str">
        <x:v>Dealer intermediation converts heterogeneous risk needs into marketable contracts</x:v>
      </x:c>
      <x:c r="O995" s="51" t="str">
        <x:v>Financial; informational; relational</x:v>
      </x:c>
      <x:c r="P995" s="51" t="str">
        <x:v>S1</x:v>
      </x:c>
      <x:c r="Q995" s="51" t="str">
        <x:v>High</x:v>
      </x:c>
      <x:c r="R995" s="51" t="str">
        <x:v>SRC-707; SRC-710; SRC-732</x:v>
      </x:c>
      <x:c r="S995" s="51" t="str">
        <x:v>Swap dealers intermediate OTC derivatives.</x:v>
      </x:c>
      <x:c r="T995" s="51" t="str">
        <x:v>Dealer retention of the full risk or absence of conflicts.</x:v>
      </x:c>
      <x:c r="U995" s="51" t="str">
        <x:v>Dealers hedge, net and redistribute exposures.</x:v>
      </x:c>
      <x:c r="V995" s="51" t="str">
        <x:v>Active</x:v>
      </x:c>
      <x:c r="W995" s="51" t="str">
        <x:v>47;57</x:v>
      </x:c>
      <x:c r="X995" s="51" t="str">
        <x:v>2026-07-27</x:v>
      </x:c>
    </x:row>
    <x:row r="996">
      <x:c r="A996" s="51" t="str">
        <x:v>V16DER-003</x:v>
      </x:c>
      <x:c r="B996" s="51" t="str">
        <x:v>Derivatives trading, hedging and market risk</x:v>
      </x:c>
      <x:c r="C996" s="51" t="str">
        <x:v>ACT-LIQUIDITYPROVIDERSANDSPE</x:v>
      </x:c>
      <x:c r="D996" s="51" t="str">
        <x:v>Liquidity providers and speculators</x:v>
      </x:c>
      <x:c r="E996" s="51" t="str">
        <x:v>ACT-DERIVATIVESMARKETS</x:v>
      </x:c>
      <x:c r="F996" s="51" t="str">
        <x:v>Derivatives markets</x:v>
      </x:c>
      <x:c r="G996" s="51" t="str">
        <x:v>Risk taker → market</x:v>
      </x:c>
      <x:c r="H996" s="51" t="str">
        <x:v>Ongoing</x:v>
      </x:c>
      <x:c r="I996" s="51" t="str">
        <x:v>Liquidity provision and directional positioning</x:v>
      </x:c>
      <x:c r="J996" s="51" t="str">
        <x:v>INS-347</x:v>
      </x:c>
      <x:c r="K996" s="51" t="str">
        <x:v>Market-wide</x:v>
      </x:c>
      <x:c r="L996" s="51" t="str">
        <x:v>Capital and risk appetite</x:v>
      </x:c>
      <x:c r="M996" s="51" t="str">
        <x:v>Tradable liquidity and price discovery</x:v>
      </x:c>
      <x:c r="N996" s="51" t="str">
        <x:v>Speculative risk bearing can make hedging possible while also amplifying leverage and volatility</x:v>
      </x:c>
      <x:c r="O996" s="51" t="str">
        <x:v>Financial; informational; systemic</x:v>
      </x:c>
      <x:c r="P996" s="51" t="str">
        <x:v>S1</x:v>
      </x:c>
      <x:c r="Q996" s="51" t="str">
        <x:v>High</x:v>
      </x:c>
      <x:c r="R996" s="51" t="str">
        <x:v>SRC-707; SRC-710</x:v>
      </x:c>
      <x:c r="S996" s="51" t="str">
        <x:v>Derivatives markets include participants with different motives and positions.</x:v>
      </x:c>
      <x:c r="T996" s="51" t="str">
        <x:v>That all speculation is destabilising or all liquidity is socially beneficial.</x:v>
      </x:c>
      <x:c r="U996" s="51" t="str">
        <x:v>Effects depend on leverage, crowding and market structure.</x:v>
      </x:c>
      <x:c r="V996" s="51" t="str">
        <x:v>Active</x:v>
      </x:c>
      <x:c r="W996" s="51" t="str">
        <x:v>47;57</x:v>
      </x:c>
      <x:c r="X996" s="51" t="str">
        <x:v>2026-07-27</x:v>
      </x:c>
    </x:row>
    <x:row r="997">
      <x:c r="A997" s="51" t="str">
        <x:v>V16DER-004</x:v>
      </x:c>
      <x:c r="B997" s="51" t="str">
        <x:v>Derivatives trading, hedging and market risk</x:v>
      </x:c>
      <x:c r="C997" s="51" t="str">
        <x:v>ACT-COMMODITYFUTURESTRADINGC</x:v>
      </x:c>
      <x:c r="D997" s="51" t="str">
        <x:v>Commodity Futures Trading Commission</x:v>
      </x:c>
      <x:c r="E997" s="51" t="str">
        <x:v>ACT-DERIVATIVESCLEARINGORGAN</x:v>
      </x:c>
      <x:c r="F997" s="51" t="str">
        <x:v>Derivatives clearing organizations</x:v>
      </x:c>
      <x:c r="G997" s="51" t="str">
        <x:v>Regulator → clearing institutions</x:v>
      </x:c>
      <x:c r="H997" s="51" t="str">
        <x:v>Ongoing</x:v>
      </x:c>
      <x:c r="I997" s="51" t="str">
        <x:v>Registration and supervision</x:v>
      </x:c>
      <x:c r="J997" s="51" t="str">
        <x:v>INS-347; INS-348</x:v>
      </x:c>
      <x:c r="K997" s="51" t="str">
        <x:v>Registered DCO population</x:v>
      </x:c>
      <x:c r="L997" s="51" t="str">
        <x:v>Rules, examinations and reporting</x:v>
      </x:c>
      <x:c r="M997" s="51" t="str">
        <x:v>Authorised clearing status and compliance obligations</x:v>
      </x:c>
      <x:c r="N997" s="51" t="str">
        <x:v>Public supervision converts private clearing into regulated market infrastructure</x:v>
      </x:c>
      <x:c r="O997" s="51" t="str">
        <x:v>Institutional; legal; systemic</x:v>
      </x:c>
      <x:c r="P997" s="51" t="str">
        <x:v>E1</x:v>
      </x:c>
      <x:c r="Q997" s="51" t="str">
        <x:v>Very high</x:v>
      </x:c>
      <x:c r="R997" s="51" t="str">
        <x:v>SRC-707; SRC-708</x:v>
      </x:c>
      <x:c r="S997" s="51" t="str">
        <x:v>CFTC registers and oversees derivatives clearing organizations.</x:v>
      </x:c>
      <x:c r="T997" s="51" t="str">
        <x:v>Guarantee against CCP failure or direct management of every margin call.</x:v>
      </x:c>
      <x:c r="U997" s="51" t="str">
        <x:v>DCOs operate private risk systems under public rules.</x:v>
      </x:c>
      <x:c r="V997" s="51" t="str">
        <x:v>Active</x:v>
      </x:c>
      <x:c r="W997" s="51" t="str">
        <x:v>47;57</x:v>
      </x:c>
      <x:c r="X997" s="51" t="str">
        <x:v>2026-07-27</x:v>
      </x:c>
    </x:row>
    <x:row r="998">
      <x:c r="A998" s="51" t="str">
        <x:v>V16DER-005</x:v>
      </x:c>
      <x:c r="B998" s="51" t="str">
        <x:v>Derivatives trading, hedging and market risk</x:v>
      </x:c>
      <x:c r="C998" s="51" t="str">
        <x:v>ACT-MICHAELSSELIG</x:v>
      </x:c>
      <x:c r="D998" s="51" t="str">
        <x:v>Michael S. Selig</x:v>
      </x:c>
      <x:c r="E998" s="51" t="str">
        <x:v>ACT-COMMODITYFUTURESTRADINGC</x:v>
      </x:c>
      <x:c r="F998" s="51" t="str">
        <x:v>Commodity Futures Trading Commission</x:v>
      </x:c>
      <x:c r="G998" s="51" t="str">
        <x:v>Chairman → regulator</x:v>
      </x:c>
      <x:c r="H998" s="51" t="str">
        <x:v>Current 2026</x:v>
      </x:c>
      <x:c r="I998" s="51" t="str">
        <x:v>Commission leadership</x:v>
      </x:c>
      <x:c r="J998" s="51" t="str">
        <x:v>INS-347</x:v>
      </x:c>
      <x:c r="K998" s="51" t="str">
        <x:v>Formal office</x:v>
      </x:c>
      <x:c r="L998" s="51" t="str">
        <x:v>Statutory office and commission mandate</x:v>
      </x:c>
      <x:c r="M998" s="51" t="str">
        <x:v>Regulatory agenda and administration</x:v>
      </x:c>
      <x:c r="N998" s="51" t="str">
        <x:v>Chair leadership shapes priorities without replacing commission votes or statutory limits</x:v>
      </x:c>
      <x:c r="O998" s="51" t="str">
        <x:v>Institutional; legal; relational</x:v>
      </x:c>
      <x:c r="P998" s="51" t="str">
        <x:v>E1</x:v>
      </x:c>
      <x:c r="Q998" s="51" t="str">
        <x:v>Very high</x:v>
      </x:c>
      <x:c r="R998" s="51" t="str">
        <x:v>SRC-709</x:v>
      </x:c>
      <x:c r="S998" s="51" t="str">
        <x:v>Michael S. Selig is the current CFTC Chairman.</x:v>
      </x:c>
      <x:c r="T998" s="51" t="str">
        <x:v>Personal ownership of derivatives markets or unilateral control of every enforcement matter.</x:v>
      </x:c>
      <x:c r="U998" s="51" t="str">
        <x:v>The CFTC is a commission governed by statute and procedure.</x:v>
      </x:c>
      <x:c r="V998" s="51" t="str">
        <x:v>Active</x:v>
      </x:c>
      <x:c r="W998" s="51" t="str">
        <x:v>47;57</x:v>
      </x:c>
      <x:c r="X998" s="51" t="str">
        <x:v>2026-07-27</x:v>
      </x:c>
    </x:row>
    <x:row r="999">
      <x:c r="A999" s="51" t="str">
        <x:v>V16ICE-001</x:v>
      </x:c>
      <x:c r="B999" s="51" t="str">
        <x:v>Named clearinghouses and operational risk resources</x:v>
      </x:c>
      <x:c r="C999" s="51" t="str">
        <x:v>ACT-ICECLEARCREDIT</x:v>
      </x:c>
      <x:c r="D999" s="51" t="str">
        <x:v>ICE Clear Credit</x:v>
      </x:c>
      <x:c r="E999" s="51" t="str">
        <x:v>ACT-CLEARINGMEMBERS</x:v>
      </x:c>
      <x:c r="F999" s="51" t="str">
        <x:v>Clearing members</x:v>
      </x:c>
      <x:c r="G999" s="51" t="str">
        <x:v>CCP → clearing participants</x:v>
      </x:c>
      <x:c r="H999" s="51" t="str">
        <x:v>Current 2026</x:v>
      </x:c>
      <x:c r="I999" s="51" t="str">
        <x:v>CDS clearing and default resources</x:v>
      </x:c>
      <x:c r="J999" s="51" t="str">
        <x:v>INS-356</x:v>
      </x:c>
      <x:c r="K999" s="51" t="str">
        <x:v>$68.436 billion margin on deposit and $6.065 billion minimum additional resources disclosed</x:v>
      </x:c>
      <x:c r="L999" s="51" t="str">
        <x:v>Member positions, margin and guaranty funds</x:v>
      </x:c>
      <x:c r="M999" s="51" t="str">
        <x:v>Cleared credit-risk obligations</x:v>
      </x:c>
      <x:c r="N999" s="51" t="str">
        <x:v>A specialised CDS CCP concentrates credit-derivative exposure behind a large collateral package</x:v>
      </x:c>
      <x:c r="O999" s="51" t="str">
        <x:v>Financial; operational; systemic</x:v>
      </x:c>
      <x:c r="P999" s="51" t="str">
        <x:v>E1</x:v>
      </x:c>
      <x:c r="Q999" s="51" t="str">
        <x:v>Very high</x:v>
      </x:c>
      <x:c r="R999" s="51" t="str">
        <x:v>SRC-727; SRC-728; SRC-729</x:v>
      </x:c>
      <x:c r="S999" s="51" t="str">
        <x:v>ICE Clear Credit discloses large margin and default-resource pools.</x:v>
      </x:c>
      <x:c r="T999" s="51" t="str">
        <x:v>Risk-free clearing or public guarantee of all CDS obligations.</x:v>
      </x:c>
      <x:c r="U999" s="51" t="str">
        <x:v>Resources are calibrated to stress models and legal rules.</x:v>
      </x:c>
      <x:c r="V999" s="51" t="str">
        <x:v>Active</x:v>
      </x:c>
      <x:c r="W999" s="51" t="str">
        <x:v>47;57</x:v>
      </x:c>
      <x:c r="X999" s="51" t="str">
        <x:v>2026-07-27</x:v>
      </x:c>
    </x:row>
    <x:row r="1000">
      <x:c r="A1000" s="51" t="str">
        <x:v>V16ICE-002</x:v>
      </x:c>
      <x:c r="B1000" s="51" t="str">
        <x:v>Named clearinghouses and operational risk resources</x:v>
      </x:c>
      <x:c r="C1000" s="51" t="str">
        <x:v>ACT-ICECLEARCREDIT</x:v>
      </x:c>
      <x:c r="D1000" s="51" t="str">
        <x:v>ICE Clear Credit</x:v>
      </x:c>
      <x:c r="E1000" s="51" t="str">
        <x:v>ACT-DEFAULTFUNDS</x:v>
      </x:c>
      <x:c r="F1000" s="51" t="str">
        <x:v>Default funds</x:v>
      </x:c>
      <x:c r="G1000" s="51" t="str">
        <x:v>CCP → guaranty fund</x:v>
      </x:c>
      <x:c r="H1000" s="51" t="str">
        <x:v>Ongoing</x:v>
      </x:c>
      <x:c r="I1000" s="51" t="str">
        <x:v>Corporate and participant contributions</x:v>
      </x:c>
      <x:c r="J1000" s="51" t="str">
        <x:v>INS-356</x:v>
      </x:c>
      <x:c r="K1000" s="51" t="str">
        <x:v>$50 million CCP contribution, $75 million insurance and $5.94 billion required participant contributions disclosed</x:v>
      </x:c>
      <x:c r="L1000" s="51" t="str">
        <x:v>Prefunded resources</x:v>
      </x:c>
      <x:c r="M1000" s="51" t="str">
        <x:v>Tail-loss absorption capacity</x:v>
      </x:c>
      <x:c r="N1000" s="51" t="str">
        <x:v>The resource package combines defaulter-pays, CCP capital, insurance and mutualised member resources</x:v>
      </x:c>
      <x:c r="O1000" s="51" t="str">
        <x:v>Financial; systemic; institutional</x:v>
      </x:c>
      <x:c r="P1000" s="51" t="str">
        <x:v>E1</x:v>
      </x:c>
      <x:c r="Q1000" s="51" t="str">
        <x:v>Very high</x:v>
      </x:c>
      <x:c r="R1000" s="51" t="str">
        <x:v>SRC-727; SRC-728</x:v>
      </x:c>
      <x:c r="S1000" s="51" t="str">
        <x:v>ICE Clear Credit publicly describes its default-resource composition.</x:v>
      </x:c>
      <x:c r="T1000" s="51" t="str">
        <x:v>Unlimited coverage or certainty that resources match every future stress.</x:v>
      </x:c>
      <x:c r="U1000" s="51" t="str">
        <x:v>Figures and risk profiles change over time.</x:v>
      </x:c>
      <x:c r="V1000" s="51" t="str">
        <x:v>Active</x:v>
      </x:c>
      <x:c r="W1000" s="51" t="str">
        <x:v>47;57</x:v>
      </x:c>
      <x:c r="X1000" s="51" t="str">
        <x:v>2026-07-27</x:v>
      </x:c>
    </x:row>
    <x:row r="1001">
      <x:c r="A1001" s="51" t="str">
        <x:v>V16ILS-001</x:v>
      </x:c>
      <x:c r="B1001" s="51" t="str">
        <x:v>Catastrophe bonds and insurance-linked securities</x:v>
      </x:c>
      <x:c r="C1001" s="51" t="str">
        <x:v>ACT-CATASTROPHEBONDSPONSORS</x:v>
      </x:c>
      <x:c r="D1001" s="51" t="str">
        <x:v>Catastrophe bond sponsors</x:v>
      </x:c>
      <x:c r="E1001" s="51" t="str">
        <x:v>ACT-SPECIALPURPOSEREINSURERS</x:v>
      </x:c>
      <x:c r="F1001" s="51" t="str">
        <x:v>Special purpose reinsurers</x:v>
      </x:c>
      <x:c r="G1001" s="51" t="str">
        <x:v>Sponsor → special vehicle</x:v>
      </x:c>
      <x:c r="H1001" s="51" t="str">
        <x:v>Transaction inception</x:v>
      </x:c>
      <x:c r="I1001" s="51" t="str">
        <x:v>Collateralised reinsurance agreement</x:v>
      </x:c>
      <x:c r="J1001" s="51" t="str">
        <x:v>INS-345; INS-346</x:v>
      </x:c>
      <x:c r="K1001" s="51" t="str">
        <x:v>Transaction-specific</x:v>
      </x:c>
      <x:c r="L1001" s="51" t="str">
        <x:v>Defined peril exposure and premium</x:v>
      </x:c>
      <x:c r="M1001" s="51" t="str">
        <x:v>Contractual reinsurance protection</x:v>
      </x:c>
      <x:c r="N1001" s="51" t="str">
        <x:v>A special vehicle isolates risk transfer from the sponsor's ordinary balance sheet</x:v>
      </x:c>
      <x:c r="O1001" s="51" t="str">
        <x:v>Financial; legal; ownership</x:v>
      </x:c>
      <x:c r="P1001" s="51" t="str">
        <x:v>E1</x:v>
      </x:c>
      <x:c r="Q1001" s="51" t="str">
        <x:v>Very high</x:v>
      </x:c>
      <x:c r="R1001" s="51" t="str">
        <x:v>SRC-703; SRC-705; SRC-706</x:v>
      </x:c>
      <x:c r="S1001" s="51" t="str">
        <x:v>Catastrophe bonds use special purpose vehicles and collateralised reinsurance structures.</x:v>
      </x:c>
      <x:c r="T1001" s="51" t="str">
        <x:v>Elimination of basis risk or guarantee that every sponsor loss triggers payment.</x:v>
      </x:c>
      <x:c r="U1001" s="51" t="str">
        <x:v>Trigger design determines payout alignment.</x:v>
      </x:c>
      <x:c r="V1001" s="51" t="str">
        <x:v>Active</x:v>
      </x:c>
      <x:c r="W1001" s="51" t="str">
        <x:v>47;57</x:v>
      </x:c>
      <x:c r="X1001" s="51" t="str">
        <x:v>2026-07-27</x:v>
      </x:c>
    </x:row>
    <x:row r="1002">
      <x:c r="A1002" s="51" t="str">
        <x:v>V16ILS-002</x:v>
      </x:c>
      <x:c r="B1002" s="51" t="str">
        <x:v>Catastrophe bonds and insurance-linked securities</x:v>
      </x:c>
      <x:c r="C1002" s="51" t="str">
        <x:v>ACT-INSURANCELINKEDSECURITIE</x:v>
      </x:c>
      <x:c r="D1002" s="51" t="str">
        <x:v>Insurance-linked securities investors</x:v>
      </x:c>
      <x:c r="E1002" s="51" t="str">
        <x:v>ACT-SPECIALPURPOSEREINSURERS</x:v>
      </x:c>
      <x:c r="F1002" s="51" t="str">
        <x:v>Special purpose reinsurers</x:v>
      </x:c>
      <x:c r="G1002" s="51" t="str">
        <x:v>Investor → special vehicle</x:v>
      </x:c>
      <x:c r="H1002" s="51" t="str">
        <x:v>Issuance</x:v>
      </x:c>
      <x:c r="I1002" s="51" t="str">
        <x:v>Purchase of principal-at-risk notes</x:v>
      </x:c>
      <x:c r="J1002" s="51" t="str">
        <x:v>INS-345; INS-346</x:v>
      </x:c>
      <x:c r="K1002" s="51" t="str">
        <x:v>$24.7 billion total ILS issuance in 2025</x:v>
      </x:c>
      <x:c r="L1002" s="51" t="str">
        <x:v>Investor principal</x:v>
      </x:c>
      <x:c r="M1002" s="51" t="str">
        <x:v>Collateral account and risk-bearing capacity</x:v>
      </x:c>
      <x:c r="N1002" s="51" t="str">
        <x:v>Capital-market investors exchange principal-at-risk for coupon income and diversifying catastrophe exposure</x:v>
      </x:c>
      <x:c r="O1002" s="51" t="str">
        <x:v>Financial; ownership; systemic</x:v>
      </x:c>
      <x:c r="P1002" s="51" t="str">
        <x:v>E1</x:v>
      </x:c>
      <x:c r="Q1002" s="51" t="str">
        <x:v>Very high</x:v>
      </x:c>
      <x:c r="R1002" s="51" t="str">
        <x:v>SRC-703; SRC-704; SRC-705</x:v>
      </x:c>
      <x:c r="S1002" s="51" t="str">
        <x:v>ILS investors provide collateralised risk capital.</x:v>
      </x:c>
      <x:c r="T1002" s="51" t="str">
        <x:v>Fixed-income safety, guaranteed principal or absence of catastrophe correlation.</x:v>
      </x:c>
      <x:c r="U1002" s="51" t="str">
        <x:v>Contractual triggers can reduce or eliminate principal.</x:v>
      </x:c>
      <x:c r="V1002" s="51" t="str">
        <x:v>Active</x:v>
      </x:c>
      <x:c r="W1002" s="51" t="str">
        <x:v>47;57</x:v>
      </x:c>
      <x:c r="X1002" s="51" t="str">
        <x:v>2026-07-27</x:v>
      </x:c>
    </x:row>
    <x:row r="1003">
      <x:c r="A1003" s="51" t="str">
        <x:v>V16ILS-003</x:v>
      </x:c>
      <x:c r="B1003" s="51" t="str">
        <x:v>Catastrophe bonds and insurance-linked securities</x:v>
      </x:c>
      <x:c r="C1003" s="51" t="str">
        <x:v>ACT-SPECIALPURPOSEREINSURERS</x:v>
      </x:c>
      <x:c r="D1003" s="51" t="str">
        <x:v>Special purpose reinsurers</x:v>
      </x:c>
      <x:c r="E1003" s="51" t="str">
        <x:v>ACT-CATASTROPHEBONDSPONSORS</x:v>
      </x:c>
      <x:c r="F1003" s="51" t="str">
        <x:v>Catastrophe bond sponsors</x:v>
      </x:c>
      <x:c r="G1003" s="51" t="str">
        <x:v>Vehicle → sponsor</x:v>
      </x:c>
      <x:c r="H1003" s="51" t="str">
        <x:v>After contractual trigger</x:v>
      </x:c>
      <x:c r="I1003" s="51" t="str">
        <x:v>Collateralised reinsurance payment</x:v>
      </x:c>
      <x:c r="J1003" s="51" t="str">
        <x:v>INS-345; INS-346</x:v>
      </x:c>
      <x:c r="K1003" s="51" t="str">
        <x:v>Up to note principal</x:v>
      </x:c>
      <x:c r="L1003" s="51" t="str">
        <x:v>Trigger determination and collateral</x:v>
      </x:c>
      <x:c r="M1003" s="51" t="str">
        <x:v>Sponsor recovery</x:v>
      </x:c>
      <x:c r="N1003" s="51" t="str">
        <x:v>Trigger satisfaction converts investor principal into sponsor loss protection</x:v>
      </x:c>
      <x:c r="O1003" s="51" t="str">
        <x:v>Financial; legal; operational</x:v>
      </x:c>
      <x:c r="P1003" s="51" t="str">
        <x:v>E1</x:v>
      </x:c>
      <x:c r="Q1003" s="51" t="str">
        <x:v>High</x:v>
      </x:c>
      <x:c r="R1003" s="51" t="str">
        <x:v>SRC-705; SRC-706</x:v>
      </x:c>
      <x:c r="S1003" s="51" t="str">
        <x:v>Catastrophe bonds provide reinsurance subject to defined triggers.</x:v>
      </x:c>
      <x:c r="T1003" s="51" t="str">
        <x:v>Payment equal to the sponsor's exact accounting loss in every structure.</x:v>
      </x:c>
      <x:c r="U1003" s="51" t="str">
        <x:v>Indemnity, industry-loss, parametric and modelled-loss triggers differ.</x:v>
      </x:c>
      <x:c r="V1003" s="51" t="str">
        <x:v>Active</x:v>
      </x:c>
      <x:c r="W1003" s="51" t="str">
        <x:v>47;57</x:v>
      </x:c>
      <x:c r="X1003" s="51" t="str">
        <x:v>2026-07-27</x:v>
      </x:c>
    </x:row>
    <x:row r="1004">
      <x:c r="A1004" s="51" t="str">
        <x:v>V16ILS-004</x:v>
      </x:c>
      <x:c r="B1004" s="51" t="str">
        <x:v>Catastrophe bonds and insurance-linked securities</x:v>
      </x:c>
      <x:c r="C1004" s="51" t="str">
        <x:v>ACT-FARMERSINSURANCEGROUP</x:v>
      </x:c>
      <x:c r="D1004" s="51" t="str">
        <x:v>Farmers Insurance Group</x:v>
      </x:c>
      <x:c r="E1004" s="51" t="str">
        <x:v>ACT-TOPANGARELTD</x:v>
      </x:c>
      <x:c r="F1004" s="51" t="str">
        <x:v>Topanga Re Ltd.</x:v>
      </x:c>
      <x:c r="G1004" s="51" t="str">
        <x:v>Sponsor → special purpose reinsurer</x:v>
      </x:c>
      <x:c r="H1004" s="51" t="str">
        <x:v>2025-12</x:v>
      </x:c>
      <x:c r="I1004" s="51" t="str">
        <x:v>Collateralised catastrophe reinsurance</x:v>
      </x:c>
      <x:c r="J1004" s="51" t="str">
        <x:v>INS-346</x:v>
      </x:c>
      <x:c r="K1004" s="51" t="str">
        <x:v>$400 million</x:v>
      </x:c>
      <x:c r="L1004" s="51" t="str">
        <x:v>U.S. named-storm, earthquake, severe-weather and fire exposure</x:v>
      </x:c>
      <x:c r="M1004" s="51" t="str">
        <x:v>Principal-at-risk protection</x:v>
      </x:c>
      <x:c r="N1004" s="51" t="str">
        <x:v>A named insurer transfers a defined catastrophe layer to capital-market investors through a special vehicle</x:v>
      </x:c>
      <x:c r="O1004" s="51" t="str">
        <x:v>Financial; legal; relational</x:v>
      </x:c>
      <x:c r="P1004" s="51" t="str">
        <x:v>E1</x:v>
      </x:c>
      <x:c r="Q1004" s="51" t="str">
        <x:v>Very high</x:v>
      </x:c>
      <x:c r="R1004" s="51" t="str">
        <x:v>SRC-706</x:v>
      </x:c>
      <x:c r="S1004" s="51" t="str">
        <x:v>Topanga Re Series 2025-1 provides $400 million of protection to Farmers.</x:v>
      </x:c>
      <x:c r="T1004" s="51" t="str">
        <x:v>Coverage of every Farmers catastrophe loss or public guarantee.</x:v>
      </x:c>
      <x:c r="U1004" s="51" t="str">
        <x:v>Attachment, exhaustion and trigger terms govern payment.</x:v>
      </x:c>
      <x:c r="V1004" s="51" t="str">
        <x:v>Active</x:v>
      </x:c>
      <x:c r="W1004" s="51" t="str">
        <x:v>47;57</x:v>
      </x:c>
      <x:c r="X1004" s="51" t="str">
        <x:v>2026-07-27</x:v>
      </x:c>
    </x:row>
    <x:row r="1005">
      <x:c r="A1005" s="51" t="str">
        <x:v>V16ILS-005</x:v>
      </x:c>
      <x:c r="B1005" s="51" t="str">
        <x:v>Catastrophe bonds and insurance-linked securities</x:v>
      </x:c>
      <x:c r="C1005" s="51" t="str">
        <x:v>ACT-SWISSRE</x:v>
      </x:c>
      <x:c r="D1005" s="51" t="str">
        <x:v>Swiss Re</x:v>
      </x:c>
      <x:c r="E1005" s="51" t="str">
        <x:v>ACT-CATASTROPHEBONDSPONSORS</x:v>
      </x:c>
      <x:c r="F1005" s="51" t="str">
        <x:v>Catastrophe bond sponsors</x:v>
      </x:c>
      <x:c r="G1005" s="51" t="str">
        <x:v>Arranger → sponsor</x:v>
      </x:c>
      <x:c r="H1005" s="51" t="str">
        <x:v>Ongoing</x:v>
      </x:c>
      <x:c r="I1005" s="51" t="str">
        <x:v>Structuring and placement services</x:v>
      </x:c>
      <x:c r="J1005" s="51" t="str">
        <x:v>INS-345; INS-346</x:v>
      </x:c>
      <x:c r="K1005" s="51" t="str">
        <x:v>Market-wide</x:v>
      </x:c>
      <x:c r="L1005" s="51" t="str">
        <x:v>Risk modelling, legal structuring and investor distribution</x:v>
      </x:c>
      <x:c r="M1005" s="51" t="str">
        <x:v>Issued catastrophe bond</x:v>
      </x:c>
      <x:c r="N1005" s="51" t="str">
        <x:v>An arranger converts insurance exposure into security terms that capital-market investors can price</x:v>
      </x:c>
      <x:c r="O1005" s="51" t="str">
        <x:v>Financial; informational; relational</x:v>
      </x:c>
      <x:c r="P1005" s="51" t="str">
        <x:v>E1</x:v>
      </x:c>
      <x:c r="Q1005" s="51" t="str">
        <x:v>High</x:v>
      </x:c>
      <x:c r="R1005" s="51" t="str">
        <x:v>SRC-705; SRC-706</x:v>
      </x:c>
      <x:c r="S1005" s="51" t="str">
        <x:v>Swiss Re provides catastrophe-bond structuring and placement services.</x:v>
      </x:c>
      <x:c r="T1005" s="51" t="str">
        <x:v>Ownership of sponsor risk or guarantee of successful placement.</x:v>
      </x:c>
      <x:c r="U1005" s="51" t="str">
        <x:v>Sponsors, investors, model providers and counsel retain distinct roles.</x:v>
      </x:c>
      <x:c r="V1005" s="51" t="str">
        <x:v>Active</x:v>
      </x:c>
      <x:c r="W1005" s="51" t="str">
        <x:v>47;57</x:v>
      </x:c>
      <x:c r="X1005" s="51" t="str">
        <x:v>2026-07-27</x:v>
      </x:c>
    </x:row>
    <x:row r="1006">
      <x:c r="A1006" s="51" t="str">
        <x:v>V16INS-001</x:v>
      </x:c>
      <x:c r="B1006" s="51" t="str">
        <x:v>Primary insurance underwriting and claims conversion</x:v>
      </x:c>
      <x:c r="C1006" s="51" t="str">
        <x:v>ACT-POLICYHOLDERS</x:v>
      </x:c>
      <x:c r="D1006" s="51" t="str">
        <x:v>Policyholders</x:v>
      </x:c>
      <x:c r="E1006" s="51" t="str">
        <x:v>ACT-PRIMARYINSURERS</x:v>
      </x:c>
      <x:c r="F1006" s="51" t="str">
        <x:v>Primary insurers</x:v>
      </x:c>
      <x:c r="G1006" s="51" t="str">
        <x:v>Customer → insurer</x:v>
      </x:c>
      <x:c r="H1006" s="51" t="str">
        <x:v>Policy term</x:v>
      </x:c>
      <x:c r="I1006" s="51" t="str">
        <x:v>Premium payment and risk disclosure</x:v>
      </x:c>
      <x:c r="J1006" s="51" t="str">
        <x:v>INS-337</x:v>
      </x:c>
      <x:c r="K1006" s="51" t="str">
        <x:v>Policy-specific</x:v>
      </x:c>
      <x:c r="L1006" s="51" t="str">
        <x:v>Premium and underwriting information</x:v>
      </x:c>
      <x:c r="M1006" s="51" t="str">
        <x:v>Contractual promise of covered loss payment</x:v>
      </x:c>
      <x:c r="N1006" s="51" t="str">
        <x:v>Insurance converts an uncertain individual loss into a priced pooled obligation</x:v>
      </x:c>
      <x:c r="O1006" s="51" t="str">
        <x:v>Financial; legal; relational</x:v>
      </x:c>
      <x:c r="P1006" s="51" t="str">
        <x:v>E1</x:v>
      </x:c>
      <x:c r="Q1006" s="51" t="str">
        <x:v>Very high</x:v>
      </x:c>
      <x:c r="R1006" s="51" t="str">
        <x:v>SRC-691; SRC-693</x:v>
      </x:c>
      <x:c r="S1006" s="51" t="str">
        <x:v>Insurance contracts exchange premium for defined coverage.</x:v>
      </x:c>
      <x:c r="T1006" s="51" t="str">
        <x:v>Coverage of every loss or guarantee of prompt full payment.</x:v>
      </x:c>
      <x:c r="U1006" s="51" t="str">
        <x:v>Exclusions, limits, deductibles and claims conditions define the promise.</x:v>
      </x:c>
      <x:c r="V1006" s="51" t="str">
        <x:v>Active</x:v>
      </x:c>
      <x:c r="W1006" s="51" t="str">
        <x:v>47;57</x:v>
      </x:c>
      <x:c r="X1006" s="51" t="str">
        <x:v>2026-07-27</x:v>
      </x:c>
    </x:row>
    <x:row r="1007">
      <x:c r="A1007" s="51" t="str">
        <x:v>V16INS-002</x:v>
      </x:c>
      <x:c r="B1007" s="51" t="str">
        <x:v>Primary insurance underwriting and claims conversion</x:v>
      </x:c>
      <x:c r="C1007" s="51" t="str">
        <x:v>ACT-PRIMARYINSURERS</x:v>
      </x:c>
      <x:c r="D1007" s="51" t="str">
        <x:v>Primary insurers</x:v>
      </x:c>
      <x:c r="E1007" s="51" t="str">
        <x:v>ACT-POLICYHOLDERS</x:v>
      </x:c>
      <x:c r="F1007" s="51" t="str">
        <x:v>Policyholders</x:v>
      </x:c>
      <x:c r="G1007" s="51" t="str">
        <x:v>Insurer → customer</x:v>
      </x:c>
      <x:c r="H1007" s="51" t="str">
        <x:v>After covered event</x:v>
      </x:c>
      <x:c r="I1007" s="51" t="str">
        <x:v>Claims payment or defence</x:v>
      </x:c>
      <x:c r="J1007" s="51" t="str">
        <x:v>INS-337</x:v>
      </x:c>
      <x:c r="K1007" s="51" t="str">
        <x:v>Claim-specific</x:v>
      </x:c>
      <x:c r="L1007" s="51" t="str">
        <x:v>Verified covered loss</x:v>
      </x:c>
      <x:c r="M1007" s="51" t="str">
        <x:v>Cash payment, repair, defence or indemnity</x:v>
      </x:c>
      <x:c r="N1007" s="51" t="str">
        <x:v>Claims handling converts contract language and loss evidence into economic recovery</x:v>
      </x:c>
      <x:c r="O1007" s="51" t="str">
        <x:v>Financial; legal; operational</x:v>
      </x:c>
      <x:c r="P1007" s="51" t="str">
        <x:v>E1</x:v>
      </x:c>
      <x:c r="Q1007" s="51" t="str">
        <x:v>High</x:v>
      </x:c>
      <x:c r="R1007" s="51" t="str">
        <x:v>SRC-691; SRC-693</x:v>
      </x:c>
      <x:c r="S1007" s="51" t="str">
        <x:v>Insurers pay or defend covered claims under contract terms.</x:v>
      </x:c>
      <x:c r="T1007" s="51" t="str">
        <x:v>Automatic payment of all claimed amounts or absence of disputes.</x:v>
      </x:c>
      <x:c r="U1007" s="51" t="str">
        <x:v>Coverage interpretation and loss valuation can be contested.</x:v>
      </x:c>
      <x:c r="V1007" s="51" t="str">
        <x:v>Active</x:v>
      </x:c>
      <x:c r="W1007" s="51" t="str">
        <x:v>47;57</x:v>
      </x:c>
      <x:c r="X1007" s="51" t="str">
        <x:v>2026-07-27</x:v>
      </x:c>
    </x:row>
    <x:row r="1008">
      <x:c r="A1008" s="51" t="str">
        <x:v>V16INS-003</x:v>
      </x:c>
      <x:c r="B1008" s="51" t="str">
        <x:v>Primary insurance underwriting and claims conversion</x:v>
      </x:c>
      <x:c r="C1008" s="51" t="str">
        <x:v>ACT-INSURANCEBROKERS</x:v>
      </x:c>
      <x:c r="D1008" s="51" t="str">
        <x:v>Insurance brokers</x:v>
      </x:c>
      <x:c r="E1008" s="51" t="str">
        <x:v>ACT-POLICYHOLDERS</x:v>
      </x:c>
      <x:c r="F1008" s="51" t="str">
        <x:v>Policyholders</x:v>
      </x:c>
      <x:c r="G1008" s="51" t="str">
        <x:v>Intermediary → buyer</x:v>
      </x:c>
      <x:c r="H1008" s="51" t="str">
        <x:v>Placement and renewal</x:v>
      </x:c>
      <x:c r="I1008" s="51" t="str">
        <x:v>Coverage advice and market access</x:v>
      </x:c>
      <x:c r="J1008" s="51" t="str">
        <x:v>INS-337</x:v>
      </x:c>
      <x:c r="K1008" s="51" t="str">
        <x:v>Policy-specific</x:v>
      </x:c>
      <x:c r="L1008" s="51" t="str">
        <x:v>Buyer risk profile and market information</x:v>
      </x:c>
      <x:c r="M1008" s="51" t="str">
        <x:v>Policy options and negotiated terms</x:v>
      </x:c>
      <x:c r="N1008" s="51" t="str">
        <x:v>Brokers convert complex risk into marketable submissions and competing coverage offers</x:v>
      </x:c>
      <x:c r="O1008" s="51" t="str">
        <x:v>Relational; informational; financial</x:v>
      </x:c>
      <x:c r="P1008" s="51" t="str">
        <x:v>S1</x:v>
      </x:c>
      <x:c r="Q1008" s="51" t="str">
        <x:v>High</x:v>
      </x:c>
      <x:c r="R1008" s="51" t="str">
        <x:v>SRC-693; SRC-694</x:v>
      </x:c>
      <x:c r="S1008" s="51" t="str">
        <x:v>Brokers are central participants in specialty insurance placement.</x:v>
      </x:c>
      <x:c r="T1008" s="51" t="str">
        <x:v>Guarantee of best price or independence from compensation incentives.</x:v>
      </x:c>
      <x:c r="U1008" s="51" t="str">
        <x:v>Broker duties and remuneration vary by jurisdiction and contract.</x:v>
      </x:c>
      <x:c r="V1008" s="51" t="str">
        <x:v>Active</x:v>
      </x:c>
      <x:c r="W1008" s="51" t="str">
        <x:v>47;57</x:v>
      </x:c>
      <x:c r="X1008" s="51" t="str">
        <x:v>2026-07-27</x:v>
      </x:c>
    </x:row>
    <x:row r="1009">
      <x:c r="A1009" s="51" t="str">
        <x:v>V16INS-004</x:v>
      </x:c>
      <x:c r="B1009" s="51" t="str">
        <x:v>Primary insurance underwriting and claims conversion</x:v>
      </x:c>
      <x:c r="C1009" s="51" t="str">
        <x:v>ACT-CLAIMSADJUSTERSANDLOSSAS</x:v>
      </x:c>
      <x:c r="D1009" s="51" t="str">
        <x:v>Claims adjusters and loss assessors</x:v>
      </x:c>
      <x:c r="E1009" s="51" t="str">
        <x:v>ACT-PRIMARYINSURERS</x:v>
      </x:c>
      <x:c r="F1009" s="51" t="str">
        <x:v>Primary insurers</x:v>
      </x:c>
      <x:c r="G1009" s="51" t="str">
        <x:v>Claims professional → insurer</x:v>
      </x:c>
      <x:c r="H1009" s="51" t="str">
        <x:v>After loss</x:v>
      </x:c>
      <x:c r="I1009" s="51" t="str">
        <x:v>Loss investigation and valuation</x:v>
      </x:c>
      <x:c r="J1009" s="51" t="str">
        <x:v>INS-337</x:v>
      </x:c>
      <x:c r="K1009" s="51" t="str">
        <x:v>Claim-specific</x:v>
      </x:c>
      <x:c r="L1009" s="51" t="str">
        <x:v>Physical evidence, records and policy terms</x:v>
      </x:c>
      <x:c r="M1009" s="51" t="str">
        <x:v>Coverage and quantum assessment</x:v>
      </x:c>
      <x:c r="N1009" s="51" t="str">
        <x:v>Claims professionals translate real-world damage into a payable or disputed financial amount</x:v>
      </x:c>
      <x:c r="O1009" s="51" t="str">
        <x:v>Informational; legal; operational</x:v>
      </x:c>
      <x:c r="P1009" s="51" t="str">
        <x:v>S1</x:v>
      </x:c>
      <x:c r="Q1009" s="51" t="str">
        <x:v>High</x:v>
      </x:c>
      <x:c r="R1009" s="51" t="str">
        <x:v>SRC-691</x:v>
      </x:c>
      <x:c r="S1009" s="51" t="str">
        <x:v>Claims assessment is a core part of insurance operations.</x:v>
      </x:c>
      <x:c r="T1009" s="51" t="str">
        <x:v>Final legal authority in every disputed claim.</x:v>
      </x:c>
      <x:c r="U1009" s="51" t="str">
        <x:v>Insurer decisions, courts and arbitration may review the assessment.</x:v>
      </x:c>
      <x:c r="V1009" s="51" t="str">
        <x:v>Active</x:v>
      </x:c>
      <x:c r="W1009" s="51" t="str">
        <x:v>47;57</x:v>
      </x:c>
      <x:c r="X1009" s="51" t="str">
        <x:v>2026-07-27</x:v>
      </x:c>
    </x:row>
    <x:row r="1010">
      <x:c r="A1010" s="51" t="str">
        <x:v>V16LCH-001</x:v>
      </x:c>
      <x:c r="B1010" s="51" t="str">
        <x:v>Named clearinghouses and operational risk resources</x:v>
      </x:c>
      <x:c r="C1010" s="51" t="str">
        <x:v>ACT-LCHLIMITED</x:v>
      </x:c>
      <x:c r="D1010" s="51" t="str">
        <x:v>LCH Limited</x:v>
      </x:c>
      <x:c r="E1010" s="51" t="str">
        <x:v>ACT-CLEARINGMEMBERS</x:v>
      </x:c>
      <x:c r="F1010" s="51" t="str">
        <x:v>Clearing members</x:v>
      </x:c>
      <x:c r="G1010" s="51" t="str">
        <x:v>CCP → members</x:v>
      </x:c>
      <x:c r="H1010" s="51" t="str">
        <x:v>2025–2026</x:v>
      </x:c>
      <x:c r="I1010" s="51" t="str">
        <x:v>Multi-service clearing and service-specific waterfalls</x:v>
      </x:c>
      <x:c r="J1010" s="51" t="str">
        <x:v>INS-355</x:v>
      </x:c>
      <x:c r="K1010" s="51" t="str">
        <x:v>1.08 billion EquityClear trade sides in 2025</x:v>
      </x:c>
      <x:c r="L1010" s="51" t="str">
        <x:v>Trades, margin and membership resources</x:v>
      </x:c>
      <x:c r="M1010" s="51" t="str">
        <x:v>Cleared positions and risk management</x:v>
      </x:c>
      <x:c r="N1010" s="51" t="str">
        <x:v>LCH combines scale with dedicated service waterfalls to limit cross-product contagion</x:v>
      </x:c>
      <x:c r="O1010" s="51" t="str">
        <x:v>Financial; operational; systemic</x:v>
      </x:c>
      <x:c r="P1010" s="51" t="str">
        <x:v>E1</x:v>
      </x:c>
      <x:c r="Q1010" s="51" t="str">
        <x:v>Very high</x:v>
      </x:c>
      <x:c r="R1010" s="51" t="str">
        <x:v>SRC-723; SRC-724; SRC-725</x:v>
      </x:c>
      <x:c r="S1010" s="51" t="str">
        <x:v>LCH reports large clearing activity and service-specific risk systems.</x:v>
      </x:c>
      <x:c r="T1010" s="51" t="str">
        <x:v>Elimination of liquidity stress or zero operational concentration.</x:v>
      </x:c>
      <x:c r="U1010" s="51" t="str">
        <x:v>Scale increases both efficiency and criticality.</x:v>
      </x:c>
      <x:c r="V1010" s="51" t="str">
        <x:v>Active</x:v>
      </x:c>
      <x:c r="W1010" s="51" t="str">
        <x:v>47;57</x:v>
      </x:c>
      <x:c r="X1010" s="51" t="str">
        <x:v>2026-07-27</x:v>
      </x:c>
    </x:row>
    <x:row r="1011">
      <x:c r="A1011" s="51" t="str">
        <x:v>V16LCH-002</x:v>
      </x:c>
      <x:c r="B1011" s="51" t="str">
        <x:v>Named clearinghouses and operational risk resources</x:v>
      </x:c>
      <x:c r="C1011" s="51" t="str">
        <x:v>ACT-LCHLIMITED</x:v>
      </x:c>
      <x:c r="D1011" s="51" t="str">
        <x:v>LCH Limited</x:v>
      </x:c>
      <x:c r="E1011" s="51" t="str">
        <x:v>ACT-INITIALMARGINCOLLATERAL</x:v>
      </x:c>
      <x:c r="F1011" s="51" t="str">
        <x:v>Initial margin collateral</x:v>
      </x:c>
      <x:c r="G1011" s="51" t="str">
        <x:v>CCP → collateral rules</x:v>
      </x:c>
      <x:c r="H1011" s="51" t="str">
        <x:v>Ongoing</x:v>
      </x:c>
      <x:c r="I1011" s="51" t="str">
        <x:v>Margin eligibility, custody and reuse rules</x:v>
      </x:c>
      <x:c r="J1011" s="51" t="str">
        <x:v>INS-349; INS-355</x:v>
      </x:c>
      <x:c r="K1011" s="51" t="str">
        <x:v>Service-specific</x:v>
      </x:c>
      <x:c r="L1011" s="51" t="str">
        <x:v>Member collateral</x:v>
      </x:c>
      <x:c r="M1011" s="51" t="str">
        <x:v>Risk-managed collateral pool</x:v>
      </x:c>
      <x:c r="N1011" s="51" t="str">
        <x:v>Collateral architecture affects liquidity, segregation and asset-control rights</x:v>
      </x:c>
      <x:c r="O1011" s="51" t="str">
        <x:v>Financial; legal; operational</x:v>
      </x:c>
      <x:c r="P1011" s="51" t="str">
        <x:v>E1</x:v>
      </x:c>
      <x:c r="Q1011" s="51" t="str">
        <x:v>High</x:v>
      </x:c>
      <x:c r="R1011" s="51" t="str">
        <x:v>SRC-724; SRC-726</x:v>
      </x:c>
      <x:c r="S1011" s="51" t="str">
        <x:v>LCH publishes risk management and quantitative disclosure information.</x:v>
      </x:c>
      <x:c r="T1011" s="51" t="str">
        <x:v>Uniform right of reuse across all LCH legal entities.</x:v>
      </x:c>
      <x:c r="U1011" s="51" t="str">
        <x:v>LCH Ltd and LCH SA can differ in collateral rights.</x:v>
      </x:c>
      <x:c r="V1011" s="51" t="str">
        <x:v>Active</x:v>
      </x:c>
      <x:c r="W1011" s="51" t="str">
        <x:v>47;57</x:v>
      </x:c>
      <x:c r="X1011" s="51" t="str">
        <x:v>2026-07-27</x:v>
      </x:c>
    </x:row>
    <x:row r="1012">
      <x:c r="A1012" s="51" t="str">
        <x:v>V16LL-001</x:v>
      </x:c>
      <x:c r="B1012" s="51" t="str">
        <x:v>Lloyd's marketplace, syndicates and central security</x:v>
      </x:c>
      <x:c r="C1012" s="51" t="str">
        <x:v>ACT-INSURANCEBROKERS</x:v>
      </x:c>
      <x:c r="D1012" s="51" t="str">
        <x:v>Insurance brokers</x:v>
      </x:c>
      <x:c r="E1012" s="51" t="str">
        <x:v>ACT-LLOYDSMARKET</x:v>
      </x:c>
      <x:c r="F1012" s="51" t="str">
        <x:v>Lloyd's market</x:v>
      </x:c>
      <x:c r="G1012" s="51" t="str">
        <x:v>Broker → marketplace</x:v>
      </x:c>
      <x:c r="H1012" s="51" t="str">
        <x:v>Placement cycle</x:v>
      </x:c>
      <x:c r="I1012" s="51" t="str">
        <x:v>Risk submission and market access</x:v>
      </x:c>
      <x:c r="J1012" s="51" t="str">
        <x:v>INS-341</x:v>
      </x:c>
      <x:c r="K1012" s="51" t="str">
        <x:v>£57.9 billion gross written premium in 2025</x:v>
      </x:c>
      <x:c r="L1012" s="51" t="str">
        <x:v>Client risk and underwriting information</x:v>
      </x:c>
      <x:c r="M1012" s="51" t="str">
        <x:v>Access to syndicate capacity</x:v>
      </x:c>
      <x:c r="N1012" s="51" t="str">
        <x:v>A specialised marketplace aggregates competing underwriting appetites around brokered risks</x:v>
      </x:c>
      <x:c r="O1012" s="51" t="str">
        <x:v>Relational; financial; informational</x:v>
      </x:c>
      <x:c r="P1012" s="51" t="str">
        <x:v>E1</x:v>
      </x:c>
      <x:c r="Q1012" s="51" t="str">
        <x:v>High</x:v>
      </x:c>
      <x:c r="R1012" s="51" t="str">
        <x:v>SRC-693; SRC-694</x:v>
      </x:c>
      <x:c r="S1012" s="51" t="str">
        <x:v>Lloyd's reports a large specialty insurance and reinsurance marketplace.</x:v>
      </x:c>
      <x:c r="T1012" s="51" t="str">
        <x:v>A single corporate insurer or one balance sheet underwriting every risk.</x:v>
      </x:c>
      <x:c r="U1012" s="51" t="str">
        <x:v>Syndicates and managing agents make underwriting decisions.</x:v>
      </x:c>
      <x:c r="V1012" s="51" t="str">
        <x:v>Active</x:v>
      </x:c>
      <x:c r="W1012" s="51" t="str">
        <x:v>47;57</x:v>
      </x:c>
      <x:c r="X1012" s="51" t="str">
        <x:v>2026-07-27</x:v>
      </x:c>
    </x:row>
    <x:row r="1013">
      <x:c r="A1013" s="51" t="str">
        <x:v>V16LL-002</x:v>
      </x:c>
      <x:c r="B1013" s="51" t="str">
        <x:v>Lloyd's marketplace, syndicates and central security</x:v>
      </x:c>
      <x:c r="C1013" s="51" t="str">
        <x:v>ACT-LLOYDSSYNDICATES</x:v>
      </x:c>
      <x:c r="D1013" s="51" t="str">
        <x:v>Lloyd's syndicates</x:v>
      </x:c>
      <x:c r="E1013" s="51" t="str">
        <x:v>ACT-POLICYHOLDERS</x:v>
      </x:c>
      <x:c r="F1013" s="51" t="str">
        <x:v>Policyholders</x:v>
      </x:c>
      <x:c r="G1013" s="51" t="str">
        <x:v>Syndicates → insureds</x:v>
      </x:c>
      <x:c r="H1013" s="51" t="str">
        <x:v>Policy term</x:v>
      </x:c>
      <x:c r="I1013" s="51" t="str">
        <x:v>Specialty underwriting</x:v>
      </x:c>
      <x:c r="J1013" s="51" t="str">
        <x:v>INS-341</x:v>
      </x:c>
      <x:c r="K1013" s="51" t="str">
        <x:v>Syndicate-specific</x:v>
      </x:c>
      <x:c r="L1013" s="51" t="str">
        <x:v>Member capital and underwriting authority</x:v>
      </x:c>
      <x:c r="M1013" s="51" t="str">
        <x:v>Contractual insurance obligations</x:v>
      </x:c>
      <x:c r="N1013" s="51" t="str">
        <x:v>Syndicates convert member capital and specialist expertise into insurance capacity</x:v>
      </x:c>
      <x:c r="O1013" s="51" t="str">
        <x:v>Financial; legal; relational</x:v>
      </x:c>
      <x:c r="P1013" s="51" t="str">
        <x:v>E1</x:v>
      </x:c>
      <x:c r="Q1013" s="51" t="str">
        <x:v>High</x:v>
      </x:c>
      <x:c r="R1013" s="51" t="str">
        <x:v>SRC-693; SRC-694</x:v>
      </x:c>
      <x:c r="S1013" s="51" t="str">
        <x:v>Lloyd's business is underwritten through syndicates.</x:v>
      </x:c>
      <x:c r="T1013" s="51" t="str">
        <x:v>Direct policyholder claim on every other syndicate or unlimited central guarantee.</x:v>
      </x:c>
      <x:c r="U1013" s="51" t="str">
        <x:v>Legal security and contract structure depend on the policy and market chain.</x:v>
      </x:c>
      <x:c r="V1013" s="51" t="str">
        <x:v>Active</x:v>
      </x:c>
      <x:c r="W1013" s="51" t="str">
        <x:v>47;57</x:v>
      </x:c>
      <x:c r="X1013" s="51" t="str">
        <x:v>2026-07-27</x:v>
      </x:c>
    </x:row>
    <x:row r="1014">
      <x:c r="A1014" s="51" t="str">
        <x:v>V16LL-003</x:v>
      </x:c>
      <x:c r="B1014" s="51" t="str">
        <x:v>Lloyd's marketplace, syndicates and central security</x:v>
      </x:c>
      <x:c r="C1014" s="51" t="str">
        <x:v>ACT-LLOYDSCENTRALFUND</x:v>
      </x:c>
      <x:c r="D1014" s="51" t="str">
        <x:v>Lloyd's Central Fund</x:v>
      </x:c>
      <x:c r="E1014" s="51" t="str">
        <x:v>ACT-POLICYHOLDERS</x:v>
      </x:c>
      <x:c r="F1014" s="51" t="str">
        <x:v>Policyholders</x:v>
      </x:c>
      <x:c r="G1014" s="51" t="str">
        <x:v>Central resource → policyholder security</x:v>
      </x:c>
      <x:c r="H1014" s="51" t="str">
        <x:v>If member and syndicate resources are insufficient</x:v>
      </x:c>
      <x:c r="I1014" s="51" t="str">
        <x:v>Central market support</x:v>
      </x:c>
      <x:c r="J1014" s="51" t="str">
        <x:v>INS-340</x:v>
      </x:c>
      <x:c r="K1014" s="51" t="str">
        <x:v>£6.325 billion available central own funds reported for year-end 2025 estimate</x:v>
      </x:c>
      <x:c r="L1014" s="51" t="str">
        <x:v>Central assets and callable resources</x:v>
      </x:c>
      <x:c r="M1014" s="51" t="str">
        <x:v>Additional policyholder protection</x:v>
      </x:c>
      <x:c r="N1014" s="51" t="str">
        <x:v>Central mutual resources increase market credibility beyond individual syndicate capital</x:v>
      </x:c>
      <x:c r="O1014" s="51" t="str">
        <x:v>Financial; institutional; systemic</x:v>
      </x:c>
      <x:c r="P1014" s="51" t="str">
        <x:v>E1</x:v>
      </x:c>
      <x:c r="Q1014" s="51" t="str">
        <x:v>Very high</x:v>
      </x:c>
      <x:c r="R1014" s="51" t="str">
        <x:v>SRC-693</x:v>
      </x:c>
      <x:c r="S1014" s="51" t="str">
        <x:v>Lloyd's reports central resources supporting its chain of security.</x:v>
      </x:c>
      <x:c r="T1014" s="51" t="str">
        <x:v>Unlimited guarantee, automatic payment in every failure or state backing.</x:v>
      </x:c>
      <x:c r="U1014" s="51" t="str">
        <x:v>Access to central resources is governed by Lloyd's rules and discretion.</x:v>
      </x:c>
      <x:c r="V1014" s="51" t="str">
        <x:v>Active</x:v>
      </x:c>
      <x:c r="W1014" s="51" t="str">
        <x:v>47;57</x:v>
      </x:c>
      <x:c r="X1014" s="51" t="str">
        <x:v>2026-07-27</x:v>
      </x:c>
    </x:row>
    <x:row r="1015">
      <x:c r="A1015" s="51" t="str">
        <x:v>V16LL-004</x:v>
      </x:c>
      <x:c r="B1015" s="51" t="str">
        <x:v>Lloyd's marketplace, syndicates and central security</x:v>
      </x:c>
      <x:c r="C1015" s="51" t="str">
        <x:v>ACT-PATRICKTIERNAN</x:v>
      </x:c>
      <x:c r="D1015" s="51" t="str">
        <x:v>Patrick Tiernan</x:v>
      </x:c>
      <x:c r="E1015" s="51" t="str">
        <x:v>ACT-LLOYDSMARKET</x:v>
      </x:c>
      <x:c r="F1015" s="51" t="str">
        <x:v>Lloyd's market</x:v>
      </x:c>
      <x:c r="G1015" s="51" t="str">
        <x:v>CEO → marketplace corporation</x:v>
      </x:c>
      <x:c r="H1015" s="51" t="str">
        <x:v>Current 2026</x:v>
      </x:c>
      <x:c r="I1015" s="51" t="str">
        <x:v>Chief executive authority</x:v>
      </x:c>
      <x:c r="J1015" s="51" t="str">
        <x:v>INS-340; INS-341</x:v>
      </x:c>
      <x:c r="K1015" s="51" t="str">
        <x:v>Formal office</x:v>
      </x:c>
      <x:c r="L1015" s="51" t="str">
        <x:v>Council delegation and executive management</x:v>
      </x:c>
      <x:c r="M1015" s="51" t="str">
        <x:v>Market strategy, oversight and operating direction</x:v>
      </x:c>
      <x:c r="N1015" s="51" t="str">
        <x:v>Corporate leadership coordinates the marketplace without replacing syndicate underwriting authority</x:v>
      </x:c>
      <x:c r="O1015" s="51" t="str">
        <x:v>Institutional; relational; financial</x:v>
      </x:c>
      <x:c r="P1015" s="51" t="str">
        <x:v>E1</x:v>
      </x:c>
      <x:c r="Q1015" s="51" t="str">
        <x:v>Very high</x:v>
      </x:c>
      <x:c r="R1015" s="51" t="str">
        <x:v>SRC-695; SRC-696</x:v>
      </x:c>
      <x:c r="S1015" s="51" t="str">
        <x:v>Patrick Tiernan is the current Lloyd's CEO.</x:v>
      </x:c>
      <x:c r="T1015" s="51" t="str">
        <x:v>Personal underwriting authority over every syndicate or ownership of member capital.</x:v>
      </x:c>
      <x:c r="U1015" s="51" t="str">
        <x:v>Council, Corporation, managing agents and syndicates retain separate roles.</x:v>
      </x:c>
      <x:c r="V1015" s="51" t="str">
        <x:v>Active</x:v>
      </x:c>
      <x:c r="W1015" s="51" t="str">
        <x:v>47;57</x:v>
      </x:c>
      <x:c r="X1015" s="51" t="str">
        <x:v>2026-07-27</x:v>
      </x:c>
    </x:row>
    <x:row r="1016">
      <x:c r="A1016" s="51" t="str">
        <x:v>V16LL-005</x:v>
      </x:c>
      <x:c r="B1016" s="51" t="str">
        <x:v>Lloyd's marketplace, syndicates and central security</x:v>
      </x:c>
      <x:c r="C1016" s="51" t="str">
        <x:v>ACT-MARINEWARRISKUNDERWRITIN</x:v>
      </x:c>
      <x:c r="D1016" s="51" t="str">
        <x:v>Marine war-risk underwriting consortium</x:v>
      </x:c>
      <x:c r="E1016" s="51" t="str">
        <x:v>ACT-MARINEANDCARGOINSUREDS</x:v>
      </x:c>
      <x:c r="F1016" s="51" t="str">
        <x:v>Marine and cargo insureds</x:v>
      </x:c>
      <x:c r="G1016" s="51" t="str">
        <x:v>Consortium → commercial insureds</x:v>
      </x:c>
      <x:c r="H1016" s="51" t="str">
        <x:v>2026</x:v>
      </x:c>
      <x:c r="I1016" s="51" t="str">
        <x:v>Primary war-risk coverage</x:v>
      </x:c>
      <x:c r="J1016" s="51" t="str">
        <x:v>INS-342</x:v>
      </x:c>
      <x:c r="K1016" s="51" t="str">
        <x:v>Up to $200 million hull/P&amp;I plus $200 million cargo capacity</x:v>
      </x:c>
      <x:c r="L1016" s="51" t="str">
        <x:v>Pooled Lloyd's underwriting capacity</x:v>
      </x:c>
      <x:c r="M1016" s="51" t="str">
        <x:v>Insurance for Strait of Hormuz transit risk</x:v>
      </x:c>
      <x:c r="N1016" s="51" t="str">
        <x:v>A consortium converts multiple syndicates' appetites into larger capacity for a geopolitical chokepoint</x:v>
      </x:c>
      <x:c r="O1016" s="51" t="str">
        <x:v>Financial; geopolitical; logistical</x:v>
      </x:c>
      <x:c r="P1016" s="51" t="str">
        <x:v>E1</x:v>
      </x:c>
      <x:c r="Q1016" s="51" t="str">
        <x:v>Very high</x:v>
      </x:c>
      <x:c r="R1016" s="51" t="str">
        <x:v>SRC-697</x:v>
      </x:c>
      <x:c r="S1016" s="51" t="str">
        <x:v>Lloyd's announced defined marine and cargo war-risk capacity.</x:v>
      </x:c>
      <x:c r="T1016" s="51" t="str">
        <x:v>Elimination of shipping risk, guarantee of transit or coverage outside policy terms.</x:v>
      </x:c>
      <x:c r="U1016" s="51" t="str">
        <x:v>Premium, exclusions and availability can change with conflict conditions.</x:v>
      </x:c>
      <x:c r="V1016" s="51" t="str">
        <x:v>Active</x:v>
      </x:c>
      <x:c r="W1016" s="51" t="str">
        <x:v>47;57</x:v>
      </x:c>
      <x:c r="X1016" s="51" t="str">
        <x:v>2026-07-27</x:v>
      </x:c>
    </x:row>
    <x:row r="1017">
      <x:c r="A1017" s="51" t="str">
        <x:v>V16MAR-001</x:v>
      </x:c>
      <x:c r="B1017" s="51" t="str">
        <x:v>Margin, collateral and liquidity transformation</x:v>
      </x:c>
      <x:c r="C1017" s="51" t="str">
        <x:v>ACT-CLEARINGMEMBERS</x:v>
      </x:c>
      <x:c r="D1017" s="51" t="str">
        <x:v>Clearing members</x:v>
      </x:c>
      <x:c r="E1017" s="51" t="str">
        <x:v>ACT-INITIALMARGINCOLLATERAL</x:v>
      </x:c>
      <x:c r="F1017" s="51" t="str">
        <x:v>Initial margin collateral</x:v>
      </x:c>
      <x:c r="G1017" s="51" t="str">
        <x:v>Member → collateral pool</x:v>
      </x:c>
      <x:c r="H1017" s="51" t="str">
        <x:v>Trade and portfolio lifecycle</x:v>
      </x:c>
      <x:c r="I1017" s="51" t="str">
        <x:v>Initial margin posting</x:v>
      </x:c>
      <x:c r="J1017" s="51" t="str">
        <x:v>INS-349</x:v>
      </x:c>
      <x:c r="K1017" s="51" t="str">
        <x:v>Model-specific</x:v>
      </x:c>
      <x:c r="L1017" s="51" t="str">
        <x:v>Cash or eligible securities</x:v>
      </x:c>
      <x:c r="M1017" s="51" t="str">
        <x:v>Collateral available during close-out</x:v>
      </x:c>
      <x:c r="N1017" s="51" t="str">
        <x:v>Initial margin converts participant liquidity into default protection for potential future exposure</x:v>
      </x:c>
      <x:c r="O1017" s="51" t="str">
        <x:v>Financial; legal; operational</x:v>
      </x:c>
      <x:c r="P1017" s="51" t="str">
        <x:v>E1</x:v>
      </x:c>
      <x:c r="Q1017" s="51" t="str">
        <x:v>Very high</x:v>
      </x:c>
      <x:c r="R1017" s="51" t="str">
        <x:v>SRC-712; SRC-719; SRC-724; SRC-730</x:v>
      </x:c>
      <x:c r="S1017" s="51" t="str">
        <x:v>CCPs collect initial margin to cover potential close-out losses.</x:v>
      </x:c>
      <x:c r="T1017" s="51" t="str">
        <x:v>A premium, final loss payment or ownership transfer to other members.</x:v>
      </x:c>
      <x:c r="U1017" s="51" t="str">
        <x:v>Collateral rights, segregation and investment rules vary.</x:v>
      </x:c>
      <x:c r="V1017" s="51" t="str">
        <x:v>Active</x:v>
      </x:c>
      <x:c r="W1017" s="51" t="str">
        <x:v>47;57</x:v>
      </x:c>
      <x:c r="X1017" s="51" t="str">
        <x:v>2026-07-27</x:v>
      </x:c>
    </x:row>
    <x:row r="1018">
      <x:c r="A1018" s="51" t="str">
        <x:v>V16MAR-002</x:v>
      </x:c>
      <x:c r="B1018" s="51" t="str">
        <x:v>Margin, collateral and liquidity transformation</x:v>
      </x:c>
      <x:c r="C1018" s="51" t="str">
        <x:v>ACT-CENTRALCOUNTERPARTIES</x:v>
      </x:c>
      <x:c r="D1018" s="51" t="str">
        <x:v>Central counterparties</x:v>
      </x:c>
      <x:c r="E1018" s="51" t="str">
        <x:v>ACT-VARIATIONMARGINCASHFLOWS</x:v>
      </x:c>
      <x:c r="F1018" s="51" t="str">
        <x:v>Variation margin cash flows</x:v>
      </x:c>
      <x:c r="G1018" s="51" t="str">
        <x:v>CCP → settlement flows</x:v>
      </x:c>
      <x:c r="H1018" s="51" t="str">
        <x:v>Daily and intraday</x:v>
      </x:c>
      <x:c r="I1018" s="51" t="str">
        <x:v>Mark-to-market settlement</x:v>
      </x:c>
      <x:c r="J1018" s="51" t="str">
        <x:v>INS-350</x:v>
      </x:c>
      <x:c r="K1018" s="51" t="str">
        <x:v>Price-move-specific</x:v>
      </x:c>
      <x:c r="L1018" s="51" t="str">
        <x:v>Current market value changes</x:v>
      </x:c>
      <x:c r="M1018" s="51" t="str">
        <x:v>Cash transfers between losing and gaining sides</x:v>
      </x:c>
      <x:c r="N1018" s="51" t="str">
        <x:v>Variation margin prevents current exposure from accumulating but creates immediate liquidity needs</x:v>
      </x:c>
      <x:c r="O1018" s="51" t="str">
        <x:v>Financial; operational; systemic</x:v>
      </x:c>
      <x:c r="P1018" s="51" t="str">
        <x:v>E1</x:v>
      </x:c>
      <x:c r="Q1018" s="51" t="str">
        <x:v>Very high</x:v>
      </x:c>
      <x:c r="R1018" s="51" t="str">
        <x:v>SRC-712; SRC-719; SRC-724</x:v>
      </x:c>
      <x:c r="S1018" s="51" t="str">
        <x:v>Cleared markets settle current exposure through margin flows.</x:v>
      </x:c>
      <x:c r="T1018" s="51" t="str">
        <x:v>Reduction of all future risk or net wealth creation.</x:v>
      </x:c>
      <x:c r="U1018" s="51" t="str">
        <x:v>It redistributes cash according to market moves.</x:v>
      </x:c>
      <x:c r="V1018" s="51" t="str">
        <x:v>Active</x:v>
      </x:c>
      <x:c r="W1018" s="51" t="str">
        <x:v>47;57</x:v>
      </x:c>
      <x:c r="X1018" s="51" t="str">
        <x:v>2026-07-27</x:v>
      </x:c>
    </x:row>
    <x:row r="1019">
      <x:c r="A1019" s="51" t="str">
        <x:v>V16MAR-003</x:v>
      </x:c>
      <x:c r="B1019" s="51" t="str">
        <x:v>Margin, collateral and liquidity transformation</x:v>
      </x:c>
      <x:c r="C1019" s="51" t="str">
        <x:v>ACT-INITIALMARGINCOLLATERAL</x:v>
      </x:c>
      <x:c r="D1019" s="51" t="str">
        <x:v>Initial margin collateral</x:v>
      </x:c>
      <x:c r="E1019" s="51" t="str">
        <x:v>ACT-CENTRALCOUNTERPARTIES</x:v>
      </x:c>
      <x:c r="F1019" s="51" t="str">
        <x:v>Central counterparties</x:v>
      </x:c>
      <x:c r="G1019" s="51" t="str">
        <x:v>Collateral pool → CCP control</x:v>
      </x:c>
      <x:c r="H1019" s="51" t="str">
        <x:v>During position life</x:v>
      </x:c>
      <x:c r="I1019" s="51" t="str">
        <x:v>Custody and permitted investment</x:v>
      </x:c>
      <x:c r="J1019" s="51" t="str">
        <x:v>INS-349</x:v>
      </x:c>
      <x:c r="K1019" s="51" t="str">
        <x:v>CCP-specific</x:v>
      </x:c>
      <x:c r="L1019" s="51" t="str">
        <x:v>Posted cash and securities</x:v>
      </x:c>
      <x:c r="M1019" s="51" t="str">
        <x:v>Protected or invested collateral pool</x:v>
      </x:c>
      <x:c r="N1019" s="51" t="str">
        <x:v>Collateral rules determine who controls liquidity and what replacement risks the system bears</x:v>
      </x:c>
      <x:c r="O1019" s="51" t="str">
        <x:v>Financial; ownership; operational</x:v>
      </x:c>
      <x:c r="P1019" s="51" t="str">
        <x:v>S1</x:v>
      </x:c>
      <x:c r="Q1019" s="51" t="str">
        <x:v>High</x:v>
      </x:c>
      <x:c r="R1019" s="51" t="str">
        <x:v>SRC-724; SRC-728; SRC-730</x:v>
      </x:c>
      <x:c r="S1019" s="51" t="str">
        <x:v>CCPs define eligible collateral, haircuts and custody arrangements.</x:v>
      </x:c>
      <x:c r="T1019" s="51" t="str">
        <x:v>Unrestricted beneficial ownership by the CCP or risk-free investment.</x:v>
      </x:c>
      <x:c r="U1019" s="51" t="str">
        <x:v>Legal title and reuse rights differ across CCPs and jurisdictions.</x:v>
      </x:c>
      <x:c r="V1019" s="51" t="str">
        <x:v>Active</x:v>
      </x:c>
      <x:c r="W1019" s="51" t="str">
        <x:v>47;57</x:v>
      </x:c>
      <x:c r="X1019" s="51" t="str">
        <x:v>2026-07-27</x:v>
      </x:c>
    </x:row>
    <x:row r="1020">
      <x:c r="A1020" s="51" t="str">
        <x:v>V16MAR-004</x:v>
      </x:c>
      <x:c r="B1020" s="51" t="str">
        <x:v>Margin, collateral and liquidity transformation</x:v>
      </x:c>
      <x:c r="C1020" s="51" t="str">
        <x:v>ACT-SWAPDEALERS</x:v>
      </x:c>
      <x:c r="D1020" s="51" t="str">
        <x:v>Swap dealers</x:v>
      </x:c>
      <x:c r="E1020" s="51" t="str">
        <x:v>ACT-INITIALMARGINCOLLATERAL</x:v>
      </x:c>
      <x:c r="F1020" s="51" t="str">
        <x:v>Initial margin collateral</x:v>
      </x:c>
      <x:c r="G1020" s="51" t="str">
        <x:v>Bilateral counterparty → collateral</x:v>
      </x:c>
      <x:c r="H1020" s="51" t="str">
        <x:v>Non-cleared trade lifecycle</x:v>
      </x:c>
      <x:c r="I1020" s="51" t="str">
        <x:v>Regulatory or contractual initial margin</x:v>
      </x:c>
      <x:c r="J1020" s="51" t="str">
        <x:v>INS-357</x:v>
      </x:c>
      <x:c r="K1020" s="51" t="str">
        <x:v>Exposure-specific</x:v>
      </x:c>
      <x:c r="L1020" s="51" t="str">
        <x:v>Eligible cash and securities</x:v>
      </x:c>
      <x:c r="M1020" s="51" t="str">
        <x:v>Segregated bilateral collateral</x:v>
      </x:c>
      <x:c r="N1020" s="51" t="str">
        <x:v>Uncleared margin rules reduce counterparty exposure while tying up high-quality liquid assets</x:v>
      </x:c>
      <x:c r="O1020" s="51" t="str">
        <x:v>Financial; legal; systemic</x:v>
      </x:c>
      <x:c r="P1020" s="51" t="str">
        <x:v>E2</x:v>
      </x:c>
      <x:c r="Q1020" s="51" t="str">
        <x:v>High</x:v>
      </x:c>
      <x:c r="R1020" s="51" t="str">
        <x:v>SRC-731; SRC-733</x:v>
      </x:c>
      <x:c r="S1020" s="51" t="str">
        <x:v>ISDA survey and guidance document extensive bilateral collateral use.</x:v>
      </x:c>
      <x:c r="T1020" s="51" t="str">
        <x:v>Full elimination of replacement-cost exposure or equivalence with CCP margin.</x:v>
      </x:c>
      <x:c r="U1020" s="51" t="str">
        <x:v>Netting sets, thresholds and custody arrangements matter.</x:v>
      </x:c>
      <x:c r="V1020" s="51" t="str">
        <x:v>Active</x:v>
      </x:c>
      <x:c r="W1020" s="51" t="str">
        <x:v>47;57</x:v>
      </x:c>
      <x:c r="X1020" s="51" t="str">
        <x:v>2026-07-27</x:v>
      </x:c>
    </x:row>
    <x:row r="1021">
      <x:c r="A1021" s="51" t="str">
        <x:v>V16MAR-005</x:v>
      </x:c>
      <x:c r="B1021" s="51" t="str">
        <x:v>Margin, collateral and liquidity transformation</x:v>
      </x:c>
      <x:c r="C1021" s="51" t="str">
        <x:v>ACT-CENTRALCOUNTERPARTIES</x:v>
      </x:c>
      <x:c r="D1021" s="51" t="str">
        <x:v>Central counterparties</x:v>
      </x:c>
      <x:c r="E1021" s="51" t="str">
        <x:v>ACT-CLEARINGMEMBERS</x:v>
      </x:c>
      <x:c r="F1021" s="51" t="str">
        <x:v>Clearing members</x:v>
      </x:c>
      <x:c r="G1021" s="51" t="str">
        <x:v>CCP → members</x:v>
      </x:c>
      <x:c r="H1021" s="51" t="str">
        <x:v>Stress period</x:v>
      </x:c>
      <x:c r="I1021" s="51" t="str">
        <x:v>Margin simulation and disclosure</x:v>
      </x:c>
      <x:c r="J1021" s="51" t="str">
        <x:v>INS-352</x:v>
      </x:c>
      <x:c r="K1021" s="51" t="str">
        <x:v>Policy proposals</x:v>
      </x:c>
      <x:c r="L1021" s="51" t="str">
        <x:v>Model scenarios and portfolio data</x:v>
      </x:c>
      <x:c r="M1021" s="51" t="str">
        <x:v>Expected margin demand and liquidity preparation</x:v>
      </x:c>
      <x:c r="N1021" s="51" t="str">
        <x:v>Simulation tools can convert opaque model sensitivity into preparable liquidity risk</x:v>
      </x:c>
      <x:c r="O1021" s="51" t="str">
        <x:v>Informational; financial; systemic</x:v>
      </x:c>
      <x:c r="P1021" s="51" t="str">
        <x:v>E1</x:v>
      </x:c>
      <x:c r="Q1021" s="51" t="str">
        <x:v>High</x:v>
      </x:c>
      <x:c r="R1021" s="51" t="str">
        <x:v>SRC-712; SRC-713</x:v>
      </x:c>
      <x:c r="S1021" s="51" t="str">
        <x:v>International proposals call for improved margin simulation and responsiveness disclosure.</x:v>
      </x:c>
      <x:c r="T1021" s="51" t="str">
        <x:v>Perfect prediction of stress-period calls.</x:v>
      </x:c>
      <x:c r="U1021" s="51" t="str">
        <x:v>Models depend on future volatility and portfolio composition.</x:v>
      </x:c>
      <x:c r="V1021" s="51" t="str">
        <x:v>Implementation</x:v>
      </x:c>
      <x:c r="W1021" s="51" t="str">
        <x:v>47;57</x:v>
      </x:c>
      <x:c r="X1021" s="51" t="str">
        <x:v>2026-07-27</x:v>
      </x:c>
    </x:row>
    <x:row r="1022">
      <x:c r="A1022" s="51" t="str">
        <x:v>V16NET-001</x:v>
      </x:c>
      <x:c r="B1022" s="51" t="str">
        <x:v>Netting, notional amounts and residual exposure</x:v>
      </x:c>
      <x:c r="C1022" s="51" t="str">
        <x:v>ACT-SWAPDEALERS</x:v>
      </x:c>
      <x:c r="D1022" s="51" t="str">
        <x:v>Swap dealers</x:v>
      </x:c>
      <x:c r="E1022" s="51" t="str">
        <x:v>ACT-SWAPDEALERS</x:v>
      </x:c>
      <x:c r="F1022" s="51" t="str">
        <x:v>Swap dealers</x:v>
      </x:c>
      <x:c r="G1022" s="51" t="str">
        <x:v>Dealer ↔ dealer</x:v>
      </x:c>
      <x:c r="H1022" s="51" t="str">
        <x:v>Ongoing</x:v>
      </x:c>
      <x:c r="I1022" s="51" t="str">
        <x:v>OTC derivatives and close-out netting</x:v>
      </x:c>
      <x:c r="J1022" s="51" t="str">
        <x:v>INS-357</x:v>
      </x:c>
      <x:c r="K1022" s="51" t="str">
        <x:v>Global market</x:v>
      </x:c>
      <x:c r="L1022" s="51" t="str">
        <x:v>Gross contractual notional and mark-to-market positions</x:v>
      </x:c>
      <x:c r="M1022" s="51" t="str">
        <x:v>Net exposure after legal netting</x:v>
      </x:c>
      <x:c r="N1022" s="51" t="str">
        <x:v>Close-out netting compresses many reciprocal claims into one termination amount</x:v>
      </x:c>
      <x:c r="O1022" s="51" t="str">
        <x:v>Financial; legal; systemic</x:v>
      </x:c>
      <x:c r="P1022" s="51" t="str">
        <x:v>E2</x:v>
      </x:c>
      <x:c r="Q1022" s="51" t="str">
        <x:v>High</x:v>
      </x:c>
      <x:c r="R1022" s="51" t="str">
        <x:v>SRC-732; SRC-734</x:v>
      </x:c>
      <x:c r="S1022" s="51" t="str">
        <x:v>ISDA analysis reports large reductions in exposure from close-out netting.</x:v>
      </x:c>
      <x:c r="T1022" s="51" t="str">
        <x:v>Elimination of market risk, liquidity risk or legal uncertainty in every jurisdiction.</x:v>
      </x:c>
      <x:c r="U1022" s="51" t="str">
        <x:v>Netting effectiveness depends on enforceable legal opinions and agreement scope.</x:v>
      </x:c>
      <x:c r="V1022" s="51" t="str">
        <x:v>Active</x:v>
      </x:c>
      <x:c r="W1022" s="51" t="str">
        <x:v>47;57</x:v>
      </x:c>
      <x:c r="X1022" s="51" t="str">
        <x:v>2026-07-27</x:v>
      </x:c>
    </x:row>
    <x:row r="1023">
      <x:c r="A1023" s="51" t="str">
        <x:v>V16NET-002</x:v>
      </x:c>
      <x:c r="B1023" s="51" t="str">
        <x:v>Netting, notional amounts and residual exposure</x:v>
      </x:c>
      <x:c r="C1023" s="51" t="str">
        <x:v>ACT-DERIVATIVESMARKETS</x:v>
      </x:c>
      <x:c r="D1023" s="51" t="str">
        <x:v>Derivatives markets</x:v>
      </x:c>
      <x:c r="E1023" s="51" t="str">
        <x:v>ACT-FINANCIALINSTITUTIONS</x:v>
      </x:c>
      <x:c r="F1023" s="51" t="str">
        <x:v>Financial institutions</x:v>
      </x:c>
      <x:c r="G1023" s="51" t="str">
        <x:v>Market contracts → institutional balance sheets</x:v>
      </x:c>
      <x:c r="H1023" s="51" t="str">
        <x:v>2025</x:v>
      </x:c>
      <x:c r="I1023" s="51" t="str">
        <x:v>Notional and mark-to-market exposure</x:v>
      </x:c>
      <x:c r="J1023" s="51" t="str">
        <x:v>INS-347; INS-357</x:v>
      </x:c>
      <x:c r="K1023" s="51" t="str">
        <x:v>$31 trillion futures and $352 trillion swaps estimated U.S. notional</x:v>
      </x:c>
      <x:c r="L1023" s="51" t="str">
        <x:v>Contract reference amounts</x:v>
      </x:c>
      <x:c r="M1023" s="51" t="str">
        <x:v>Cash flows, replacement cost and margin needs</x:v>
      </x:c>
      <x:c r="N1023" s="51" t="str">
        <x:v>Notional measures contract scale but only indirectly relates to economic exposure</x:v>
      </x:c>
      <x:c r="O1023" s="51" t="str">
        <x:v>Financial; informational; systemic</x:v>
      </x:c>
      <x:c r="P1023" s="51" t="str">
        <x:v>E1</x:v>
      </x:c>
      <x:c r="Q1023" s="51" t="str">
        <x:v>Very high</x:v>
      </x:c>
      <x:c r="R1023" s="51" t="str">
        <x:v>SRC-707</x:v>
      </x:c>
      <x:c r="S1023" s="51" t="str">
        <x:v>CFTC reports very large notional values for U.S. futures and swaps markets.</x:v>
      </x:c>
      <x:c r="T1023" s="51" t="str">
        <x:v>The amount that would be lost if all contracts failed or equivalent funded assets.</x:v>
      </x:c>
      <x:c r="U1023" s="51" t="str">
        <x:v>Exposure depends on prices, netting, collateral and maturity.</x:v>
      </x:c>
      <x:c r="V1023" s="51" t="str">
        <x:v>Active</x:v>
      </x:c>
      <x:c r="W1023" s="51" t="str">
        <x:v>47;57</x:v>
      </x:c>
      <x:c r="X1023" s="51" t="str">
        <x:v>2026-07-27</x:v>
      </x:c>
    </x:row>
    <x:row r="1024">
      <x:c r="A1024" s="51" t="str">
        <x:v>V16NET-003</x:v>
      </x:c>
      <x:c r="B1024" s="51" t="str">
        <x:v>Netting, notional amounts and residual exposure</x:v>
      </x:c>
      <x:c r="C1024" s="51" t="str">
        <x:v>ACT-SWAPDEALERS</x:v>
      </x:c>
      <x:c r="D1024" s="51" t="str">
        <x:v>Swap dealers</x:v>
      </x:c>
      <x:c r="E1024" s="51" t="str">
        <x:v>ACT-INITIALMARGINCOLLATERAL</x:v>
      </x:c>
      <x:c r="F1024" s="51" t="str">
        <x:v>Initial margin collateral</x:v>
      </x:c>
      <x:c r="G1024" s="51" t="str">
        <x:v>Dealer → collateral pool</x:v>
      </x:c>
      <x:c r="H1024" s="51" t="str">
        <x:v>Bilateral trade lifecycle</x:v>
      </x:c>
      <x:c r="I1024" s="51" t="str">
        <x:v>Collateral posting</x:v>
      </x:c>
      <x:c r="J1024" s="51" t="str">
        <x:v>INS-357</x:v>
      </x:c>
      <x:c r="K1024" s="51" t="str">
        <x:v>Market-wide</x:v>
      </x:c>
      <x:c r="L1024" s="51" t="str">
        <x:v>Net derivatives exposure</x:v>
      </x:c>
      <x:c r="M1024" s="51" t="str">
        <x:v>Cash and non-cash collateral</x:v>
      </x:c>
      <x:c r="N1024" s="51" t="str">
        <x:v>Collateral reduces unsecured credit exposure but creates funding and asset-encumbrance costs</x:v>
      </x:c>
      <x:c r="O1024" s="51" t="str">
        <x:v>Financial; ownership; systemic</x:v>
      </x:c>
      <x:c r="P1024" s="51" t="str">
        <x:v>E2</x:v>
      </x:c>
      <x:c r="Q1024" s="51" t="str">
        <x:v>High</x:v>
      </x:c>
      <x:c r="R1024" s="51" t="str">
        <x:v>SRC-731; SRC-733</x:v>
      </x:c>
      <x:c r="S1024" s="51" t="str">
        <x:v>ISDA's 2025 survey reports extensive cash and non-cash collateral.</x:v>
      </x:c>
      <x:c r="T1024" s="51" t="str">
        <x:v>Transfer of all market risk or absence of collateral disputes.</x:v>
      </x:c>
      <x:c r="U1024" s="51" t="str">
        <x:v>Haircuts, eligibility and segregation affect protection.</x:v>
      </x:c>
      <x:c r="V1024" s="51" t="str">
        <x:v>Active</x:v>
      </x:c>
      <x:c r="W1024" s="51" t="str">
        <x:v>47;57</x:v>
      </x:c>
      <x:c r="X1024" s="51" t="str">
        <x:v>2026-07-27</x:v>
      </x:c>
    </x:row>
    <x:row r="1025">
      <x:c r="A1025" s="51" t="str">
        <x:v>V16RE-001</x:v>
      </x:c>
      <x:c r="B1025" s="51" t="str">
        <x:v>Reinsurance, retrocession and balance-sheet capacity</x:v>
      </x:c>
      <x:c r="C1025" s="51" t="str">
        <x:v>ACT-PRIMARYINSURERS</x:v>
      </x:c>
      <x:c r="D1025" s="51" t="str">
        <x:v>Primary insurers</x:v>
      </x:c>
      <x:c r="E1025" s="51" t="str">
        <x:v>ACT-REINSURERS</x:v>
      </x:c>
      <x:c r="F1025" s="51" t="str">
        <x:v>Reinsurers</x:v>
      </x:c>
      <x:c r="G1025" s="51" t="str">
        <x:v>Cedant → reinsurer</x:v>
      </x:c>
      <x:c r="H1025" s="51" t="str">
        <x:v>Treaty or facultative term</x:v>
      </x:c>
      <x:c r="I1025" s="51" t="str">
        <x:v>Ceded premium and risk</x:v>
      </x:c>
      <x:c r="J1025" s="51" t="str">
        <x:v>INS-338</x:v>
      </x:c>
      <x:c r="K1025" s="51" t="str">
        <x:v>Contract-specific</x:v>
      </x:c>
      <x:c r="L1025" s="51" t="str">
        <x:v>Underwriting portfolio or named risk</x:v>
      </x:c>
      <x:c r="M1025" s="51" t="str">
        <x:v>Reinsurance recoverable after covered ceded loss</x:v>
      </x:c>
      <x:c r="N1025" s="51" t="str">
        <x:v>Reinsurance converts concentrated underwriting exposure into a claim on a larger diversified balance sheet</x:v>
      </x:c>
      <x:c r="O1025" s="51" t="str">
        <x:v>Financial; legal; relational</x:v>
      </x:c>
      <x:c r="P1025" s="51" t="str">
        <x:v>E1</x:v>
      </x:c>
      <x:c r="Q1025" s="51" t="str">
        <x:v>Very high</x:v>
      </x:c>
      <x:c r="R1025" s="51" t="str">
        <x:v>SRC-698; SRC-702</x:v>
      </x:c>
      <x:c r="S1025" s="51" t="str">
        <x:v>Reinsurers assume defined insurance risk from primary insurers.</x:v>
      </x:c>
      <x:c r="T1025" s="51" t="str">
        <x:v>Transfer of all insolvency risk or guaranteed collectability.</x:v>
      </x:c>
      <x:c r="U1025" s="51" t="str">
        <x:v>Coverage, attachment, limits and reinsurer credit matter.</x:v>
      </x:c>
      <x:c r="V1025" s="51" t="str">
        <x:v>Active</x:v>
      </x:c>
      <x:c r="W1025" s="51" t="str">
        <x:v>47;57</x:v>
      </x:c>
      <x:c r="X1025" s="51" t="str">
        <x:v>2026-07-27</x:v>
      </x:c>
    </x:row>
    <x:row r="1026">
      <x:c r="A1026" s="51" t="str">
        <x:v>V16RE-002</x:v>
      </x:c>
      <x:c r="B1026" s="51" t="str">
        <x:v>Reinsurance, retrocession and balance-sheet capacity</x:v>
      </x:c>
      <x:c r="C1026" s="51" t="str">
        <x:v>ACT-REINSURERS</x:v>
      </x:c>
      <x:c r="D1026" s="51" t="str">
        <x:v>Reinsurers</x:v>
      </x:c>
      <x:c r="E1026" s="51" t="str">
        <x:v>ACT-PRIMARYINSURERS</x:v>
      </x:c>
      <x:c r="F1026" s="51" t="str">
        <x:v>Primary insurers</x:v>
      </x:c>
      <x:c r="G1026" s="51" t="str">
        <x:v>Reinsurer → cedant</x:v>
      </x:c>
      <x:c r="H1026" s="51" t="str">
        <x:v>After covered loss</x:v>
      </x:c>
      <x:c r="I1026" s="51" t="str">
        <x:v>Reinsurance payment</x:v>
      </x:c>
      <x:c r="J1026" s="51" t="str">
        <x:v>INS-338</x:v>
      </x:c>
      <x:c r="K1026" s="51" t="str">
        <x:v>Contract-specific</x:v>
      </x:c>
      <x:c r="L1026" s="51" t="str">
        <x:v>Covered ceded claims</x:v>
      </x:c>
      <x:c r="M1026" s="51" t="str">
        <x:v>Cash recovery and capital relief</x:v>
      </x:c>
      <x:c r="N1026" s="51" t="str">
        <x:v>Reinsurance payment replenishes insurer liquidity and loss-absorbing capacity</x:v>
      </x:c>
      <x:c r="O1026" s="51" t="str">
        <x:v>Financial; operational; legal</x:v>
      </x:c>
      <x:c r="P1026" s="51" t="str">
        <x:v>E1</x:v>
      </x:c>
      <x:c r="Q1026" s="51" t="str">
        <x:v>High</x:v>
      </x:c>
      <x:c r="R1026" s="51" t="str">
        <x:v>SRC-698; SRC-702</x:v>
      </x:c>
      <x:c r="S1026" s="51" t="str">
        <x:v>Reinsurance contracts generate recoverables for covered ceded losses.</x:v>
      </x:c>
      <x:c r="T1026" s="51" t="str">
        <x:v>Immediate payment without dispute or elimination of reserve uncertainty.</x:v>
      </x:c>
      <x:c r="U1026" s="51" t="str">
        <x:v>Timing, collateral and counterparty quality affect recovery.</x:v>
      </x:c>
      <x:c r="V1026" s="51" t="str">
        <x:v>Active</x:v>
      </x:c>
      <x:c r="W1026" s="51" t="str">
        <x:v>47;57</x:v>
      </x:c>
      <x:c r="X1026" s="51" t="str">
        <x:v>2026-07-27</x:v>
      </x:c>
    </x:row>
    <x:row r="1027">
      <x:c r="A1027" s="51" t="str">
        <x:v>V16RE-003</x:v>
      </x:c>
      <x:c r="B1027" s="51" t="str">
        <x:v>Reinsurance, retrocession and balance-sheet capacity</x:v>
      </x:c>
      <x:c r="C1027" s="51" t="str">
        <x:v>ACT-REINSURERS</x:v>
      </x:c>
      <x:c r="D1027" s="51" t="str">
        <x:v>Reinsurers</x:v>
      </x:c>
      <x:c r="E1027" s="51" t="str">
        <x:v>ACT-RETROCESSIONAIRES</x:v>
      </x:c>
      <x:c r="F1027" s="51" t="str">
        <x:v>Retrocessionaires</x:v>
      </x:c>
      <x:c r="G1027" s="51" t="str">
        <x:v>Reinsurer → retrocessionaire</x:v>
      </x:c>
      <x:c r="H1027" s="51" t="str">
        <x:v>Retrocession term</x:v>
      </x:c>
      <x:c r="I1027" s="51" t="str">
        <x:v>Ceded reinsurance premium and accumulation risk</x:v>
      </x:c>
      <x:c r="J1027" s="51" t="str">
        <x:v>INS-339</x:v>
      </x:c>
      <x:c r="K1027" s="51" t="str">
        <x:v>Contract-specific</x:v>
      </x:c>
      <x:c r="L1027" s="51" t="str">
        <x:v>Reinsurance portfolio exposure</x:v>
      </x:c>
      <x:c r="M1027" s="51" t="str">
        <x:v>Retrocession recovery</x:v>
      </x:c>
      <x:c r="N1027" s="51" t="str">
        <x:v>Retrocession distributes catastrophe and accumulation risk beyond the first reinsurer</x:v>
      </x:c>
      <x:c r="O1027" s="51" t="str">
        <x:v>Financial; relational; systemic</x:v>
      </x:c>
      <x:c r="P1027" s="51" t="str">
        <x:v>E1</x:v>
      </x:c>
      <x:c r="Q1027" s="51" t="str">
        <x:v>High</x:v>
      </x:c>
      <x:c r="R1027" s="51" t="str">
        <x:v>SRC-698; SRC-702</x:v>
      </x:c>
      <x:c r="S1027" s="51" t="str">
        <x:v>Reinsurers use retrocession to manage portfolios and peak risk.</x:v>
      </x:c>
      <x:c r="T1027" s="51" t="str">
        <x:v>Disappearance of systemic concentration or complete transparency of the final risk holder.</x:v>
      </x:c>
      <x:c r="U1027" s="51" t="str">
        <x:v>Risk can circulate through interconnected contracts.</x:v>
      </x:c>
      <x:c r="V1027" s="51" t="str">
        <x:v>Active</x:v>
      </x:c>
      <x:c r="W1027" s="51" t="str">
        <x:v>47;57</x:v>
      </x:c>
      <x:c r="X1027" s="51" t="str">
        <x:v>2026-07-27</x:v>
      </x:c>
    </x:row>
    <x:row r="1028">
      <x:c r="A1028" s="51" t="str">
        <x:v>V16RE-004</x:v>
      </x:c>
      <x:c r="B1028" s="51" t="str">
        <x:v>Reinsurance, retrocession and balance-sheet capacity</x:v>
      </x:c>
      <x:c r="C1028" s="51" t="str">
        <x:v>ACT-MUNICHRE</x:v>
      </x:c>
      <x:c r="D1028" s="51" t="str">
        <x:v>Munich Re</x:v>
      </x:c>
      <x:c r="E1028" s="51" t="str">
        <x:v>ACT-PRIMARYINSURERS</x:v>
      </x:c>
      <x:c r="F1028" s="51" t="str">
        <x:v>Primary insurers</x:v>
      </x:c>
      <x:c r="G1028" s="51" t="str">
        <x:v>Global reinsurer → cedants</x:v>
      </x:c>
      <x:c r="H1028" s="51" t="str">
        <x:v>2025–2026</x:v>
      </x:c>
      <x:c r="I1028" s="51" t="str">
        <x:v>Reinsurance capacity and services</x:v>
      </x:c>
      <x:c r="J1028" s="51" t="str">
        <x:v>INS-343</x:v>
      </x:c>
      <x:c r="K1028" s="51" t="str">
        <x:v>€60.4 billion insurance revenue in 2025</x:v>
      </x:c>
      <x:c r="L1028" s="51" t="str">
        <x:v>Capital, underwriting expertise and diversification</x:v>
      </x:c>
      <x:c r="M1028" s="51" t="str">
        <x:v>Reinsurance cover and claims capacity</x:v>
      </x:c>
      <x:c r="N1028" s="51" t="str">
        <x:v>A large balance sheet converts global diversification and investment assets into underwriting capacity</x:v>
      </x:c>
      <x:c r="O1028" s="51" t="str">
        <x:v>Financial; informational; relational</x:v>
      </x:c>
      <x:c r="P1028" s="51" t="str">
        <x:v>E1</x:v>
      </x:c>
      <x:c r="Q1028" s="51" t="str">
        <x:v>Very high</x:v>
      </x:c>
      <x:c r="R1028" s="51" t="str">
        <x:v>SRC-698</x:v>
      </x:c>
      <x:c r="S1028" s="51" t="str">
        <x:v>Munich Re reports substantial global insurance revenue, investments and equity.</x:v>
      </x:c>
      <x:c r="T1028" s="51" t="str">
        <x:v>Coverage of all markets or immunity from catastrophe and reserve risk.</x:v>
      </x:c>
      <x:c r="U1028" s="51" t="str">
        <x:v>Capacity and appetite vary by price, peril and region.</x:v>
      </x:c>
      <x:c r="V1028" s="51" t="str">
        <x:v>Active</x:v>
      </x:c>
      <x:c r="W1028" s="51" t="str">
        <x:v>47;57</x:v>
      </x:c>
      <x:c r="X1028" s="51" t="str">
        <x:v>2026-07-27</x:v>
      </x:c>
    </x:row>
    <x:row r="1029">
      <x:c r="A1029" s="51" t="str">
        <x:v>V16RE-005</x:v>
      </x:c>
      <x:c r="B1029" s="51" t="str">
        <x:v>Reinsurance, retrocession and balance-sheet capacity</x:v>
      </x:c>
      <x:c r="C1029" s="51" t="str">
        <x:v>ACT-SWISSRE</x:v>
      </x:c>
      <x:c r="D1029" s="51" t="str">
        <x:v>Swiss Re</x:v>
      </x:c>
      <x:c r="E1029" s="51" t="str">
        <x:v>ACT-PRIMARYINSURERS</x:v>
      </x:c>
      <x:c r="F1029" s="51" t="str">
        <x:v>Primary insurers</x:v>
      </x:c>
      <x:c r="G1029" s="51" t="str">
        <x:v>Global reinsurer → cedants</x:v>
      </x:c>
      <x:c r="H1029" s="51" t="str">
        <x:v>2025–2026</x:v>
      </x:c>
      <x:c r="I1029" s="51" t="str">
        <x:v>Reinsurance capacity</x:v>
      </x:c>
      <x:c r="J1029" s="51" t="str">
        <x:v>INS-344</x:v>
      </x:c>
      <x:c r="K1029" s="51" t="str">
        <x:v>P&amp;C Re net income $2.8 billion in 2025</x:v>
      </x:c>
      <x:c r="L1029" s="51" t="str">
        <x:v>Capital, reserves and underwriting expertise</x:v>
      </x:c>
      <x:c r="M1029" s="51" t="str">
        <x:v>Ceded-risk capacity and claims payment</x:v>
      </x:c>
      <x:c r="N1029" s="51" t="str">
        <x:v>Global reinsurance groups pool exposures across geography, line and time</x:v>
      </x:c>
      <x:c r="O1029" s="51" t="str">
        <x:v>Financial; informational; relational</x:v>
      </x:c>
      <x:c r="P1029" s="51" t="str">
        <x:v>E1</x:v>
      </x:c>
      <x:c r="Q1029" s="51" t="str">
        <x:v>Very high</x:v>
      </x:c>
      <x:c r="R1029" s="51" t="str">
        <x:v>SRC-702</x:v>
      </x:c>
      <x:c r="S1029" s="51" t="str">
        <x:v>Swiss Re reports material reinsurance operations and technical provisions.</x:v>
      </x:c>
      <x:c r="T1029" s="51" t="str">
        <x:v>Elimination of correlated global losses or guaranteed profitability.</x:v>
      </x:c>
      <x:c r="U1029" s="51" t="str">
        <x:v>Extreme events and casualty development remain uncertain.</x:v>
      </x:c>
      <x:c r="V1029" s="51" t="str">
        <x:v>Active</x:v>
      </x:c>
      <x:c r="W1029" s="51" t="str">
        <x:v>47;57</x:v>
      </x:c>
      <x:c r="X1029" s="51" t="str">
        <x:v>2026-07-27</x:v>
      </x:c>
    </x:row>
    <x:row r="1030">
      <x:c r="A1030" s="51" t="str">
        <x:v>V16RE-006</x:v>
      </x:c>
      <x:c r="B1030" s="51" t="str">
        <x:v>Reinsurance, retrocession and balance-sheet capacity</x:v>
      </x:c>
      <x:c r="C1030" s="51" t="str">
        <x:v>ACT-CHRISTOPHJURECKA</x:v>
      </x:c>
      <x:c r="D1030" s="51" t="str">
        <x:v>Christoph Jurecka</x:v>
      </x:c>
      <x:c r="E1030" s="51" t="str">
        <x:v>ACT-MUNICHRE</x:v>
      </x:c>
      <x:c r="F1030" s="51" t="str">
        <x:v>Munich Re</x:v>
      </x:c>
      <x:c r="G1030" s="51" t="str">
        <x:v>Board chair → reinsurance group</x:v>
      </x:c>
      <x:c r="H1030" s="51" t="str">
        <x:v>Current 2026</x:v>
      </x:c>
      <x:c r="I1030" s="51" t="str">
        <x:v>Chair of Board of Management</x:v>
      </x:c>
      <x:c r="J1030" s="51" t="str">
        <x:v>INS-343</x:v>
      </x:c>
      <x:c r="K1030" s="51" t="str">
        <x:v>Formal executive office</x:v>
      </x:c>
      <x:c r="L1030" s="51" t="str">
        <x:v>Board mandate and executive authority</x:v>
      </x:c>
      <x:c r="M1030" s="51" t="str">
        <x:v>Strategy, capital allocation and group governance</x:v>
      </x:c>
      <x:c r="N1030" s="51" t="str">
        <x:v>Executive office converts board authority into group-wide risk appetite and capital decisions</x:v>
      </x:c>
      <x:c r="O1030" s="51" t="str">
        <x:v>Institutional; financial; relational</x:v>
      </x:c>
      <x:c r="P1030" s="51" t="str">
        <x:v>E1</x:v>
      </x:c>
      <x:c r="Q1030" s="51" t="str">
        <x:v>Very high</x:v>
      </x:c>
      <x:c r="R1030" s="51" t="str">
        <x:v>SRC-700</x:v>
      </x:c>
      <x:c r="S1030" s="51" t="str">
        <x:v>Christoph Jurecka has chaired Munich Re's Board of Management since January 1, 2026.</x:v>
      </x:c>
      <x:c r="T1030" s="51" t="str">
        <x:v>Personal underwriting of every policy or unilateral control of supervisory outcomes.</x:v>
      </x:c>
      <x:c r="U1030" s="51" t="str">
        <x:v>Committees, boards and business units share authority.</x:v>
      </x:c>
      <x:c r="V1030" s="51" t="str">
        <x:v>Active</x:v>
      </x:c>
      <x:c r="W1030" s="51" t="str">
        <x:v>47;57</x:v>
      </x:c>
      <x:c r="X1030" s="51" t="str">
        <x:v>2026-07-27</x:v>
      </x:c>
    </x:row>
    <x:row r="1031">
      <x:c r="A1031" s="51" t="str">
        <x:v>V16SUP-001</x:v>
      </x:c>
      <x:c r="B1031" s="51" t="str">
        <x:v>Insurance supervision, capital and solvency</x:v>
      </x:c>
      <x:c r="C1031" s="51" t="str">
        <x:v>ACT-INTERNATIONALASSOCIATION</x:v>
      </x:c>
      <x:c r="D1031" s="51" t="str">
        <x:v>International Association of Insurance Supervisors</x:v>
      </x:c>
      <x:c r="E1031" s="51" t="str">
        <x:v>ACT-INSURANCESUPERVISORS</x:v>
      </x:c>
      <x:c r="F1031" s="51" t="str">
        <x:v>Insurance supervisors</x:v>
      </x:c>
      <x:c r="G1031" s="51" t="str">
        <x:v>Standard setter → national supervisors</x:v>
      </x:c>
      <x:c r="H1031" s="51" t="str">
        <x:v>2025 onward</x:v>
      </x:c>
      <x:c r="I1031" s="51" t="str">
        <x:v>ICS, ICP and ComFrame implementation</x:v>
      </x:c>
      <x:c r="J1031" s="51" t="str">
        <x:v>INS-335; INS-336</x:v>
      </x:c>
      <x:c r="K1031" s="51" t="str">
        <x:v>Global supervisory network</x:v>
      </x:c>
      <x:c r="L1031" s="51" t="str">
        <x:v>International standards and comparative risk analysis</x:v>
      </x:c>
      <x:c r="M1031" s="51" t="str">
        <x:v>Domestic capital, governance and supervisory frameworks</x:v>
      </x:c>
      <x:c r="N1031" s="51" t="str">
        <x:v>International insurance standards gain coercive effect through national implementation and group supervision</x:v>
      </x:c>
      <x:c r="O1031" s="51" t="str">
        <x:v>Institutional; financial; informational</x:v>
      </x:c>
      <x:c r="P1031" s="51" t="str">
        <x:v>E1</x:v>
      </x:c>
      <x:c r="Q1031" s="51" t="str">
        <x:v>Very high</x:v>
      </x:c>
      <x:c r="R1031" s="51" t="str">
        <x:v>SRC-689; SRC-690; SRC-691</x:v>
      </x:c>
      <x:c r="S1031" s="51" t="str">
        <x:v>IAIS has adopted the ICS and maintains the ICP and ComFrame framework.</x:v>
      </x:c>
      <x:c r="T1031" s="51" t="str">
        <x:v>Direct IAIS enforcement against insurers or identical national law.</x:v>
      </x:c>
      <x:c r="U1031" s="51" t="str">
        <x:v>National authorities determine legal implementation and enforcement.</x:v>
      </x:c>
      <x:c r="V1031" s="51" t="str">
        <x:v>Active</x:v>
      </x:c>
      <x:c r="W1031" s="51" t="str">
        <x:v>47;57</x:v>
      </x:c>
      <x:c r="X1031" s="51" t="str">
        <x:v>2026-07-27</x:v>
      </x:c>
    </x:row>
    <x:row r="1032">
      <x:c r="A1032" s="51" t="str">
        <x:v>V16SUP-002</x:v>
      </x:c>
      <x:c r="B1032" s="51" t="str">
        <x:v>Insurance supervision, capital and solvency</x:v>
      </x:c>
      <x:c r="C1032" s="51" t="str">
        <x:v>ACT-INSURANCESUPERVISORS</x:v>
      </x:c>
      <x:c r="D1032" s="51" t="str">
        <x:v>Insurance supervisors</x:v>
      </x:c>
      <x:c r="E1032" s="51" t="str">
        <x:v>ACT-INTERNATIONALLYACTIVEINS</x:v>
      </x:c>
      <x:c r="F1032" s="51" t="str">
        <x:v>Internationally active insurance groups</x:v>
      </x:c>
      <x:c r="G1032" s="51" t="str">
        <x:v>Supervisor → insurance group</x:v>
      </x:c>
      <x:c r="H1032" s="51" t="str">
        <x:v>Ongoing</x:v>
      </x:c>
      <x:c r="I1032" s="51" t="str">
        <x:v>Group-wide solvency and governance supervision</x:v>
      </x:c>
      <x:c r="J1032" s="51" t="str">
        <x:v>INS-335; INS-336</x:v>
      </x:c>
      <x:c r="K1032" s="51" t="str">
        <x:v>Group-specific</x:v>
      </x:c>
      <x:c r="L1032" s="51" t="str">
        <x:v>Risk profile, assets, liabilities and governance information</x:v>
      </x:c>
      <x:c r="M1032" s="51" t="str">
        <x:v>Capital requirement, remediation or supervisory action</x:v>
      </x:c>
      <x:c r="N1032" s="51" t="str">
        <x:v>Group supervision converts dispersed insurance obligations into a consolidated solvency assessment</x:v>
      </x:c>
      <x:c r="O1032" s="51" t="str">
        <x:v>Institutional; financial; enforcement</x:v>
      </x:c>
      <x:c r="P1032" s="51" t="str">
        <x:v>E1</x:v>
      </x:c>
      <x:c r="Q1032" s="51" t="str">
        <x:v>High</x:v>
      </x:c>
      <x:c r="R1032" s="51" t="str">
        <x:v>SRC-689; SRC-691</x:v>
      </x:c>
      <x:c r="S1032" s="51" t="str">
        <x:v>The ICS is designed as a group-wide risk-based capital measure for internationally active insurance groups.</x:v>
      </x:c>
      <x:c r="T1032" s="51" t="str">
        <x:v>Guarantee that compliant groups cannot fail.</x:v>
      </x:c>
      <x:c r="U1032" s="51" t="str">
        <x:v>Capital models and supervisory judgment remain imperfect.</x:v>
      </x:c>
      <x:c r="V1032" s="51" t="str">
        <x:v>Implementation</x:v>
      </x:c>
      <x:c r="W1032" s="51" t="str">
        <x:v>47;57</x:v>
      </x:c>
      <x:c r="X1032" s="51" t="str">
        <x:v>2026-07-27</x:v>
      </x:c>
    </x:row>
    <x:row r="1033">
      <x:c r="A1033" s="51" t="str">
        <x:v>V16SUP-003</x:v>
      </x:c>
      <x:c r="B1033" s="51" t="str">
        <x:v>Insurance supervision, capital and solvency</x:v>
      </x:c>
      <x:c r="C1033" s="51" t="str">
        <x:v>ACT-INTERNATIONALLYACTIVEINS</x:v>
      </x:c>
      <x:c r="D1033" s="51" t="str">
        <x:v>Internationally active insurance groups</x:v>
      </x:c>
      <x:c r="E1033" s="51" t="str">
        <x:v>ACT-INSURANCESUPERVISORS</x:v>
      </x:c>
      <x:c r="F1033" s="51" t="str">
        <x:v>Insurance supervisors</x:v>
      </x:c>
      <x:c r="G1033" s="51" t="str">
        <x:v>Insurance group → supervisor</x:v>
      </x:c>
      <x:c r="H1033" s="51" t="str">
        <x:v>Reporting cycle</x:v>
      </x:c>
      <x:c r="I1033" s="51" t="str">
        <x:v>Solvency, risk and governance reporting</x:v>
      </x:c>
      <x:c r="J1033" s="51" t="str">
        <x:v>INS-335; INS-336</x:v>
      </x:c>
      <x:c r="K1033" s="51" t="str">
        <x:v>Group-specific</x:v>
      </x:c>
      <x:c r="L1033" s="51" t="str">
        <x:v>Balance-sheet, risk and governance data</x:v>
      </x:c>
      <x:c r="M1033" s="51" t="str">
        <x:v>Supervisory information set</x:v>
      </x:c>
      <x:c r="N1033" s="51" t="str">
        <x:v>Mandatory reporting turns private insurance balance sheets into public supervisory visibility</x:v>
      </x:c>
      <x:c r="O1033" s="51" t="str">
        <x:v>Informational; institutional; financial</x:v>
      </x:c>
      <x:c r="P1033" s="51" t="str">
        <x:v>S1</x:v>
      </x:c>
      <x:c r="Q1033" s="51" t="str">
        <x:v>High</x:v>
      </x:c>
      <x:c r="R1033" s="51" t="str">
        <x:v>SRC-689; SRC-691</x:v>
      </x:c>
      <x:c r="S1033" s="51" t="str">
        <x:v>Implementation requires group-level reporting and assessment.</x:v>
      </x:c>
      <x:c r="T1033" s="51" t="str">
        <x:v>Public disclosure of every risk model or real-time supervisory control.</x:v>
      </x:c>
      <x:c r="U1033" s="51" t="str">
        <x:v>Confidentiality and reporting templates vary.</x:v>
      </x:c>
      <x:c r="V1033" s="51" t="str">
        <x:v>Implementation</x:v>
      </x:c>
      <x:c r="W1033" s="51" t="str">
        <x:v>47;57</x:v>
      </x:c>
      <x:c r="X1033" s="51" t="str">
        <x:v>2026-07-27</x:v>
      </x:c>
    </x:row>
    <x:row r="1034">
      <x:c r="A1034" s="51" t="str">
        <x:v>V16SUP-004</x:v>
      </x:c>
      <x:c r="B1034" s="51" t="str">
        <x:v>Insurance supervision, capital and solvency</x:v>
      </x:c>
      <x:c r="C1034" s="51" t="str">
        <x:v>ACT-JONATHANDIXON</x:v>
      </x:c>
      <x:c r="D1034" s="51" t="str">
        <x:v>Jonathan Dixon</x:v>
      </x:c>
      <x:c r="E1034" s="51" t="str">
        <x:v>ACT-INTERNATIONALASSOCIATION</x:v>
      </x:c>
      <x:c r="F1034" s="51" t="str">
        <x:v>International Association of Insurance Supervisors</x:v>
      </x:c>
      <x:c r="G1034" s="51" t="str">
        <x:v>Secretary General → standard setter</x:v>
      </x:c>
      <x:c r="H1034" s="51" t="str">
        <x:v>Current 2026</x:v>
      </x:c>
      <x:c r="I1034" s="51" t="str">
        <x:v>Institutional leadership</x:v>
      </x:c>
      <x:c r="J1034" s="51" t="str">
        <x:v>INS-335; INS-336</x:v>
      </x:c>
      <x:c r="K1034" s="51" t="str">
        <x:v>Formal office</x:v>
      </x:c>
      <x:c r="L1034" s="51" t="str">
        <x:v>Member mandate and secretariat authority</x:v>
      </x:c>
      <x:c r="M1034" s="51" t="str">
        <x:v>Standards coordination and implementation support</x:v>
      </x:c>
      <x:c r="N1034" s="51" t="str">
        <x:v>Executive leadership coordinates the standard-setting institution without directly supervising national firms</x:v>
      </x:c>
      <x:c r="O1034" s="51" t="str">
        <x:v>Institutional; relational; informational</x:v>
      </x:c>
      <x:c r="P1034" s="51" t="str">
        <x:v>E1</x:v>
      </x:c>
      <x:c r="Q1034" s="51" t="str">
        <x:v>Very high</x:v>
      </x:c>
      <x:c r="R1034" s="51" t="str">
        <x:v>SRC-692</x:v>
      </x:c>
      <x:c r="S1034" s="51" t="str">
        <x:v>Jonathan Dixon is the IAIS Secretary General.</x:v>
      </x:c>
      <x:c r="T1034" s="51" t="str">
        <x:v>Personal authority to set every national capital rule or resolve an insurer.</x:v>
      </x:c>
      <x:c r="U1034" s="51" t="str">
        <x:v>IAIS decisions are member-driven and implemented nationally.</x:v>
      </x:c>
      <x:c r="V1034" s="51" t="str">
        <x:v>Active</x:v>
      </x:c>
      <x:c r="W1034" s="51" t="str">
        <x:v>47;57</x:v>
      </x:c>
      <x:c r="X1034" s="51" t="str">
        <x:v>2026-07-27</x:v>
      </x:c>
    </x:row>
    <x:row r="1035">
      <x:c r="A1035" s="51" t="str">
        <x:v>V17BANK-001</x:v>
      </x:c>
      <x:c r="B1035" s="51" t="str">
        <x:v>Bank deposit creation, settlement and maturity transformation</x:v>
      </x:c>
      <x:c r="C1035" s="51" t="str">
        <x:v>ACT-COMMERCIALBANKS</x:v>
      </x:c>
      <x:c r="D1035" s="51" t="str">
        <x:v>Commercial banks</x:v>
      </x:c>
      <x:c r="E1035" s="51" t="str">
        <x:v>ACT-BANKLOANSANDSECURITIES</x:v>
      </x:c>
      <x:c r="F1035" s="51" t="str">
        <x:v>Bank loans and securities</x:v>
      </x:c>
      <x:c r="G1035" s="51" t="str">
        <x:v>Bank → asset</x:v>
      </x:c>
      <x:c r="H1035" s="51" t="str">
        <x:v>Ongoing</x:v>
      </x:c>
      <x:c r="I1035" s="51" t="str">
        <x:v>Loan origination or nonbank asset purchase</x:v>
      </x:c>
      <x:c r="J1035" s="51" t="str">
        <x:v>INS-359; INS-360</x:v>
      </x:c>
      <x:c r="K1035" s="51" t="str">
        <x:v>Bank-specific</x:v>
      </x:c>
      <x:c r="L1035" s="51" t="str">
        <x:v>Credit decision and balance-sheet capacity</x:v>
      </x:c>
      <x:c r="M1035" s="51" t="str">
        <x:v>Loan or securities asset</x:v>
      </x:c>
      <x:c r="N1035" s="51" t="str">
        <x:v>Banks create earning assets subject to capital, liquidity and risk constraints</x:v>
      </x:c>
      <x:c r="O1035" s="51" t="str">
        <x:v>Financial; institutional; informational</x:v>
      </x:c>
      <x:c r="P1035" s="51" t="str">
        <x:v>E1</x:v>
      </x:c>
      <x:c r="Q1035" s="51" t="str">
        <x:v>Very high</x:v>
      </x:c>
      <x:c r="R1035" s="51" t="str">
        <x:v>SRC-736; SRC-737; SRC-738</x:v>
      </x:c>
      <x:c r="S1035" s="51" t="str">
        <x:v>Commercial banks extend loans and purchase assets as part of balance-sheet activity.</x:v>
      </x:c>
      <x:c r="T1035" s="51" t="str">
        <x:v>Unlimited lending capacity or absence of funding and capital constraints.</x:v>
      </x:c>
      <x:c r="U1035" s="51" t="str">
        <x:v>Credit quality, regulation, settlement outflows and profitability constrain expansion.</x:v>
      </x:c>
      <x:c r="V1035" s="51" t="str">
        <x:v>Active</x:v>
      </x:c>
      <x:c r="W1035" s="51" t="str">
        <x:v>48;57</x:v>
      </x:c>
      <x:c r="X1035" s="51" t="str">
        <x:v>2026-07-27</x:v>
      </x:c>
    </x:row>
    <x:row r="1036">
      <x:c r="A1036" s="51" t="str">
        <x:v>V17BANK-002</x:v>
      </x:c>
      <x:c r="B1036" s="51" t="str">
        <x:v>Bank deposit creation, settlement and maturity transformation</x:v>
      </x:c>
      <x:c r="C1036" s="51" t="str">
        <x:v>ACT-COMMERCIALBANKS</x:v>
      </x:c>
      <x:c r="D1036" s="51" t="str">
        <x:v>Commercial banks</x:v>
      </x:c>
      <x:c r="E1036" s="51" t="str">
        <x:v>ACT-BANKDEPOSITS</x:v>
      </x:c>
      <x:c r="F1036" s="51" t="str">
        <x:v>Bank deposits</x:v>
      </x:c>
      <x:c r="G1036" s="51" t="str">
        <x:v>Bank → liability</x:v>
      </x:c>
      <x:c r="H1036" s="51" t="str">
        <x:v>At loan or asset purchase</x:v>
      </x:c>
      <x:c r="I1036" s="51" t="str">
        <x:v>Deposit creation</x:v>
      </x:c>
      <x:c r="J1036" s="51" t="str">
        <x:v>INS-359</x:v>
      </x:c>
      <x:c r="K1036" s="51" t="str">
        <x:v>Transaction-specific</x:v>
      </x:c>
      <x:c r="L1036" s="51" t="str">
        <x:v>Bank credit extension or payment to nonbank</x:v>
      </x:c>
      <x:c r="M1036" s="51" t="str">
        <x:v>New deposit liability</x:v>
      </x:c>
      <x:c r="N1036" s="51" t="str">
        <x:v>Bank lending or asset purchases from nonbanks can create matching commercial-bank deposits</x:v>
      </x:c>
      <x:c r="O1036" s="51" t="str">
        <x:v>Financial; monetary; legal</x:v>
      </x:c>
      <x:c r="P1036" s="51" t="str">
        <x:v>E1</x:v>
      </x:c>
      <x:c r="Q1036" s="51" t="str">
        <x:v>Very high</x:v>
      </x:c>
      <x:c r="R1036" s="51" t="str">
        <x:v>SRC-736; SRC-737</x:v>
      </x:c>
      <x:c r="S1036" s="51" t="str">
        <x:v>Official central-bank sources explain that bank lending creates deposit liabilities.</x:v>
      </x:c>
      <x:c r="T1036" s="51" t="str">
        <x:v>Creation of central-bank reserves or permanent retention of the deposit at the same bank.</x:v>
      </x:c>
      <x:c r="U1036" s="51" t="str">
        <x:v>Payments can move deposits and require interbank settlement.</x:v>
      </x:c>
      <x:c r="V1036" s="51" t="str">
        <x:v>Active</x:v>
      </x:c>
      <x:c r="W1036" s="51" t="str">
        <x:v>48;57</x:v>
      </x:c>
      <x:c r="X1036" s="51" t="str">
        <x:v>2026-07-27</x:v>
      </x:c>
    </x:row>
    <x:row r="1037">
      <x:c r="A1037" s="51" t="str">
        <x:v>V17BANK-003</x:v>
      </x:c>
      <x:c r="B1037" s="51" t="str">
        <x:v>Bank deposit creation, settlement and maturity transformation</x:v>
      </x:c>
      <x:c r="C1037" s="51" t="str">
        <x:v>ACT-BANKDEPOSITS</x:v>
      </x:c>
      <x:c r="D1037" s="51" t="str">
        <x:v>Bank deposits</x:v>
      </x:c>
      <x:c r="E1037" s="51" t="str">
        <x:v>ACT-BANKDEPOSITORS</x:v>
      </x:c>
      <x:c r="F1037" s="51" t="str">
        <x:v>Bank depositors</x:v>
      </x:c>
      <x:c r="G1037" s="51" t="str">
        <x:v>Bank liability → customer claim</x:v>
      </x:c>
      <x:c r="H1037" s="51" t="str">
        <x:v>Ongoing</x:v>
      </x:c>
      <x:c r="I1037" s="51" t="str">
        <x:v>Deposit account balance</x:v>
      </x:c>
      <x:c r="J1037" s="51" t="str">
        <x:v>INS-359; INS-360</x:v>
      </x:c>
      <x:c r="K1037" s="51" t="str">
        <x:v>Account-specific</x:v>
      </x:c>
      <x:c r="L1037" s="51" t="str">
        <x:v>Bank liability and account terms</x:v>
      </x:c>
      <x:c r="M1037" s="51" t="str">
        <x:v>Spendable and withdrawable claim</x:v>
      </x:c>
      <x:c r="N1037" s="51" t="str">
        <x:v>Commercial-bank money is a claim on a bank accepted at par in ordinary payments</x:v>
      </x:c>
      <x:c r="O1037" s="51" t="str">
        <x:v>Monetary; legal; relational</x:v>
      </x:c>
      <x:c r="P1037" s="51" t="str">
        <x:v>E1</x:v>
      </x:c>
      <x:c r="Q1037" s="51" t="str">
        <x:v>Very high</x:v>
      </x:c>
      <x:c r="R1037" s="51" t="str">
        <x:v>SRC-736; SRC-738; SRC-739</x:v>
      </x:c>
      <x:c r="S1037" s="51" t="str">
        <x:v>Deposits are liabilities of commercial banks and function as money.</x:v>
      </x:c>
      <x:c r="T1037" s="51" t="str">
        <x:v>Segregated ownership of specific vault cash or central-bank reserves.</x:v>
      </x:c>
      <x:c r="U1037" s="51" t="str">
        <x:v>Convertibility depends on bank liquidity, settlement and the public safety net.</x:v>
      </x:c>
      <x:c r="V1037" s="51" t="str">
        <x:v>Active</x:v>
      </x:c>
      <x:c r="W1037" s="51" t="str">
        <x:v>48;57</x:v>
      </x:c>
      <x:c r="X1037" s="51" t="str">
        <x:v>2026-07-27</x:v>
      </x:c>
    </x:row>
    <x:row r="1038">
      <x:c r="A1038" s="51" t="str">
        <x:v>V17BANK-004</x:v>
      </x:c>
      <x:c r="B1038" s="51" t="str">
        <x:v>Bank deposit creation, settlement and maturity transformation</x:v>
      </x:c>
      <x:c r="C1038" s="51" t="str">
        <x:v>ACT-BANKDEPOSITORS</x:v>
      </x:c>
      <x:c r="D1038" s="51" t="str">
        <x:v>Bank depositors</x:v>
      </x:c>
      <x:c r="E1038" s="51" t="str">
        <x:v>ACT-COMMERCIALBANKS</x:v>
      </x:c>
      <x:c r="F1038" s="51" t="str">
        <x:v>Commercial banks</x:v>
      </x:c>
      <x:c r="G1038" s="51" t="str">
        <x:v>Depositor → bank</x:v>
      </x:c>
      <x:c r="H1038" s="51" t="str">
        <x:v>Ongoing</x:v>
      </x:c>
      <x:c r="I1038" s="51" t="str">
        <x:v>Funding and withdrawal option</x:v>
      </x:c>
      <x:c r="J1038" s="51" t="str">
        <x:v>INS-360</x:v>
      </x:c>
      <x:c r="K1038" s="51" t="str">
        <x:v>Approximately $17.9 trillion U.S. commercial-bank deposits in July 2026 H.8</x:v>
      </x:c>
      <x:c r="L1038" s="51" t="str">
        <x:v>Depositor funds and payment activity</x:v>
      </x:c>
      <x:c r="M1038" s="51" t="str">
        <x:v>Bank funding plus runnable liability</x:v>
      </x:c>
      <x:c r="N1038" s="51" t="str">
        <x:v>Deposits provide low-cost funding while remaining payable on demand or short notice</x:v>
      </x:c>
      <x:c r="O1038" s="51" t="str">
        <x:v>Financial; monetary; relational</x:v>
      </x:c>
      <x:c r="P1038" s="51" t="str">
        <x:v>E1</x:v>
      </x:c>
      <x:c r="Q1038" s="51" t="str">
        <x:v>Very high</x:v>
      </x:c>
      <x:c r="R1038" s="51" t="str">
        <x:v>SRC-738</x:v>
      </x:c>
      <x:c r="S1038" s="51" t="str">
        <x:v>Deposits are a major commercial-bank liability.</x:v>
      </x:c>
      <x:c r="T1038" s="51" t="str">
        <x:v>Stable funding in every stress or ownership of bank assets.</x:v>
      </x:c>
      <x:c r="U1038" s="51" t="str">
        <x:v>Deposit behaviour changes with rates, confidence and insurance coverage.</x:v>
      </x:c>
      <x:c r="V1038" s="51" t="str">
        <x:v>Active</x:v>
      </x:c>
      <x:c r="W1038" s="51" t="str">
        <x:v>48;57</x:v>
      </x:c>
      <x:c r="X1038" s="51" t="str">
        <x:v>2026-07-27</x:v>
      </x:c>
    </x:row>
    <x:row r="1039">
      <x:c r="A1039" s="51" t="str">
        <x:v>V17BANK-005</x:v>
      </x:c>
      <x:c r="B1039" s="51" t="str">
        <x:v>Bank deposit creation, settlement and maturity transformation</x:v>
      </x:c>
      <x:c r="C1039" s="51" t="str">
        <x:v>ACT-FEDERALRESERVEBANKS</x:v>
      </x:c>
      <x:c r="D1039" s="51" t="str">
        <x:v>Federal Reserve Banks</x:v>
      </x:c>
      <x:c r="E1039" s="51" t="str">
        <x:v>ACT-CENTRALBANKRESERVES</x:v>
      </x:c>
      <x:c r="F1039" s="51" t="str">
        <x:v>Central bank reserves</x:v>
      </x:c>
      <x:c r="G1039" s="51" t="str">
        <x:v>Reserve Bank → reserve account</x:v>
      </x:c>
      <x:c r="H1039" s="51" t="str">
        <x:v>Ongoing</x:v>
      </x:c>
      <x:c r="I1039" s="51" t="str">
        <x:v>Reserve-balance issuance and settlement</x:v>
      </x:c>
      <x:c r="J1039" s="51" t="str">
        <x:v>INS-372; INS-373; INS-374</x:v>
      </x:c>
      <x:c r="K1039" s="51" t="str">
        <x:v>System-wide</x:v>
      </x:c>
      <x:c r="L1039" s="51" t="str">
        <x:v>Central-bank operations and settlement rules</x:v>
      </x:c>
      <x:c r="M1039" s="51" t="str">
        <x:v>Reserve balances used among eligible institutions</x:v>
      </x:c>
      <x:c r="N1039" s="51" t="str">
        <x:v>Central-bank liabilities provide the final settlement asset for commercial banks</x:v>
      </x:c>
      <x:c r="O1039" s="51" t="str">
        <x:v>Monetary; institutional; operational</x:v>
      </x:c>
      <x:c r="P1039" s="51" t="str">
        <x:v>E1</x:v>
      </x:c>
      <x:c r="Q1039" s="51" t="str">
        <x:v>Very high</x:v>
      </x:c>
      <x:c r="R1039" s="51" t="str">
        <x:v>SRC-758; SRC-760; SRC-792</x:v>
      </x:c>
      <x:c r="S1039" s="51" t="str">
        <x:v>Federal Reserve Banks issue reserve balances used by depository institutions.</x:v>
      </x:c>
      <x:c r="T1039" s="51" t="str">
        <x:v>Direct public deposit accounts for all households or elimination of commercial-bank credit risk.</x:v>
      </x:c>
      <x:c r="U1039" s="51" t="str">
        <x:v>Access is institutionally restricted.</x:v>
      </x:c>
      <x:c r="V1039" s="51" t="str">
        <x:v>Active</x:v>
      </x:c>
      <x:c r="W1039" s="51" t="str">
        <x:v>48;57</x:v>
      </x:c>
      <x:c r="X1039" s="51" t="str">
        <x:v>2026-07-27</x:v>
      </x:c>
    </x:row>
    <x:row r="1040">
      <x:c r="A1040" s="51" t="str">
        <x:v>V17BANK-006</x:v>
      </x:c>
      <x:c r="B1040" s="51" t="str">
        <x:v>Bank deposit creation, settlement and maturity transformation</x:v>
      </x:c>
      <x:c r="C1040" s="51" t="str">
        <x:v>ACT-COMMERCIALBANKS</x:v>
      </x:c>
      <x:c r="D1040" s="51" t="str">
        <x:v>Commercial banks</x:v>
      </x:c>
      <x:c r="E1040" s="51" t="str">
        <x:v>ACT-CENTRALBANKRESERVES</x:v>
      </x:c>
      <x:c r="F1040" s="51" t="str">
        <x:v>Central bank reserves</x:v>
      </x:c>
      <x:c r="G1040" s="51" t="str">
        <x:v>Bank → reserve asset</x:v>
      </x:c>
      <x:c r="H1040" s="51" t="str">
        <x:v>Ongoing</x:v>
      </x:c>
      <x:c r="I1040" s="51" t="str">
        <x:v>Interbank settlement and liquidity buffer</x:v>
      </x:c>
      <x:c r="J1040" s="51" t="str">
        <x:v>INS-360; INS-372</x:v>
      </x:c>
      <x:c r="K1040" s="51" t="str">
        <x:v>Bank-specific</x:v>
      </x:c>
      <x:c r="L1040" s="51" t="str">
        <x:v>Deposit payments and central-bank operations</x:v>
      </x:c>
      <x:c r="M1040" s="51" t="str">
        <x:v>Settlement asset and liquidity</x:v>
      </x:c>
      <x:c r="N1040" s="51" t="str">
        <x:v>When deposits move across banks, reserves or correspondent balances settle the interbank obligation</x:v>
      </x:c>
      <x:c r="O1040" s="51" t="str">
        <x:v>Monetary; operational; financial</x:v>
      </x:c>
      <x:c r="P1040" s="51" t="str">
        <x:v>E1</x:v>
      </x:c>
      <x:c r="Q1040" s="51" t="str">
        <x:v>High</x:v>
      </x:c>
      <x:c r="R1040" s="51" t="str">
        <x:v>SRC-737; SRC-760; SRC-792</x:v>
      </x:c>
      <x:c r="S1040" s="51" t="str">
        <x:v>Interbank payments ultimately settle through central-bank or correspondent balances.</x:v>
      </x:c>
      <x:c r="T1040" s="51" t="str">
        <x:v>A fixed reserve ratio mechanically determining all lending.</x:v>
      </x:c>
      <x:c r="U1040" s="51" t="str">
        <x:v>Banks manage reserves dynamically under the operating framework.</x:v>
      </x:c>
      <x:c r="V1040" s="51" t="str">
        <x:v>Active</x:v>
      </x:c>
      <x:c r="W1040" s="51" t="str">
        <x:v>48;57</x:v>
      </x:c>
      <x:c r="X1040" s="51" t="str">
        <x:v>2026-07-27</x:v>
      </x:c>
    </x:row>
    <x:row r="1041">
      <x:c r="A1041" s="51" t="str">
        <x:v>V17BANK-007</x:v>
      </x:c>
      <x:c r="B1041" s="51" t="str">
        <x:v>Bank deposit creation, settlement and maturity transformation</x:v>
      </x:c>
      <x:c r="C1041" s="51" t="str">
        <x:v>ACT-COMMERCIALBANKS</x:v>
      </x:c>
      <x:c r="D1041" s="51" t="str">
        <x:v>Commercial banks</x:v>
      </x:c>
      <x:c r="E1041" s="51" t="str">
        <x:v>ACT-HIGHQUALITYLIQUIDASSETS</x:v>
      </x:c>
      <x:c r="F1041" s="51" t="str">
        <x:v>High-quality liquid assets</x:v>
      </x:c>
      <x:c r="G1041" s="51" t="str">
        <x:v>Bank → liquidity buffer</x:v>
      </x:c>
      <x:c r="H1041" s="51" t="str">
        <x:v>Ongoing</x:v>
      </x:c>
      <x:c r="I1041" s="51" t="str">
        <x:v>Liquidity portfolio</x:v>
      </x:c>
      <x:c r="J1041" s="51" t="str">
        <x:v>INS-361</x:v>
      </x:c>
      <x:c r="K1041" s="51" t="str">
        <x:v>Bank-specific</x:v>
      </x:c>
      <x:c r="L1041" s="51" t="str">
        <x:v>Cash, reserves and eligible marketable securities</x:v>
      </x:c>
      <x:c r="M1041" s="51" t="str">
        <x:v>Resources available under stress</x:v>
      </x:c>
      <x:c r="N1041" s="51" t="str">
        <x:v>Banks hold liquid assets to meet withdrawals and regulatory outflows</x:v>
      </x:c>
      <x:c r="O1041" s="51" t="str">
        <x:v>Financial; regulatory; operational</x:v>
      </x:c>
      <x:c r="P1041" s="51" t="str">
        <x:v>E1</x:v>
      </x:c>
      <x:c r="Q1041" s="51" t="str">
        <x:v>High</x:v>
      </x:c>
      <x:c r="R1041" s="51" t="str">
        <x:v>SRC-754; SRC-755; SRC-757</x:v>
      </x:c>
      <x:c r="S1041" s="51" t="str">
        <x:v>The LCR requires adequate unencumbered HQLA for a defined stress period.</x:v>
      </x:c>
      <x:c r="T1041" s="51" t="str">
        <x:v>No liquidity stress or zero price risk in all HQLA.</x:v>
      </x:c>
      <x:c r="U1041" s="51" t="str">
        <x:v>Haircuts, market depth and operational readiness matter.</x:v>
      </x:c>
      <x:c r="V1041" s="51" t="str">
        <x:v>Active</x:v>
      </x:c>
      <x:c r="W1041" s="51" t="str">
        <x:v>48;57</x:v>
      </x:c>
      <x:c r="X1041" s="51" t="str">
        <x:v>2026-07-27</x:v>
      </x:c>
    </x:row>
    <x:row r="1042">
      <x:c r="A1042" s="51" t="str">
        <x:v>V17BANK-008</x:v>
      </x:c>
      <x:c r="B1042" s="51" t="str">
        <x:v>Bank deposit creation, settlement and maturity transformation</x:v>
      </x:c>
      <x:c r="C1042" s="51" t="str">
        <x:v>ACT-BANKLOANSANDSECURITIES</x:v>
      </x:c>
      <x:c r="D1042" s="51" t="str">
        <x:v>Bank loans and securities</x:v>
      </x:c>
      <x:c r="E1042" s="51" t="str">
        <x:v>ACT-BANKDEPOSITS</x:v>
      </x:c>
      <x:c r="F1042" s="51" t="str">
        <x:v>Bank deposits</x:v>
      </x:c>
      <x:c r="G1042" s="51" t="str">
        <x:v>Longer-duration assets ↔ short-term liabilities</x:v>
      </x:c>
      <x:c r="H1042" s="51" t="str">
        <x:v>Ongoing</x:v>
      </x:c>
      <x:c r="I1042" s="51" t="str">
        <x:v>Maturity transformation</x:v>
      </x:c>
      <x:c r="J1042" s="51" t="str">
        <x:v>INS-360; INS-361; INS-362</x:v>
      </x:c>
      <x:c r="K1042" s="51" t="str">
        <x:v>Bank-specific</x:v>
      </x:c>
      <x:c r="L1042" s="51" t="str">
        <x:v>Illiquid or longer-term assets</x:v>
      </x:c>
      <x:c r="M1042" s="51" t="str">
        <x:v>Shorter-term money-like funding</x:v>
      </x:c>
      <x:c r="N1042" s="51" t="str">
        <x:v>Banks fund credit and securities with liabilities that can reprice or run faster than assets mature</x:v>
      </x:c>
      <x:c r="O1042" s="51" t="str">
        <x:v>Financial; monetary; systemic</x:v>
      </x:c>
      <x:c r="P1042" s="51" t="str">
        <x:v>S1</x:v>
      </x:c>
      <x:c r="Q1042" s="51" t="str">
        <x:v>High</x:v>
      </x:c>
      <x:c r="R1042" s="51" t="str">
        <x:v>SRC-738; SRC-755; SRC-756</x:v>
      </x:c>
      <x:c r="S1042" s="51" t="str">
        <x:v>Bank balance sheets combine loans and securities with deposits and other funding.</x:v>
      </x:c>
      <x:c r="T1042" s="51" t="str">
        <x:v>That every bank has the same duration mismatch or is insolvent.</x:v>
      </x:c>
      <x:c r="U1042" s="51" t="str">
        <x:v>Capital, liquidity and asset composition vary.</x:v>
      </x:c>
      <x:c r="V1042" s="51" t="str">
        <x:v>Active</x:v>
      </x:c>
      <x:c r="W1042" s="51" t="str">
        <x:v>48;57</x:v>
      </x:c>
      <x:c r="X1042" s="51" t="str">
        <x:v>2026-07-27</x:v>
      </x:c>
    </x:row>
    <x:row r="1043">
      <x:c r="A1043" s="51" t="str">
        <x:v>V17BAS-001</x:v>
      </x:c>
      <x:c r="B1043" s="51" t="str">
        <x:v>Basel liquidity, capital and stable-funding constraints</x:v>
      </x:c>
      <x:c r="C1043" s="51" t="str">
        <x:v>ACT-BASELCOMMITTEEONBANKINGS</x:v>
      </x:c>
      <x:c r="D1043" s="51" t="str">
        <x:v>Basel Committee on Banking Supervision</x:v>
      </x:c>
      <x:c r="E1043" s="51" t="str">
        <x:v>ACT-BANKSUPERVISORS</x:v>
      </x:c>
      <x:c r="F1043" s="51" t="str">
        <x:v>Bank supervisors</x:v>
      </x:c>
      <x:c r="G1043" s="51" t="str">
        <x:v>Standard setter → national supervisors</x:v>
      </x:c>
      <x:c r="H1043" s="51" t="str">
        <x:v>Ongoing</x:v>
      </x:c>
      <x:c r="I1043" s="51" t="str">
        <x:v>Basel implementation</x:v>
      </x:c>
      <x:c r="J1043" s="51" t="str">
        <x:v>INS-361; INS-362</x:v>
      </x:c>
      <x:c r="K1043" s="51" t="str">
        <x:v>Global</x:v>
      </x:c>
      <x:c r="L1043" s="51" t="str">
        <x:v>International prudential standards</x:v>
      </x:c>
      <x:c r="M1043" s="51" t="str">
        <x:v>Domestic bank capital and liquidity rules</x:v>
      </x:c>
      <x:c r="N1043" s="51" t="str">
        <x:v>Basel standards gain legal force through national rulemaking and supervision</x:v>
      </x:c>
      <x:c r="O1043" s="51" t="str">
        <x:v>Institutional; financial; regulatory</x:v>
      </x:c>
      <x:c r="P1043" s="51" t="str">
        <x:v>E1</x:v>
      </x:c>
      <x:c r="Q1043" s="51" t="str">
        <x:v>Very high</x:v>
      </x:c>
      <x:c r="R1043" s="51" t="str">
        <x:v>SRC-754; SRC-755; SRC-756</x:v>
      </x:c>
      <x:c r="S1043" s="51" t="str">
        <x:v>The Basel Committee publishes the LCR, NSFR and broader Basel framework.</x:v>
      </x:c>
      <x:c r="T1043" s="51" t="str">
        <x:v>Direct global legal authority over banks.</x:v>
      </x:c>
      <x:c r="U1043" s="51" t="str">
        <x:v>Implementation differs across jurisdictions.</x:v>
      </x:c>
      <x:c r="V1043" s="51" t="str">
        <x:v>Active</x:v>
      </x:c>
      <x:c r="W1043" s="51" t="str">
        <x:v>48;57</x:v>
      </x:c>
      <x:c r="X1043" s="51" t="str">
        <x:v>2026-07-27</x:v>
      </x:c>
    </x:row>
    <x:row r="1044">
      <x:c r="A1044" s="51" t="str">
        <x:v>V17BAS-002</x:v>
      </x:c>
      <x:c r="B1044" s="51" t="str">
        <x:v>Basel liquidity, capital and stable-funding constraints</x:v>
      </x:c>
      <x:c r="C1044" s="51" t="str">
        <x:v>ACT-BANKSUPERVISORS</x:v>
      </x:c>
      <x:c r="D1044" s="51" t="str">
        <x:v>Bank supervisors</x:v>
      </x:c>
      <x:c r="E1044" s="51" t="str">
        <x:v>ACT-COMMERCIALBANKS</x:v>
      </x:c>
      <x:c r="F1044" s="51" t="str">
        <x:v>Commercial banks</x:v>
      </x:c>
      <x:c r="G1044" s="51" t="str">
        <x:v>Supervisor → bank</x:v>
      </x:c>
      <x:c r="H1044" s="51" t="str">
        <x:v>Ongoing</x:v>
      </x:c>
      <x:c r="I1044" s="51" t="str">
        <x:v>Liquidity Coverage Ratio</x:v>
      </x:c>
      <x:c r="J1044" s="51" t="str">
        <x:v>INS-361</x:v>
      </x:c>
      <x:c r="K1044" s="51" t="str">
        <x:v>Bank-specific</x:v>
      </x:c>
      <x:c r="L1044" s="51" t="str">
        <x:v>Projected 30-day stress outflows</x:v>
      </x:c>
      <x:c r="M1044" s="51" t="str">
        <x:v>Required HQLA stock and remediation</x:v>
      </x:c>
      <x:c r="N1044" s="51" t="str">
        <x:v>The LCR converts modeled cash outflows into a minimum liquid-asset requirement</x:v>
      </x:c>
      <x:c r="O1044" s="51" t="str">
        <x:v>Regulatory; financial; informational</x:v>
      </x:c>
      <x:c r="P1044" s="51" t="str">
        <x:v>E1</x:v>
      </x:c>
      <x:c r="Q1044" s="51" t="str">
        <x:v>High</x:v>
      </x:c>
      <x:c r="R1044" s="51" t="str">
        <x:v>SRC-755; SRC-757</x:v>
      </x:c>
      <x:c r="S1044" s="51" t="str">
        <x:v>Banks subject to the LCR must maintain qualifying liquid assets against stress outflows.</x:v>
      </x:c>
      <x:c r="T1044" s="51" t="str">
        <x:v>Guarantee that a bank can survive every run.</x:v>
      </x:c>
      <x:c r="U1044" s="51" t="str">
        <x:v>Stress assumptions and asset monetisation can fail in extreme conditions.</x:v>
      </x:c>
      <x:c r="V1044" s="51" t="str">
        <x:v>Active</x:v>
      </x:c>
      <x:c r="W1044" s="51" t="str">
        <x:v>48;57</x:v>
      </x:c>
      <x:c r="X1044" s="51" t="str">
        <x:v>2026-07-27</x:v>
      </x:c>
    </x:row>
    <x:row r="1045">
      <x:c r="A1045" s="51" t="str">
        <x:v>V17BAS-003</x:v>
      </x:c>
      <x:c r="B1045" s="51" t="str">
        <x:v>Basel liquidity, capital and stable-funding constraints</x:v>
      </x:c>
      <x:c r="C1045" s="51" t="str">
        <x:v>ACT-BANKSUPERVISORS</x:v>
      </x:c>
      <x:c r="D1045" s="51" t="str">
        <x:v>Bank supervisors</x:v>
      </x:c>
      <x:c r="E1045" s="51" t="str">
        <x:v>ACT-COMMERCIALBANKS</x:v>
      </x:c>
      <x:c r="F1045" s="51" t="str">
        <x:v>Commercial banks</x:v>
      </x:c>
      <x:c r="G1045" s="51" t="str">
        <x:v>Supervisor → bank</x:v>
      </x:c>
      <x:c r="H1045" s="51" t="str">
        <x:v>Ongoing</x:v>
      </x:c>
      <x:c r="I1045" s="51" t="str">
        <x:v>Net Stable Funding Ratio</x:v>
      </x:c>
      <x:c r="J1045" s="51" t="str">
        <x:v>INS-362</x:v>
      </x:c>
      <x:c r="K1045" s="51" t="str">
        <x:v>Bank-specific</x:v>
      </x:c>
      <x:c r="L1045" s="51" t="str">
        <x:v>Asset maturity and off-balance-sheet profile</x:v>
      </x:c>
      <x:c r="M1045" s="51" t="str">
        <x:v>Required stable funding</x:v>
      </x:c>
      <x:c r="N1045" s="51" t="str">
        <x:v>The NSFR converts illiquid asset composition into longer-term funding requirements</x:v>
      </x:c>
      <x:c r="O1045" s="51" t="str">
        <x:v>Regulatory; financial; systemic</x:v>
      </x:c>
      <x:c r="P1045" s="51" t="str">
        <x:v>E1</x:v>
      </x:c>
      <x:c r="Q1045" s="51" t="str">
        <x:v>High</x:v>
      </x:c>
      <x:c r="R1045" s="51" t="str">
        <x:v>SRC-756; SRC-757</x:v>
      </x:c>
      <x:c r="S1045" s="51" t="str">
        <x:v>The NSFR promotes a stable funding profile relative to asset composition.</x:v>
      </x:c>
      <x:c r="T1045" s="51" t="str">
        <x:v>Elimination of maturity transformation or market funding.</x:v>
      </x:c>
      <x:c r="U1045" s="51" t="str">
        <x:v>Banks can still face sudden outflows and valuation losses.</x:v>
      </x:c>
      <x:c r="V1045" s="51" t="str">
        <x:v>Active</x:v>
      </x:c>
      <x:c r="W1045" s="51" t="str">
        <x:v>48;57</x:v>
      </x:c>
      <x:c r="X1045" s="51" t="str">
        <x:v>2026-07-27</x:v>
      </x:c>
    </x:row>
    <x:row r="1046">
      <x:c r="A1046" s="51" t="str">
        <x:v>V17FDIC-001</x:v>
      </x:c>
      <x:c r="B1046" s="51" t="str">
        <x:v>Deposit insurance, creditor hierarchy and failed-bank resolution</x:v>
      </x:c>
      <x:c r="C1046" s="51" t="str">
        <x:v>ACT-FDICINSUREDDEPOSITORYINS</x:v>
      </x:c>
      <x:c r="D1046" s="51" t="str">
        <x:v>FDIC-insured depository institutions</x:v>
      </x:c>
      <x:c r="E1046" s="51" t="str">
        <x:v>ACT-DEPOSITINSURANCEFUND</x:v>
      </x:c>
      <x:c r="F1046" s="51" t="str">
        <x:v>Deposit Insurance Fund</x:v>
      </x:c>
      <x:c r="G1046" s="51" t="str">
        <x:v>Insured bank → fund</x:v>
      </x:c>
      <x:c r="H1046" s="51" t="str">
        <x:v>Quarterly</x:v>
      </x:c>
      <x:c r="I1046" s="51" t="str">
        <x:v>Risk-based assessment</x:v>
      </x:c>
      <x:c r="J1046" s="51" t="str">
        <x:v>INS-365</x:v>
      </x:c>
      <x:c r="K1046" s="51" t="str">
        <x:v>Industry-wide</x:v>
      </x:c>
      <x:c r="L1046" s="51" t="str">
        <x:v>Assessment payments</x:v>
      </x:c>
      <x:c r="M1046" s="51" t="str">
        <x:v>Mutual insurance fund resources</x:v>
      </x:c>
      <x:c r="N1046" s="51" t="str">
        <x:v>Private banking institutions collectively fund the deposit-insurance and resolution pool</x:v>
      </x:c>
      <x:c r="O1046" s="51" t="str">
        <x:v>Financial; institutional; mutualisation</x:v>
      </x:c>
      <x:c r="P1046" s="51" t="str">
        <x:v>E1</x:v>
      </x:c>
      <x:c r="Q1046" s="51" t="str">
        <x:v>Very high</x:v>
      </x:c>
      <x:c r="R1046" s="51" t="str">
        <x:v>SRC-748; SRC-793</x:v>
      </x:c>
      <x:c r="S1046" s="51" t="str">
        <x:v>The DIF is funded by assessments on insured institutions and investment income.</x:v>
      </x:c>
      <x:c r="T1046" s="51" t="str">
        <x:v>A direct annual taxpayer appropriation or equal assessment burden.</x:v>
      </x:c>
      <x:c r="U1046" s="51" t="str">
        <x:v>Risk-based rates and systemic assessments vary.</x:v>
      </x:c>
      <x:c r="V1046" s="51" t="str">
        <x:v>Active</x:v>
      </x:c>
      <x:c r="W1046" s="51" t="str">
        <x:v>48;57</x:v>
      </x:c>
      <x:c r="X1046" s="51" t="str">
        <x:v>2026-07-27</x:v>
      </x:c>
    </x:row>
    <x:row r="1047">
      <x:c r="A1047" s="51" t="str">
        <x:v>V17FDIC-002</x:v>
      </x:c>
      <x:c r="B1047" s="51" t="str">
        <x:v>Deposit insurance, creditor hierarchy and failed-bank resolution</x:v>
      </x:c>
      <x:c r="C1047" s="51" t="str">
        <x:v>ACT-DEPOSITINSURANCEFUND</x:v>
      </x:c>
      <x:c r="D1047" s="51" t="str">
        <x:v>Deposit Insurance Fund</x:v>
      </x:c>
      <x:c r="E1047" s="51" t="str">
        <x:v>ACT-INSUREDDEPOSITORS</x:v>
      </x:c>
      <x:c r="F1047" s="51" t="str">
        <x:v>Insured depositors</x:v>
      </x:c>
      <x:c r="G1047" s="51" t="str">
        <x:v>Insurance fund → depositor</x:v>
      </x:c>
      <x:c r="H1047" s="51" t="str">
        <x:v>After insured bank failure</x:v>
      </x:c>
      <x:c r="I1047" s="51" t="str">
        <x:v>Insured-deposit payment or transfer</x:v>
      </x:c>
      <x:c r="J1047" s="51" t="str">
        <x:v>INS-363; INS-364</x:v>
      </x:c>
      <x:c r="K1047" s="51" t="str">
        <x:v>Up to applicable statutory coverage</x:v>
      </x:c>
      <x:c r="L1047" s="51" t="str">
        <x:v>Fund resources and receivership claim</x:v>
      </x:c>
      <x:c r="M1047" s="51" t="str">
        <x:v>Full protected deposit balance</x:v>
      </x:c>
      <x:c r="N1047" s="51" t="str">
        <x:v>Deposit insurance converts an eligible bank liability into a claim backed by the insurance system</x:v>
      </x:c>
      <x:c r="O1047" s="51" t="str">
        <x:v>Financial; legal; social</x:v>
      </x:c>
      <x:c r="P1047" s="51" t="str">
        <x:v>E1</x:v>
      </x:c>
      <x:c r="Q1047" s="51" t="str">
        <x:v>Very high</x:v>
      </x:c>
      <x:c r="R1047" s="51" t="str">
        <x:v>SRC-739; SRC-740; SRC-748; SRC-794</x:v>
      </x:c>
      <x:c r="S1047" s="51" t="str">
        <x:v>FDIC insurance protects eligible deposits up to statutory limits.</x:v>
      </x:c>
      <x:c r="T1047" s="51" t="str">
        <x:v>Protection of bank equity, bonds, mutual funds or all uninsured balances.</x:v>
      </x:c>
      <x:c r="U1047" s="51" t="str">
        <x:v>Ownership category and account structure determine coverage.</x:v>
      </x:c>
      <x:c r="V1047" s="51" t="str">
        <x:v>Active</x:v>
      </x:c>
      <x:c r="W1047" s="51" t="str">
        <x:v>48;57</x:v>
      </x:c>
      <x:c r="X1047" s="51" t="str">
        <x:v>2026-07-27</x:v>
      </x:c>
    </x:row>
    <x:row r="1048">
      <x:c r="A1048" s="51" t="str">
        <x:v>V17FDIC-003</x:v>
      </x:c>
      <x:c r="B1048" s="51" t="str">
        <x:v>Deposit insurance, creditor hierarchy and failed-bank resolution</x:v>
      </x:c>
      <x:c r="C1048" s="51" t="str">
        <x:v>ACT-UNINSUREDDEPOSITORS</x:v>
      </x:c>
      <x:c r="D1048" s="51" t="str">
        <x:v>Uninsured depositors</x:v>
      </x:c>
      <x:c r="E1048" s="51" t="str">
        <x:v>ACT-FAILEDBANKRECEIVERSHIPS</x:v>
      </x:c>
      <x:c r="F1048" s="51" t="str">
        <x:v>Failed bank receiverships</x:v>
      </x:c>
      <x:c r="G1048" s="51" t="str">
        <x:v>Creditor → receivership estate</x:v>
      </x:c>
      <x:c r="H1048" s="51" t="str">
        <x:v>After failure</x:v>
      </x:c>
      <x:c r="I1048" s="51" t="str">
        <x:v>Uninsured deposit claim</x:v>
      </x:c>
      <x:c r="J1048" s="51" t="str">
        <x:v>INS-368</x:v>
      </x:c>
      <x:c r="K1048" s="51" t="str">
        <x:v>Recovery-specific</x:v>
      </x:c>
      <x:c r="L1048" s="51" t="str">
        <x:v>Deposit amount above insurance coverage</x:v>
      </x:c>
      <x:c r="M1048" s="51" t="str">
        <x:v>Receivership claim and dividends</x:v>
      </x:c>
      <x:c r="N1048" s="51" t="str">
        <x:v>Uninsured deposits move from par bank money to a priority claim on recovered assets</x:v>
      </x:c>
      <x:c r="O1048" s="51" t="str">
        <x:v>Financial; legal; systemic</x:v>
      </x:c>
      <x:c r="P1048" s="51" t="str">
        <x:v>E1</x:v>
      </x:c>
      <x:c r="Q1048" s="51" t="str">
        <x:v>Very high</x:v>
      </x:c>
      <x:c r="R1048" s="51" t="str">
        <x:v>SRC-746; SRC-794</x:v>
      </x:c>
      <x:c r="S1048" s="51" t="str">
        <x:v>Uninsured depositors rank ahead of general unsecured creditors under FDIC receivership priority.</x:v>
      </x:c>
      <x:c r="T1048" s="51" t="str">
        <x:v>Immediate full recovery or equivalence to insured deposits.</x:v>
      </x:c>
      <x:c r="U1048" s="51" t="str">
        <x:v>Recovery depends on asset realisations and resolution structure.</x:v>
      </x:c>
      <x:c r="V1048" s="51" t="str">
        <x:v>Active contingency</x:v>
      </x:c>
      <x:c r="W1048" s="51" t="str">
        <x:v>48;57</x:v>
      </x:c>
      <x:c r="X1048" s="51" t="str">
        <x:v>2026-07-27</x:v>
      </x:c>
    </x:row>
    <x:row r="1049">
      <x:c r="A1049" s="51" t="str">
        <x:v>V17FDIC-004</x:v>
      </x:c>
      <x:c r="B1049" s="51" t="str">
        <x:v>Deposit insurance, creditor hierarchy and failed-bank resolution</x:v>
      </x:c>
      <x:c r="C1049" s="51" t="str">
        <x:v>ACT-BANKSHAREHOLDERS</x:v>
      </x:c>
      <x:c r="D1049" s="51" t="str">
        <x:v>Bank shareholders</x:v>
      </x:c>
      <x:c r="E1049" s="51" t="str">
        <x:v>ACT-FAILEDBANKRECEIVERSHIPS</x:v>
      </x:c>
      <x:c r="F1049" s="51" t="str">
        <x:v>Failed bank receiverships</x:v>
      </x:c>
      <x:c r="G1049" s="51" t="str">
        <x:v>Residual owner → estate</x:v>
      </x:c>
      <x:c r="H1049" s="51" t="str">
        <x:v>After failure</x:v>
      </x:c>
      <x:c r="I1049" s="51" t="str">
        <x:v>Equity loss</x:v>
      </x:c>
      <x:c r="J1049" s="51" t="str">
        <x:v>INS-368</x:v>
      </x:c>
      <x:c r="K1049" s="51" t="str">
        <x:v>Residual</x:v>
      </x:c>
      <x:c r="L1049" s="51" t="str">
        <x:v>Bank equity</x:v>
      </x:c>
      <x:c r="M1049" s="51" t="str">
        <x:v>Subordinated recovery or cancellation</x:v>
      </x:c>
      <x:c r="N1049" s="51" t="str">
        <x:v>Shareholder capital absorbs losses before protected depositors receive support</x:v>
      </x:c>
      <x:c r="O1049" s="51" t="str">
        <x:v>Financial; ownership; legal</x:v>
      </x:c>
      <x:c r="P1049" s="51" t="str">
        <x:v>E1</x:v>
      </x:c>
      <x:c r="Q1049" s="51" t="str">
        <x:v>High</x:v>
      </x:c>
      <x:c r="R1049" s="51" t="str">
        <x:v>SRC-746; SRC-794</x:v>
      </x:c>
      <x:c r="S1049" s="51" t="str">
        <x:v>Shareholders rank after depositors and general creditors in receivership.</x:v>
      </x:c>
      <x:c r="T1049" s="51" t="str">
        <x:v>Guaranteed zero recovery in every failure.</x:v>
      </x:c>
      <x:c r="U1049" s="51" t="str">
        <x:v>Residual value depends on assets and liabilities.</x:v>
      </x:c>
      <x:c r="V1049" s="51" t="str">
        <x:v>Active contingency</x:v>
      </x:c>
      <x:c r="W1049" s="51" t="str">
        <x:v>48;57</x:v>
      </x:c>
      <x:c r="X1049" s="51" t="str">
        <x:v>2026-07-27</x:v>
      </x:c>
    </x:row>
    <x:row r="1050">
      <x:c r="A1050" s="51" t="str">
        <x:v>V17FDIC-005</x:v>
      </x:c>
      <x:c r="B1050" s="51" t="str">
        <x:v>Deposit insurance, creditor hierarchy and failed-bank resolution</x:v>
      </x:c>
      <x:c r="C1050" s="51" t="str">
        <x:v>ACT-BANKUNSECUREDCREDITORS</x:v>
      </x:c>
      <x:c r="D1050" s="51" t="str">
        <x:v>Bank unsecured creditors</x:v>
      </x:c>
      <x:c r="E1050" s="51" t="str">
        <x:v>ACT-FAILEDBANKRECEIVERSHIPS</x:v>
      </x:c>
      <x:c r="F1050" s="51" t="str">
        <x:v>Failed bank receiverships</x:v>
      </x:c>
      <x:c r="G1050" s="51" t="str">
        <x:v>Creditor → estate</x:v>
      </x:c>
      <x:c r="H1050" s="51" t="str">
        <x:v>After failure</x:v>
      </x:c>
      <x:c r="I1050" s="51" t="str">
        <x:v>General unsecured claim</x:v>
      </x:c>
      <x:c r="J1050" s="51" t="str">
        <x:v>INS-368</x:v>
      </x:c>
      <x:c r="K1050" s="51" t="str">
        <x:v>Recovery-specific</x:v>
      </x:c>
      <x:c r="L1050" s="51" t="str">
        <x:v>Unsecured debt claim</x:v>
      </x:c>
      <x:c r="M1050" s="51" t="str">
        <x:v>Receivership dividend after higher-priority claims</x:v>
      </x:c>
      <x:c r="N1050" s="51" t="str">
        <x:v>Resolution hierarchy allocates losses beyond insured depositors to other creditors</x:v>
      </x:c>
      <x:c r="O1050" s="51" t="str">
        <x:v>Financial; legal; ownership</x:v>
      </x:c>
      <x:c r="P1050" s="51" t="str">
        <x:v>E1</x:v>
      </x:c>
      <x:c r="Q1050" s="51" t="str">
        <x:v>High</x:v>
      </x:c>
      <x:c r="R1050" s="51" t="str">
        <x:v>SRC-746; SRC-794</x:v>
      </x:c>
      <x:c r="S1050" s="51" t="str">
        <x:v>General unsecured creditors rank below deposit liabilities.</x:v>
      </x:c>
      <x:c r="T1050" s="51" t="str">
        <x:v>Equal treatment with insured deposits or immediate recovery.</x:v>
      </x:c>
      <x:c r="U1050" s="51" t="str">
        <x:v>Contract type and statutory priority matter.</x:v>
      </x:c>
      <x:c r="V1050" s="51" t="str">
        <x:v>Active contingency</x:v>
      </x:c>
      <x:c r="W1050" s="51" t="str">
        <x:v>48;57</x:v>
      </x:c>
      <x:c r="X1050" s="51" t="str">
        <x:v>2026-07-27</x:v>
      </x:c>
    </x:row>
    <x:row r="1051">
      <x:c r="A1051" s="51" t="str">
        <x:v>V17FDIC-006</x:v>
      </x:c>
      <x:c r="B1051" s="51" t="str">
        <x:v>Deposit insurance, creditor hierarchy and failed-bank resolution</x:v>
      </x:c>
      <x:c r="C1051" s="51" t="str">
        <x:v>ACT-FEDERALDEPOSITINSURANCEC</x:v>
      </x:c>
      <x:c r="D1051" s="51" t="str">
        <x:v>Federal Deposit Insurance Corporation</x:v>
      </x:c>
      <x:c r="E1051" s="51" t="str">
        <x:v>ACT-FAILEDBANKRECEIVERSHIPS</x:v>
      </x:c>
      <x:c r="F1051" s="51" t="str">
        <x:v>Failed bank receiverships</x:v>
      </x:c>
      <x:c r="G1051" s="51" t="str">
        <x:v>Receiver → estate</x:v>
      </x:c>
      <x:c r="H1051" s="51" t="str">
        <x:v>Failure-specific</x:v>
      </x:c>
      <x:c r="I1051" s="51" t="str">
        <x:v>Receivership appointment and administration</x:v>
      </x:c>
      <x:c r="J1051" s="51" t="str">
        <x:v>INS-366; INS-368</x:v>
      </x:c>
      <x:c r="K1051" s="51" t="str">
        <x:v>Two bank failures in 2025 and two listed in 2026 as of verification</x:v>
      </x:c>
      <x:c r="L1051" s="51" t="str">
        <x:v>Legal receivership authority</x:v>
      </x:c>
      <x:c r="M1051" s="51" t="str">
        <x:v>Asset liquidation, claims and distributions</x:v>
      </x:c>
      <x:c r="N1051" s="51" t="str">
        <x:v>The FDIC converts a closed insured bank into a statutory receivership estate</x:v>
      </x:c>
      <x:c r="O1051" s="51" t="str">
        <x:v>Legal; institutional; financial</x:v>
      </x:c>
      <x:c r="P1051" s="51" t="str">
        <x:v>E1</x:v>
      </x:c>
      <x:c r="Q1051" s="51" t="str">
        <x:v>Very high</x:v>
      </x:c>
      <x:c r="R1051" s="51" t="str">
        <x:v>SRC-741; SRC-742; SRC-743; SRC-744</x:v>
      </x:c>
      <x:c r="S1051" s="51" t="str">
        <x:v>The FDIC acts as receiver for failed insured depository institutions.</x:v>
      </x:c>
      <x:c r="T1051" s="51" t="str">
        <x:v>Ownership of the bank before failure or protection of every creditor.</x:v>
      </x:c>
      <x:c r="U1051" s="51" t="str">
        <x:v>Resolution method depends on bids, assets and statutory tests.</x:v>
      </x:c>
      <x:c r="V1051" s="51" t="str">
        <x:v>Active</x:v>
      </x:c>
      <x:c r="W1051" s="51" t="str">
        <x:v>48;57</x:v>
      </x:c>
      <x:c r="X1051" s="51" t="str">
        <x:v>2026-07-27</x:v>
      </x:c>
    </x:row>
    <x:row r="1052">
      <x:c r="A1052" s="51" t="str">
        <x:v>V17FDIC-007</x:v>
      </x:c>
      <x:c r="B1052" s="51" t="str">
        <x:v>Deposit insurance, creditor hierarchy and failed-bank resolution</x:v>
      </x:c>
      <x:c r="C1052" s="51" t="str">
        <x:v>ACT-FEDERALDEPOSITINSURANCEC</x:v>
      </x:c>
      <x:c r="D1052" s="51" t="str">
        <x:v>Federal Deposit Insurance Corporation</x:v>
      </x:c>
      <x:c r="E1052" s="51" t="str">
        <x:v>ACT-ACQUIRINGBANKS</x:v>
      </x:c>
      <x:c r="F1052" s="51" t="str">
        <x:v>Acquiring banks</x:v>
      </x:c>
      <x:c r="G1052" s="51" t="str">
        <x:v>Receiver → buyer</x:v>
      </x:c>
      <x:c r="H1052" s="51" t="str">
        <x:v>Failure-specific</x:v>
      </x:c>
      <x:c r="I1052" s="51" t="str">
        <x:v>Purchase-and-assumption transaction</x:v>
      </x:c>
      <x:c r="J1052" s="51" t="str">
        <x:v>INS-366; INS-367</x:v>
      </x:c>
      <x:c r="K1052" s="51" t="str">
        <x:v>Bid-specific</x:v>
      </x:c>
      <x:c r="L1052" s="51" t="str">
        <x:v>Deposits, assets and franchise value</x:v>
      </x:c>
      <x:c r="M1052" s="51" t="str">
        <x:v>Transferred banking business</x:v>
      </x:c>
      <x:c r="N1052" s="51" t="str">
        <x:v>A purchase-and-assumption transaction preserves deposit access and transfers assets to a new owner</x:v>
      </x:c>
      <x:c r="O1052" s="51" t="str">
        <x:v>Financial; legal; operational</x:v>
      </x:c>
      <x:c r="P1052" s="51" t="str">
        <x:v>E1</x:v>
      </x:c>
      <x:c r="Q1052" s="51" t="str">
        <x:v>Very high</x:v>
      </x:c>
      <x:c r="R1052" s="51" t="str">
        <x:v>SRC-744; SRC-745</x:v>
      </x:c>
      <x:c r="S1052" s="51" t="str">
        <x:v>FDIC resolution methods include purchase-and-assumption transactions.</x:v>
      </x:c>
      <x:c r="T1052" s="51" t="str">
        <x:v>Transfer of every liability or absence of loss to the DIF.</x:v>
      </x:c>
      <x:c r="U1052" s="51" t="str">
        <x:v>Bid terms define assumed deposits and assets.</x:v>
      </x:c>
      <x:c r="V1052" s="51" t="str">
        <x:v>Active</x:v>
      </x:c>
      <x:c r="W1052" s="51" t="str">
        <x:v>48;57</x:v>
      </x:c>
      <x:c r="X1052" s="51" t="str">
        <x:v>2026-07-27</x:v>
      </x:c>
    </x:row>
    <x:row r="1053">
      <x:c r="A1053" s="51" t="str">
        <x:v>V17FDIC-008</x:v>
      </x:c>
      <x:c r="B1053" s="51" t="str">
        <x:v>Deposit insurance, creditor hierarchy and failed-bank resolution</x:v>
      </x:c>
      <x:c r="C1053" s="51" t="str">
        <x:v>ACT-FEDERALDEPOSITINSURANCEC</x:v>
      </x:c>
      <x:c r="D1053" s="51" t="str">
        <x:v>Federal Deposit Insurance Corporation</x:v>
      </x:c>
      <x:c r="E1053" s="51" t="str">
        <x:v>ACT-BRIDGEBANKS</x:v>
      </x:c>
      <x:c r="F1053" s="51" t="str">
        <x:v>Bridge banks</x:v>
      </x:c>
      <x:c r="G1053" s="51" t="str">
        <x:v>Receiver → temporary bank</x:v>
      </x:c>
      <x:c r="H1053" s="51" t="str">
        <x:v>Failure-specific</x:v>
      </x:c>
      <x:c r="I1053" s="51" t="str">
        <x:v>Bridge-bank charter and transfer</x:v>
      </x:c>
      <x:c r="J1053" s="51" t="str">
        <x:v>INS-367</x:v>
      </x:c>
      <x:c r="K1053" s="51" t="str">
        <x:v>Failure-specific</x:v>
      </x:c>
      <x:c r="L1053" s="51" t="str">
        <x:v>Selected deposits, assets and operations</x:v>
      </x:c>
      <x:c r="M1053" s="51" t="str">
        <x:v>Temporary operating institution</x:v>
      </x:c>
      <x:c r="N1053" s="51" t="str">
        <x:v>A bridge bank separates service continuity from final ownership</x:v>
      </x:c>
      <x:c r="O1053" s="51" t="str">
        <x:v>Institutional; legal; operational</x:v>
      </x:c>
      <x:c r="P1053" s="51" t="str">
        <x:v>E1</x:v>
      </x:c>
      <x:c r="Q1053" s="51" t="str">
        <x:v>Very high</x:v>
      </x:c>
      <x:c r="R1053" s="51" t="str">
        <x:v>SRC-744; SRC-753; SRC-794</x:v>
      </x:c>
      <x:c r="S1053" s="51" t="str">
        <x:v>Bridge banks are temporary resolution tools for preserving operations.</x:v>
      </x:c>
      <x:c r="T1053" s="51" t="str">
        <x:v>Permanent public ownership or guaranteed sale price.</x:v>
      </x:c>
      <x:c r="U1053" s="51" t="str">
        <x:v>The FDIC later sells, transfers or winds down the bridge.</x:v>
      </x:c>
      <x:c r="V1053" s="51" t="str">
        <x:v>Active contingency</x:v>
      </x:c>
      <x:c r="W1053" s="51" t="str">
        <x:v>48;57</x:v>
      </x:c>
      <x:c r="X1053" s="51" t="str">
        <x:v>2026-07-27</x:v>
      </x:c>
    </x:row>
    <x:row r="1054">
      <x:c r="A1054" s="51" t="str">
        <x:v>V17FDIC-009</x:v>
      </x:c>
      <x:c r="B1054" s="51" t="str">
        <x:v>Deposit insurance, creditor hierarchy and failed-bank resolution</x:v>
      </x:c>
      <x:c r="C1054" s="51" t="str">
        <x:v>ACT-TRAVISHILL</x:v>
      </x:c>
      <x:c r="D1054" s="51" t="str">
        <x:v>Travis Hill</x:v>
      </x:c>
      <x:c r="E1054" s="51" t="str">
        <x:v>ACT-FEDERALDEPOSITINSURANCEC</x:v>
      </x:c>
      <x:c r="F1054" s="51" t="str">
        <x:v>Federal Deposit Insurance Corporation</x:v>
      </x:c>
      <x:c r="G1054" s="51" t="str">
        <x:v>Chairman → agency</x:v>
      </x:c>
      <x:c r="H1054" s="51" t="str">
        <x:v>Current 2026</x:v>
      </x:c>
      <x:c r="I1054" s="51" t="str">
        <x:v>Board leadership</x:v>
      </x:c>
      <x:c r="J1054" s="51" t="str">
        <x:v>INS-364; INS-366; INS-369</x:v>
      </x:c>
      <x:c r="K1054" s="51" t="str">
        <x:v>Five-year term began January 2, 2026</x:v>
      </x:c>
      <x:c r="L1054" s="51" t="str">
        <x:v>Presidential appointment and statutory office</x:v>
      </x:c>
      <x:c r="M1054" s="51" t="str">
        <x:v>Agency agenda, board leadership and administration</x:v>
      </x:c>
      <x:c r="N1054" s="51" t="str">
        <x:v>Chairman authority shapes FDIC policy while receivership and insurance functions remain statutory</x:v>
      </x:c>
      <x:c r="O1054" s="51" t="str">
        <x:v>Institutional; relational; legal</x:v>
      </x:c>
      <x:c r="P1054" s="51" t="str">
        <x:v>E1</x:v>
      </x:c>
      <x:c r="Q1054" s="51" t="str">
        <x:v>Very high</x:v>
      </x:c>
      <x:c r="R1054" s="51" t="str">
        <x:v>SRC-747</x:v>
      </x:c>
      <x:c r="S1054" s="51" t="str">
        <x:v>Travis Hill is the 23rd FDIC Chairman.</x:v>
      </x:c>
      <x:c r="T1054" s="51" t="str">
        <x:v>Unilateral authority over every bank closure or payout.</x:v>
      </x:c>
      <x:c r="U1054" s="51" t="str">
        <x:v>The FDIC Board and other chartering authorities have separate roles.</x:v>
      </x:c>
      <x:c r="V1054" s="51" t="str">
        <x:v>Active</x:v>
      </x:c>
      <x:c r="W1054" s="51" t="str">
        <x:v>48;57</x:v>
      </x:c>
      <x:c r="X1054" s="51" t="str">
        <x:v>2026-07-27</x:v>
      </x:c>
    </x:row>
    <x:row r="1055">
      <x:c r="A1055" s="51" t="str">
        <x:v>V17FDIC-010</x:v>
      </x:c>
      <x:c r="B1055" s="51" t="str">
        <x:v>Deposit insurance, creditor hierarchy and failed-bank resolution</x:v>
      </x:c>
      <x:c r="C1055" s="51" t="str">
        <x:v>ACT-FEDERALDEPOSITINSURANCEC</x:v>
      </x:c>
      <x:c r="D1055" s="51" t="str">
        <x:v>Federal Deposit Insurance Corporation</x:v>
      </x:c>
      <x:c r="E1055" s="51" t="str">
        <x:v>ACT-DEPOSITINSURANCEFUND</x:v>
      </x:c>
      <x:c r="F1055" s="51" t="str">
        <x:v>Deposit Insurance Fund</x:v>
      </x:c>
      <x:c r="G1055" s="51" t="str">
        <x:v>Agency → insurance fund</x:v>
      </x:c>
      <x:c r="H1055" s="51" t="str">
        <x:v>Ongoing</x:v>
      </x:c>
      <x:c r="I1055" s="51" t="str">
        <x:v>Fund management and designated reserve ratio</x:v>
      </x:c>
      <x:c r="J1055" s="51" t="str">
        <x:v>INS-364</x:v>
      </x:c>
      <x:c r="K1055" s="51" t="str">
        <x:v>$157.4 billion and 1.43% reserve ratio at Q1 2026</x:v>
      </x:c>
      <x:c r="L1055" s="51" t="str">
        <x:v>Assessments, investment income and loss estimates</x:v>
      </x:c>
      <x:c r="M1055" s="51" t="str">
        <x:v>Fund balance and reserve ratio</x:v>
      </x:c>
      <x:c r="N1055" s="51" t="str">
        <x:v>The FDIC manages a collective reserve against insured-deposit and resolution obligations</x:v>
      </x:c>
      <x:c r="O1055" s="51" t="str">
        <x:v>Financial; institutional; informational</x:v>
      </x:c>
      <x:c r="P1055" s="51" t="str">
        <x:v>E1</x:v>
      </x:c>
      <x:c r="Q1055" s="51" t="str">
        <x:v>Very high</x:v>
      </x:c>
      <x:c r="R1055" s="51" t="str">
        <x:v>SRC-740; SRC-748; SRC-793</x:v>
      </x:c>
      <x:c r="S1055" s="51" t="str">
        <x:v>The FDIC reports the DIF balance and reserve ratio.</x:v>
      </x:c>
      <x:c r="T1055" s="51" t="str">
        <x:v>Cash sufficient to pay every insured deposit simultaneously without borrowing or asset recovery.</x:v>
      </x:c>
      <x:c r="U1055" s="51" t="str">
        <x:v>The reserve ratio is fund balance relative to insured deposits, not total deposits.</x:v>
      </x:c>
      <x:c r="V1055" s="51" t="str">
        <x:v>Active</x:v>
      </x:c>
      <x:c r="W1055" s="51" t="str">
        <x:v>48;57</x:v>
      </x:c>
      <x:c r="X1055" s="51" t="str">
        <x:v>2026-07-27</x:v>
      </x:c>
    </x:row>
    <x:row r="1056">
      <x:c r="A1056" s="51" t="str">
        <x:v>V17FED-001</x:v>
      </x:c>
      <x:c r="B1056" s="51" t="str">
        <x:v>Central-bank liquidity, collateral transformation and rate backstops</x:v>
      </x:c>
      <x:c r="C1056" s="51" t="str">
        <x:v>ACT-FEDERALRESERVEBANKS</x:v>
      </x:c>
      <x:c r="D1056" s="51" t="str">
        <x:v>Federal Reserve Banks</x:v>
      </x:c>
      <x:c r="E1056" s="51" t="str">
        <x:v>ACT-FDICINSUREDDEPOSITORYINS</x:v>
      </x:c>
      <x:c r="F1056" s="51" t="str">
        <x:v>FDIC-insured depository institutions</x:v>
      </x:c>
      <x:c r="G1056" s="51" t="str">
        <x:v>Central bank → bank</x:v>
      </x:c>
      <x:c r="H1056" s="51" t="str">
        <x:v>Current 2026</x:v>
      </x:c>
      <x:c r="I1056" s="51" t="str">
        <x:v>Discount-window lending</x:v>
      </x:c>
      <x:c r="J1056" s="51" t="str">
        <x:v>INS-372</x:v>
      </x:c>
      <x:c r="K1056" s="51" t="str">
        <x:v>Loan-specific</x:v>
      </x:c>
      <x:c r="L1056" s="51" t="str">
        <x:v>Eligible collateral and borrower status</x:v>
      </x:c>
      <x:c r="M1056" s="51" t="str">
        <x:v>Reserve liquidity</x:v>
      </x:c>
      <x:c r="N1056" s="51" t="str">
        <x:v>The discount window converts bank assets into central-bank liquidity without selling them</x:v>
      </x:c>
      <x:c r="O1056" s="51" t="str">
        <x:v>Monetary; financial; operational</x:v>
      </x:c>
      <x:c r="P1056" s="51" t="str">
        <x:v>E1</x:v>
      </x:c>
      <x:c r="Q1056" s="51" t="str">
        <x:v>Very high</x:v>
      </x:c>
      <x:c r="R1056" s="51" t="str">
        <x:v>SRC-759; SRC-763; SRC-792</x:v>
      </x:c>
      <x:c r="S1056" s="51" t="str">
        <x:v>Eligible depository institutions can borrow against a broad range of collateral.</x:v>
      </x:c>
      <x:c r="T1056" s="51" t="str">
        <x:v>Capital support for an insolvent bank or guaranteed borrowing access.</x:v>
      </x:c>
      <x:c r="U1056" s="51" t="str">
        <x:v>Eligibility, collateral value and supervision constrain lending.</x:v>
      </x:c>
      <x:c r="V1056" s="51" t="str">
        <x:v>Active</x:v>
      </x:c>
      <x:c r="W1056" s="51" t="str">
        <x:v>48;57</x:v>
      </x:c>
      <x:c r="X1056" s="51" t="str">
        <x:v>2026-07-27</x:v>
      </x:c>
    </x:row>
    <x:row r="1057">
      <x:c r="A1057" s="51" t="str">
        <x:v>V17FED-002</x:v>
      </x:c>
      <x:c r="B1057" s="51" t="str">
        <x:v>Central-bank liquidity, collateral transformation and rate backstops</x:v>
      </x:c>
      <x:c r="C1057" s="51" t="str">
        <x:v>ACT-FDICINSUREDDEPOSITORYINS</x:v>
      </x:c>
      <x:c r="D1057" s="51" t="str">
        <x:v>FDIC-insured depository institutions</x:v>
      </x:c>
      <x:c r="E1057" s="51" t="str">
        <x:v>ACT-DISCOUNTWINDOW</x:v>
      </x:c>
      <x:c r="F1057" s="51" t="str">
        <x:v>Discount Window</x:v>
      </x:c>
      <x:c r="G1057" s="51" t="str">
        <x:v>Bank → facility</x:v>
      </x:c>
      <x:c r="H1057" s="51" t="str">
        <x:v>Liquidity stress or contingency</x:v>
      </x:c>
      <x:c r="I1057" s="51" t="str">
        <x:v>Collateral pledge and borrowing request</x:v>
      </x:c>
      <x:c r="J1057" s="51" t="str">
        <x:v>INS-372</x:v>
      </x:c>
      <x:c r="K1057" s="51" t="str">
        <x:v>Primary credit up to 90 days</x:v>
      </x:c>
      <x:c r="L1057" s="51" t="str">
        <x:v>Loans, securities and other eligible assets</x:v>
      </x:c>
      <x:c r="M1057" s="51" t="str">
        <x:v>Cash reserves and time to adjust funding</x:v>
      </x:c>
      <x:c r="N1057" s="51" t="str">
        <x:v>Collateralised central-bank credit separates liquidity need from immediate asset sale</x:v>
      </x:c>
      <x:c r="O1057" s="51" t="str">
        <x:v>Financial; monetary; operational</x:v>
      </x:c>
      <x:c r="P1057" s="51" t="str">
        <x:v>E1</x:v>
      </x:c>
      <x:c r="Q1057" s="51" t="str">
        <x:v>Very high</x:v>
      </x:c>
      <x:c r="R1057" s="51" t="str">
        <x:v>SRC-759; SRC-763</x:v>
      </x:c>
      <x:c r="S1057" s="51" t="str">
        <x:v>Primary, secondary and seasonal credit are collateralised facilities.</x:v>
      </x:c>
      <x:c r="T1057" s="51" t="str">
        <x:v>Validation that the bank is solvent in all circumstances.</x:v>
      </x:c>
      <x:c r="U1057" s="51" t="str">
        <x:v>Primary-credit eligibility and supervisory judgment matter.</x:v>
      </x:c>
      <x:c r="V1057" s="51" t="str">
        <x:v>Active</x:v>
      </x:c>
      <x:c r="W1057" s="51" t="str">
        <x:v>48;57</x:v>
      </x:c>
      <x:c r="X1057" s="51" t="str">
        <x:v>2026-07-27</x:v>
      </x:c>
    </x:row>
    <x:row r="1058">
      <x:c r="A1058" s="51" t="str">
        <x:v>V17FED-003</x:v>
      </x:c>
      <x:c r="B1058" s="51" t="str">
        <x:v>Central-bank liquidity, collateral transformation and rate backstops</x:v>
      </x:c>
      <x:c r="C1058" s="51" t="str">
        <x:v>ACT-FEDERALRESERVESYSTEM</x:v>
      </x:c>
      <x:c r="D1058" s="51" t="str">
        <x:v>Federal Reserve System</x:v>
      </x:c>
      <x:c r="E1058" s="51" t="str">
        <x:v>ACT-STANDINGREPOFACILITY</x:v>
      </x:c>
      <x:c r="F1058" s="51" t="str">
        <x:v>Standing Repo Facility</x:v>
      </x:c>
      <x:c r="G1058" s="51" t="str">
        <x:v>Central bank → standing facility</x:v>
      </x:c>
      <x:c r="H1058" s="51" t="str">
        <x:v>Since 2021</x:v>
      </x:c>
      <x:c r="I1058" s="51" t="str">
        <x:v>Facility operation and pricing</x:v>
      </x:c>
      <x:c r="J1058" s="51" t="str">
        <x:v>INS-373</x:v>
      </x:c>
      <x:c r="K1058" s="51" t="str">
        <x:v>Operation-specific</x:v>
      </x:c>
      <x:c r="L1058" s="51" t="str">
        <x:v>Treasury and agency collateral framework</x:v>
      </x:c>
      <x:c r="M1058" s="51" t="str">
        <x:v>Standing reserve-liquidity backstop</x:v>
      </x:c>
      <x:c r="N1058" s="51" t="str">
        <x:v>The central bank establishes a secured funding option intended to cap extreme repo-rate pressure</x:v>
      </x:c>
      <x:c r="O1058" s="51" t="str">
        <x:v>Monetary; financial; systemic</x:v>
      </x:c>
      <x:c r="P1058" s="51" t="str">
        <x:v>E1</x:v>
      </x:c>
      <x:c r="Q1058" s="51" t="str">
        <x:v>Very high</x:v>
      </x:c>
      <x:c r="R1058" s="51" t="str">
        <x:v>SRC-758; SRC-761; SRC-762</x:v>
      </x:c>
      <x:c r="S1058" s="51" t="str">
        <x:v>The Federal Reserve conducts standing repo operations against eligible securities.</x:v>
      </x:c>
      <x:c r="T1058" s="51" t="str">
        <x:v>Daily market funding for all institutions or elimination of repo volatility.</x:v>
      </x:c>
      <x:c r="U1058" s="51" t="str">
        <x:v>Counterparty eligibility and facility pricing limit use.</x:v>
      </x:c>
      <x:c r="V1058" s="51" t="str">
        <x:v>Active</x:v>
      </x:c>
      <x:c r="W1058" s="51" t="str">
        <x:v>48;57</x:v>
      </x:c>
      <x:c r="X1058" s="51" t="str">
        <x:v>2026-07-27</x:v>
      </x:c>
    </x:row>
    <x:row r="1059">
      <x:c r="A1059" s="51" t="str">
        <x:v>V17FED-004</x:v>
      </x:c>
      <x:c r="B1059" s="51" t="str">
        <x:v>Central-bank liquidity, collateral transformation and rate backstops</x:v>
      </x:c>
      <x:c r="C1059" s="51" t="str">
        <x:v>ACT-STANDINGREPOFACILITY</x:v>
      </x:c>
      <x:c r="D1059" s="51" t="str">
        <x:v>Standing Repo Facility</x:v>
      </x:c>
      <x:c r="E1059" s="51" t="str">
        <x:v>ACT-PRIMARYDEALERSANDSTANDIN</x:v>
      </x:c>
      <x:c r="F1059" s="51" t="str">
        <x:v>Primary dealers and standing repo counterparties</x:v>
      </x:c>
      <x:c r="G1059" s="51" t="str">
        <x:v>Facility → counterparties</x:v>
      </x:c>
      <x:c r="H1059" s="51" t="str">
        <x:v>Operation day</x:v>
      </x:c>
      <x:c r="I1059" s="51" t="str">
        <x:v>Repo cash against eligible securities</x:v>
      </x:c>
      <x:c r="J1059" s="51" t="str">
        <x:v>INS-373</x:v>
      </x:c>
      <x:c r="K1059" s="51" t="str">
        <x:v>Limited uptake reported in first half of 2026</x:v>
      </x:c>
      <x:c r="L1059" s="51" t="str">
        <x:v>Treasury or agency securities</x:v>
      </x:c>
      <x:c r="M1059" s="51" t="str">
        <x:v>Reserve liquidity</x:v>
      </x:c>
      <x:c r="N1059" s="51" t="str">
        <x:v>The SRF transforms high-quality securities into overnight central-bank cash</x:v>
      </x:c>
      <x:c r="O1059" s="51" t="str">
        <x:v>Monetary; financial; operational</x:v>
      </x:c>
      <x:c r="P1059" s="51" t="str">
        <x:v>E1</x:v>
      </x:c>
      <x:c r="Q1059" s="51" t="str">
        <x:v>Very high</x:v>
      </x:c>
      <x:c r="R1059" s="51" t="str">
        <x:v>SRC-761; SRC-762</x:v>
      </x:c>
      <x:c r="S1059" s="51" t="str">
        <x:v>The July 2026 Monetary Policy Report described limited SRF usage.</x:v>
      </x:c>
      <x:c r="T1059" s="51" t="str">
        <x:v>No market need or permanent zero usage.</x:v>
      </x:c>
      <x:c r="U1059" s="51" t="str">
        <x:v>Usage depends on rates, stigma, balance-sheet costs and reserves.</x:v>
      </x:c>
      <x:c r="V1059" s="51" t="str">
        <x:v>Active</x:v>
      </x:c>
      <x:c r="W1059" s="51" t="str">
        <x:v>48;57</x:v>
      </x:c>
      <x:c r="X1059" s="51" t="str">
        <x:v>2026-07-27</x:v>
      </x:c>
    </x:row>
    <x:row r="1060">
      <x:c r="A1060" s="51" t="str">
        <x:v>V17FED-005</x:v>
      </x:c>
      <x:c r="B1060" s="51" t="str">
        <x:v>Central-bank liquidity, collateral transformation and rate backstops</x:v>
      </x:c>
      <x:c r="C1060" s="51" t="str">
        <x:v>ACT-MONEYMARKETFUNDS</x:v>
      </x:c>
      <x:c r="D1060" s="51" t="str">
        <x:v>Money market funds</x:v>
      </x:c>
      <x:c r="E1060" s="51" t="str">
        <x:v>ACT-OVERNIGHTREVERSEREPURCHA</x:v>
      </x:c>
      <x:c r="F1060" s="51" t="str">
        <x:v>Overnight Reverse Repurchase Agreement Facility</x:v>
      </x:c>
      <x:c r="G1060" s="51" t="str">
        <x:v>Eligible fund → central bank</x:v>
      </x:c>
      <x:c r="H1060" s="51" t="str">
        <x:v>Overnight</x:v>
      </x:c>
      <x:c r="I1060" s="51" t="str">
        <x:v>Cash investment</x:v>
      </x:c>
      <x:c r="J1060" s="51" t="str">
        <x:v>INS-374</x:v>
      </x:c>
      <x:c r="K1060" s="51" t="str">
        <x:v>Facility-specific</x:v>
      </x:c>
      <x:c r="L1060" s="51" t="str">
        <x:v>Fund cash</x:v>
      </x:c>
      <x:c r="M1060" s="51" t="str">
        <x:v>Overnight Federal Reserve liability secured by Treasuries</x:v>
      </x:c>
      <x:c r="N1060" s="51" t="str">
        <x:v>The ON RRP facility provides eligible funds with a direct overnight public counterparty</x:v>
      </x:c>
      <x:c r="O1060" s="51" t="str">
        <x:v>Monetary; financial; institutional</x:v>
      </x:c>
      <x:c r="P1060" s="51" t="str">
        <x:v>E1</x:v>
      </x:c>
      <x:c r="Q1060" s="51" t="str">
        <x:v>High</x:v>
      </x:c>
      <x:c r="R1060" s="51" t="str">
        <x:v>SRC-758; SRC-782; SRC-783</x:v>
      </x:c>
      <x:c r="S1060" s="51" t="str">
        <x:v>Eligible money funds can place cash at the ON RRP facility.</x:v>
      </x:c>
      <x:c r="T1060" s="51" t="str">
        <x:v>FDIC insurance or an ordinary bank deposit.</x:v>
      </x:c>
      <x:c r="U1060" s="51" t="str">
        <x:v>Eligibility and rate policy determine allocation.</x:v>
      </x:c>
      <x:c r="V1060" s="51" t="str">
        <x:v>Active</x:v>
      </x:c>
      <x:c r="W1060" s="51" t="str">
        <x:v>48;57</x:v>
      </x:c>
      <x:c r="X1060" s="51" t="str">
        <x:v>2026-07-27</x:v>
      </x:c>
    </x:row>
    <x:row r="1061">
      <x:c r="A1061" s="51" t="str">
        <x:v>V17FED-006</x:v>
      </x:c>
      <x:c r="B1061" s="51" t="str">
        <x:v>Central-bank liquidity, collateral transformation and rate backstops</x:v>
      </x:c>
      <x:c r="C1061" s="51" t="str">
        <x:v>ACT-FEDERALRESERVESYSTEM</x:v>
      </x:c>
      <x:c r="D1061" s="51" t="str">
        <x:v>Federal Reserve System</x:v>
      </x:c>
      <x:c r="E1061" s="51" t="str">
        <x:v>ACT-FIMAREPOFACILITY</x:v>
      </x:c>
      <x:c r="F1061" s="51" t="str">
        <x:v>FIMA Repo Facility</x:v>
      </x:c>
      <x:c r="G1061" s="51" t="str">
        <x:v>Central bank → foreign-official facility</x:v>
      </x:c>
      <x:c r="H1061" s="51" t="str">
        <x:v>Current 2026</x:v>
      </x:c>
      <x:c r="I1061" s="51" t="str">
        <x:v>Standing foreign repo facility</x:v>
      </x:c>
      <x:c r="J1061" s="51" t="str">
        <x:v>INS-375</x:v>
      </x:c>
      <x:c r="K1061" s="51" t="str">
        <x:v>Facility-specific</x:v>
      </x:c>
      <x:c r="L1061" s="51" t="str">
        <x:v>Treasury collateral rules</x:v>
      </x:c>
      <x:c r="M1061" s="51" t="str">
        <x:v>Dollar liquidity access</x:v>
      </x:c>
      <x:c r="N1061" s="51" t="str">
        <x:v>FIMA repo lets foreign official institutions obtain dollars without selling Treasury holdings</x:v>
      </x:c>
      <x:c r="O1061" s="51" t="str">
        <x:v>Monetary; geopolitical; financial</x:v>
      </x:c>
      <x:c r="P1061" s="51" t="str">
        <x:v>E1</x:v>
      </x:c>
      <x:c r="Q1061" s="51" t="str">
        <x:v>High</x:v>
      </x:c>
      <x:c r="R1061" s="51" t="str">
        <x:v>SRC-758</x:v>
      </x:c>
      <x:c r="S1061" s="51" t="str">
        <x:v>The Federal Reserve maintains a FIMA repo facility.</x:v>
      </x:c>
      <x:c r="T1061" s="51" t="str">
        <x:v>Open access for private foreign entities or exchange-rate insurance.</x:v>
      </x:c>
      <x:c r="U1061" s="51" t="str">
        <x:v>Official eligibility and collateral rules apply.</x:v>
      </x:c>
      <x:c r="V1061" s="51" t="str">
        <x:v>Active</x:v>
      </x:c>
      <x:c r="W1061" s="51" t="str">
        <x:v>48;57</x:v>
      </x:c>
      <x:c r="X1061" s="51" t="str">
        <x:v>2026-07-27</x:v>
      </x:c>
    </x:row>
    <x:row r="1062">
      <x:c r="A1062" s="51" t="str">
        <x:v>V17FED-007</x:v>
      </x:c>
      <x:c r="B1062" s="51" t="str">
        <x:v>Central-bank liquidity, collateral transformation and rate backstops</x:v>
      </x:c>
      <x:c r="C1062" s="51" t="str">
        <x:v>ACT-FOREIGNOFFICIALINSTITUTI</x:v>
      </x:c>
      <x:c r="D1062" s="51" t="str">
        <x:v>Foreign official institutions</x:v>
      </x:c>
      <x:c r="E1062" s="51" t="str">
        <x:v>ACT-FIMAREPOFACILITY</x:v>
      </x:c>
      <x:c r="F1062" s="51" t="str">
        <x:v>FIMA Repo Facility</x:v>
      </x:c>
      <x:c r="G1062" s="51" t="str">
        <x:v>Official holder → facility</x:v>
      </x:c>
      <x:c r="H1062" s="51" t="str">
        <x:v>Liquidity need</x:v>
      </x:c>
      <x:c r="I1062" s="51" t="str">
        <x:v>Treasury collateral pledge</x:v>
      </x:c>
      <x:c r="J1062" s="51" t="str">
        <x:v>INS-375</x:v>
      </x:c>
      <x:c r="K1062" s="51" t="str">
        <x:v>Facility-specific</x:v>
      </x:c>
      <x:c r="L1062" s="51" t="str">
        <x:v>U.S. Treasury securities</x:v>
      </x:c>
      <x:c r="M1062" s="51" t="str">
        <x:v>Temporary dollar liquidity</x:v>
      </x:c>
      <x:c r="N1062" s="51" t="str">
        <x:v>Official reserves become collateral for dollar funding instead of forced market sale</x:v>
      </x:c>
      <x:c r="O1062" s="51" t="str">
        <x:v>Monetary; geopolitical; financial</x:v>
      </x:c>
      <x:c r="P1062" s="51" t="str">
        <x:v>E1</x:v>
      </x:c>
      <x:c r="Q1062" s="51" t="str">
        <x:v>High</x:v>
      </x:c>
      <x:c r="R1062" s="51" t="str">
        <x:v>SRC-758</x:v>
      </x:c>
      <x:c r="S1062" s="51" t="str">
        <x:v>The facility is designed for foreign and international monetary authorities.</x:v>
      </x:c>
      <x:c r="T1062" s="51" t="str">
        <x:v>Transfer of Treasury ownership or permanent financing.</x:v>
      </x:c>
      <x:c r="U1062" s="51" t="str">
        <x:v>Transactions are temporary repos.</x:v>
      </x:c>
      <x:c r="V1062" s="51" t="str">
        <x:v>Active</x:v>
      </x:c>
      <x:c r="W1062" s="51" t="str">
        <x:v>48;57</x:v>
      </x:c>
      <x:c r="X1062" s="51" t="str">
        <x:v>2026-07-27</x:v>
      </x:c>
    </x:row>
    <x:row r="1063">
      <x:c r="A1063" s="51" t="str">
        <x:v>V17FHLB-001</x:v>
      </x:c>
      <x:c r="B1063" s="51" t="str">
        <x:v>Federal Home Loan Bank secured liquidity</x:v>
      </x:c>
      <x:c r="C1063" s="51" t="str">
        <x:v>ACT-FEDERALHOMELOANBANKS</x:v>
      </x:c>
      <x:c r="D1063" s="51" t="str">
        <x:v>Federal Home Loan Banks</x:v>
      </x:c>
      <x:c r="E1063" s="51" t="str">
        <x:v>ACT-FHLBANKMEMBERINSTITUTION</x:v>
      </x:c>
      <x:c r="F1063" s="51" t="str">
        <x:v>FHLBank member institutions</x:v>
      </x:c>
      <x:c r="G1063" s="51" t="str">
        <x:v>System → member</x:v>
      </x:c>
      <x:c r="H1063" s="51" t="str">
        <x:v>Ongoing</x:v>
      </x:c>
      <x:c r="I1063" s="51" t="str">
        <x:v>Secured advance</x:v>
      </x:c>
      <x:c r="J1063" s="51" t="str">
        <x:v>INS-376</x:v>
      </x:c>
      <x:c r="K1063" s="51" t="str">
        <x:v>$676 billion advances outstanding at year-end 2025</x:v>
      </x:c>
      <x:c r="L1063" s="51" t="str">
        <x:v>FHLBank debt funding and member collateral</x:v>
      </x:c>
      <x:c r="M1063" s="51" t="str">
        <x:v>Wholesale bank liquidity</x:v>
      </x:c>
      <x:c r="N1063" s="51" t="str">
        <x:v>The FHLBank System converts eligible collateral into term funding for member institutions</x:v>
      </x:c>
      <x:c r="O1063" s="51" t="str">
        <x:v>Financial; institutional; operational</x:v>
      </x:c>
      <x:c r="P1063" s="51" t="str">
        <x:v>E1</x:v>
      </x:c>
      <x:c r="Q1063" s="51" t="str">
        <x:v>Very high</x:v>
      </x:c>
      <x:c r="R1063" s="51" t="str">
        <x:v>SRC-764; SRC-765</x:v>
      </x:c>
      <x:c r="S1063" s="51" t="str">
        <x:v>The system reported $676 billion in advances and approximately 6,300 members.</x:v>
      </x:c>
      <x:c r="T1063" s="51" t="str">
        <x:v>Equity investment in the member or unconditional emergency support.</x:v>
      </x:c>
      <x:c r="U1063" s="51" t="str">
        <x:v>Advances are secured obligations with membership and collateral requirements.</x:v>
      </x:c>
      <x:c r="V1063" s="51" t="str">
        <x:v>Active</x:v>
      </x:c>
      <x:c r="W1063" s="51" t="str">
        <x:v>48;57</x:v>
      </x:c>
      <x:c r="X1063" s="51" t="str">
        <x:v>2026-07-27</x:v>
      </x:c>
    </x:row>
    <x:row r="1064">
      <x:c r="A1064" s="51" t="str">
        <x:v>V17FHLB-002</x:v>
      </x:c>
      <x:c r="B1064" s="51" t="str">
        <x:v>Federal Home Loan Bank secured liquidity</x:v>
      </x:c>
      <x:c r="C1064" s="51" t="str">
        <x:v>ACT-FHLBANKMEMBERINSTITUTION</x:v>
      </x:c>
      <x:c r="D1064" s="51" t="str">
        <x:v>FHLBank member institutions</x:v>
      </x:c>
      <x:c r="E1064" s="51" t="str">
        <x:v>ACT-FEDERALHOMELOANBANKS</x:v>
      </x:c>
      <x:c r="F1064" s="51" t="str">
        <x:v>Federal Home Loan Banks</x:v>
      </x:c>
      <x:c r="G1064" s="51" t="str">
        <x:v>Member → system</x:v>
      </x:c>
      <x:c r="H1064" s="51" t="str">
        <x:v>Advance term</x:v>
      </x:c>
      <x:c r="I1064" s="51" t="str">
        <x:v>Collateral pledge and repayment obligation</x:v>
      </x:c>
      <x:c r="J1064" s="51" t="str">
        <x:v>INS-376</x:v>
      </x:c>
      <x:c r="K1064" s="51" t="str">
        <x:v>Member-specific</x:v>
      </x:c>
      <x:c r="L1064" s="51" t="str">
        <x:v>Eligible mortgage and other collateral</x:v>
      </x:c>
      <x:c r="M1064" s="51" t="str">
        <x:v>Secured funding claim</x:v>
      </x:c>
      <x:c r="N1064" s="51" t="str">
        <x:v>Members exchange asset encumbrance and interest payments for wholesale liquidity</x:v>
      </x:c>
      <x:c r="O1064" s="51" t="str">
        <x:v>Financial; legal; ownership</x:v>
      </x:c>
      <x:c r="P1064" s="51" t="str">
        <x:v>E1</x:v>
      </x:c>
      <x:c r="Q1064" s="51" t="str">
        <x:v>High</x:v>
      </x:c>
      <x:c r="R1064" s="51" t="str">
        <x:v>SRC-764; SRC-765</x:v>
      </x:c>
      <x:c r="S1064" s="51" t="str">
        <x:v>FHLBank advances are collateralised loans to members.</x:v>
      </x:c>
      <x:c r="T1064" s="51" t="str">
        <x:v>Sale of the underlying assets or deposit insurance.</x:v>
      </x:c>
      <x:c r="U1064" s="51" t="str">
        <x:v>Haircuts and collateral priority affect risk allocation.</x:v>
      </x:c>
      <x:c r="V1064" s="51" t="str">
        <x:v>Active</x:v>
      </x:c>
      <x:c r="W1064" s="51" t="str">
        <x:v>48;57</x:v>
      </x:c>
      <x:c r="X1064" s="51" t="str">
        <x:v>2026-07-27</x:v>
      </x:c>
    </x:row>
    <x:row r="1065">
      <x:c r="A1065" s="51" t="str">
        <x:v>V17FHLB-003</x:v>
      </x:c>
      <x:c r="B1065" s="51" t="str">
        <x:v>Federal Home Loan Bank secured liquidity</x:v>
      </x:c>
      <x:c r="C1065" s="51" t="str">
        <x:v>ACT-FHLBANKADVANCES</x:v>
      </x:c>
      <x:c r="D1065" s="51" t="str">
        <x:v>FHLBank advances</x:v>
      </x:c>
      <x:c r="E1065" s="51" t="str">
        <x:v>ACT-COMMERCIALBANKS</x:v>
      </x:c>
      <x:c r="F1065" s="51" t="str">
        <x:v>Commercial banks</x:v>
      </x:c>
      <x:c r="G1065" s="51" t="str">
        <x:v>Secured funding → bank balance sheet</x:v>
      </x:c>
      <x:c r="H1065" s="51" t="str">
        <x:v>Ongoing</x:v>
      </x:c>
      <x:c r="I1065" s="51" t="str">
        <x:v>Wholesale liability</x:v>
      </x:c>
      <x:c r="J1065" s="51" t="str">
        <x:v>INS-376</x:v>
      </x:c>
      <x:c r="K1065" s="51" t="str">
        <x:v>Bank-specific</x:v>
      </x:c>
      <x:c r="L1065" s="51" t="str">
        <x:v>Pledged assets and FHLBank membership</x:v>
      </x:c>
      <x:c r="M1065" s="51" t="str">
        <x:v>Cash liquidity and funding maturity</x:v>
      </x:c>
      <x:c r="N1065" s="51" t="str">
        <x:v>FHLBank advances can replace deposit outflows or market funding with secured borrowing</x:v>
      </x:c>
      <x:c r="O1065" s="51" t="str">
        <x:v>Financial; operational; systemic</x:v>
      </x:c>
      <x:c r="P1065" s="51" t="str">
        <x:v>S1</x:v>
      </x:c>
      <x:c r="Q1065" s="51" t="str">
        <x:v>High</x:v>
      </x:c>
      <x:c r="R1065" s="51" t="str">
        <x:v>SRC-764; SRC-765</x:v>
      </x:c>
      <x:c r="S1065" s="51" t="str">
        <x:v>Commercial banks are major FHLBank members and use advances for liquidity.</x:v>
      </x:c>
      <x:c r="T1065" s="51" t="str">
        <x:v>Permanent solvency support or absence of subordination effects on other creditors.</x:v>
      </x:c>
      <x:c r="U1065" s="51" t="str">
        <x:v>Encumbrance can alter loss allocation in failure.</x:v>
      </x:c>
      <x:c r="V1065" s="51" t="str">
        <x:v>Active</x:v>
      </x:c>
      <x:c r="W1065" s="51" t="str">
        <x:v>48;57</x:v>
      </x:c>
      <x:c r="X1065" s="51" t="str">
        <x:v>2026-07-27</x:v>
      </x:c>
    </x:row>
    <x:row r="1066">
      <x:c r="A1066" s="51" t="str">
        <x:v>V17FICC-001</x:v>
      </x:c>
      <x:c r="B1066" s="51" t="str">
        <x:v>FICC Treasury clearing and sponsored access</x:v>
      </x:c>
      <x:c r="C1066" s="51" t="str">
        <x:v>ACT-DEPOSITORYTRUSTCLEARINGC</x:v>
      </x:c>
      <x:c r="D1066" s="51" t="str">
        <x:v>Depository Trust &amp; Clearing Corporation</x:v>
      </x:c>
      <x:c r="E1066" s="51" t="str">
        <x:v>ACT-FIXEDINCOMECLEARINGCORPO</x:v>
      </x:c>
      <x:c r="F1066" s="51" t="str">
        <x:v>Fixed Income Clearing Corporation</x:v>
      </x:c>
      <x:c r="G1066" s="51" t="str">
        <x:v>Parent → clearing subsidiary</x:v>
      </x:c>
      <x:c r="H1066" s="51" t="str">
        <x:v>Ongoing</x:v>
      </x:c>
      <x:c r="I1066" s="51" t="str">
        <x:v>Ownership and governance</x:v>
      </x:c>
      <x:c r="J1066" s="51" t="str">
        <x:v>INS-379</x:v>
      </x:c>
      <x:c r="K1066" s="51" t="str">
        <x:v>Wholly owned subsidiary</x:v>
      </x:c>
      <x:c r="L1066" s="51" t="str">
        <x:v>Corporate capital and governance</x:v>
      </x:c>
      <x:c r="M1066" s="51" t="str">
        <x:v>Central clearing infrastructure</x:v>
      </x:c>
      <x:c r="N1066" s="51" t="str">
        <x:v>Holding-company ownership supports a specialised CCP serving government-securities markets</x:v>
      </x:c>
      <x:c r="O1066" s="51" t="str">
        <x:v>Ownership; institutional; operational</x:v>
      </x:c>
      <x:c r="P1066" s="51" t="str">
        <x:v>E1</x:v>
      </x:c>
      <x:c r="Q1066" s="51" t="str">
        <x:v>Very high</x:v>
      </x:c>
      <x:c r="R1066" s="51" t="str">
        <x:v>SRC-777</x:v>
      </x:c>
      <x:c r="S1066" s="51" t="str">
        <x:v>FICC is a wholly owned subsidiary of DTCC.</x:v>
      </x:c>
      <x:c r="T1066" s="51" t="str">
        <x:v>Government ownership or guarantee of FICC obligations.</x:v>
      </x:c>
      <x:c r="U1066" s="51" t="str">
        <x:v>FICC remains a regulated private clearing corporation.</x:v>
      </x:c>
      <x:c r="V1066" s="51" t="str">
        <x:v>Active</x:v>
      </x:c>
      <x:c r="W1066" s="51" t="str">
        <x:v>48;57</x:v>
      </x:c>
      <x:c r="X1066" s="51" t="str">
        <x:v>2026-07-27</x:v>
      </x:c>
    </x:row>
    <x:row r="1067">
      <x:c r="A1067" s="51" t="str">
        <x:v>V17FICC-002</x:v>
      </x:c>
      <x:c r="B1067" s="51" t="str">
        <x:v>FICC Treasury clearing and sponsored access</x:v>
      </x:c>
      <x:c r="C1067" s="51" t="str">
        <x:v>ACT-TREASURYMARKETPARTICIPAN</x:v>
      </x:c>
      <x:c r="D1067" s="51" t="str">
        <x:v>Treasury market participants</x:v>
      </x:c>
      <x:c r="E1067" s="51" t="str">
        <x:v>ACT-FIXEDINCOMECLEARINGCORPO</x:v>
      </x:c>
      <x:c r="F1067" s="51" t="str">
        <x:v>Fixed Income Clearing Corporation</x:v>
      </x:c>
      <x:c r="G1067" s="51" t="str">
        <x:v>Participant → CCP</x:v>
      </x:c>
      <x:c r="H1067" s="51" t="str">
        <x:v>Trade submission</x:v>
      </x:c>
      <x:c r="I1067" s="51" t="str">
        <x:v>Central clearing</x:v>
      </x:c>
      <x:c r="J1067" s="51" t="str">
        <x:v>INS-379</x:v>
      </x:c>
      <x:c r="K1067" s="51" t="str">
        <x:v>Peak $11.8 trillion daily volume on June 30, 2025</x:v>
      </x:c>
      <x:c r="L1067" s="51" t="str">
        <x:v>Treasury cash and repo trades plus margin</x:v>
      </x:c>
      <x:c r="M1067" s="51" t="str">
        <x:v>Novated and netted obligations</x:v>
      </x:c>
      <x:c r="N1067" s="51" t="str">
        <x:v>FICC converts many bilateral Treasury transactions into net obligations to a central counterparty</x:v>
      </x:c>
      <x:c r="O1067" s="51" t="str">
        <x:v>Financial; operational; systemic</x:v>
      </x:c>
      <x:c r="P1067" s="51" t="str">
        <x:v>E1</x:v>
      </x:c>
      <x:c r="Q1067" s="51" t="str">
        <x:v>Very high</x:v>
      </x:c>
      <x:c r="R1067" s="51" t="str">
        <x:v>SRC-777; SRC-778; SRC-780</x:v>
      </x:c>
      <x:c r="S1067" s="51" t="str">
        <x:v>FICC GSD clears government securities and repo transactions at very large scale.</x:v>
      </x:c>
      <x:c r="T1067" s="51" t="str">
        <x:v>Elimination of settlement risk or government guarantee.</x:v>
      </x:c>
      <x:c r="U1067" s="51" t="str">
        <x:v>Members remain exposed through margin and default resources.</x:v>
      </x:c>
      <x:c r="V1067" s="51" t="str">
        <x:v>Active</x:v>
      </x:c>
      <x:c r="W1067" s="51" t="str">
        <x:v>48;57</x:v>
      </x:c>
      <x:c r="X1067" s="51" t="str">
        <x:v>2026-07-27</x:v>
      </x:c>
    </x:row>
    <x:row r="1068">
      <x:c r="A1068" s="51" t="str">
        <x:v>V17FICC-003</x:v>
      </x:c>
      <x:c r="B1068" s="51" t="str">
        <x:v>FICC Treasury clearing and sponsored access</x:v>
      </x:c>
      <x:c r="C1068" s="51" t="str">
        <x:v>ACT-SPONSORINGCLEARINGMEMBER</x:v>
      </x:c>
      <x:c r="D1068" s="51" t="str">
        <x:v>Sponsoring clearing members</x:v>
      </x:c>
      <x:c r="E1068" s="51" t="str">
        <x:v>ACT-SPONSOREDMEMBERS</x:v>
      </x:c>
      <x:c r="F1068" s="51" t="str">
        <x:v>Sponsored members</x:v>
      </x:c>
      <x:c r="G1068" s="51" t="str">
        <x:v>Member → client</x:v>
      </x:c>
      <x:c r="H1068" s="51" t="str">
        <x:v>Ongoing</x:v>
      </x:c>
      <x:c r="I1068" s="51" t="str">
        <x:v>Sponsored repo access</x:v>
      </x:c>
      <x:c r="J1068" s="51" t="str">
        <x:v>INS-380</x:v>
      </x:c>
      <x:c r="K1068" s="51" t="str">
        <x:v>Client-specific</x:v>
      </x:c>
      <x:c r="L1068" s="51" t="str">
        <x:v>Membership, credit and operational sponsorship</x:v>
      </x:c>
      <x:c r="M1068" s="51" t="str">
        <x:v>Access to FICC central clearing</x:v>
      </x:c>
      <x:c r="N1068" s="51" t="str">
        <x:v>Sponsorship converts a non-member's repo into a centrally cleared transaction through a member</x:v>
      </x:c>
      <x:c r="O1068" s="51" t="str">
        <x:v>Financial; legal; relational</x:v>
      </x:c>
      <x:c r="P1068" s="51" t="str">
        <x:v>E1</x:v>
      </x:c>
      <x:c r="Q1068" s="51" t="str">
        <x:v>Very high</x:v>
      </x:c>
      <x:c r="R1068" s="51" t="str">
        <x:v>SRC-774; SRC-779; SRC-781</x:v>
      </x:c>
      <x:c r="S1068" s="51" t="str">
        <x:v>FICC's sponsored service allows eligible clients to clear through sponsoring members.</x:v>
      </x:c>
      <x:c r="T1068" s="51" t="str">
        <x:v>Direct FICC membership or removal of sponsor credit and operational obligations.</x:v>
      </x:c>
      <x:c r="U1068" s="51" t="str">
        <x:v>Sponsor terms and margin allocation matter.</x:v>
      </x:c>
      <x:c r="V1068" s="51" t="str">
        <x:v>Active</x:v>
      </x:c>
      <x:c r="W1068" s="51" t="str">
        <x:v>48;57</x:v>
      </x:c>
      <x:c r="X1068" s="51" t="str">
        <x:v>2026-07-27</x:v>
      </x:c>
    </x:row>
    <x:row r="1069">
      <x:c r="A1069" s="51" t="str">
        <x:v>V17FICC-004</x:v>
      </x:c>
      <x:c r="B1069" s="51" t="str">
        <x:v>FICC Treasury clearing and sponsored access</x:v>
      </x:c>
      <x:c r="C1069" s="51" t="str">
        <x:v>ACT-HEDGEFUNDS</x:v>
      </x:c>
      <x:c r="D1069" s="51" t="str">
        <x:v>Hedge funds</x:v>
      </x:c>
      <x:c r="E1069" s="51" t="str">
        <x:v>ACT-SPONSOREDMEMBERS</x:v>
      </x:c>
      <x:c r="F1069" s="51" t="str">
        <x:v>Sponsored members</x:v>
      </x:c>
      <x:c r="G1069" s="51" t="str">
        <x:v>Leveraged fund → clearing status</x:v>
      </x:c>
      <x:c r="H1069" s="51" t="str">
        <x:v>Current 2026</x:v>
      </x:c>
      <x:c r="I1069" s="51" t="str">
        <x:v>Sponsored repo participation</x:v>
      </x:c>
      <x:c r="J1069" s="51" t="str">
        <x:v>INS-380</x:v>
      </x:c>
      <x:c r="K1069" s="51" t="str">
        <x:v>Majority category in OFR sponsored-repo data</x:v>
      </x:c>
      <x:c r="L1069" s="51" t="str">
        <x:v>Treasury collateral and financing demand</x:v>
      </x:c>
      <x:c r="M1069" s="51" t="str">
        <x:v>Centrally cleared repo access</x:v>
      </x:c>
      <x:c r="N1069" s="51" t="str">
        <x:v>Sponsored clearing gives leveraged nonbanks access to netting and broader repo counterparties</x:v>
      </x:c>
      <x:c r="O1069" s="51" t="str">
        <x:v>Financial; systemic; relational</x:v>
      </x:c>
      <x:c r="P1069" s="51" t="str">
        <x:v>E1</x:v>
      </x:c>
      <x:c r="Q1069" s="51" t="str">
        <x:v>High</x:v>
      </x:c>
      <x:c r="R1069" s="51" t="str">
        <x:v>SRC-774</x:v>
      </x:c>
      <x:c r="S1069" s="51" t="str">
        <x:v>OFR states that the majority of sponsored repo activity involves hedge funds.</x:v>
      </x:c>
      <x:c r="T1069" s="51" t="str">
        <x:v>Uniform leverage or guaranteed financing.</x:v>
      </x:c>
      <x:c r="U1069" s="51" t="str">
        <x:v>Membership and sponsor risk controls constrain access.</x:v>
      </x:c>
      <x:c r="V1069" s="51" t="str">
        <x:v>Active</x:v>
      </x:c>
      <x:c r="W1069" s="51" t="str">
        <x:v>48;57</x:v>
      </x:c>
      <x:c r="X1069" s="51" t="str">
        <x:v>2026-07-27</x:v>
      </x:c>
    </x:row>
    <x:row r="1070">
      <x:c r="A1070" s="51" t="str">
        <x:v>V17FICC-005</x:v>
      </x:c>
      <x:c r="B1070" s="51" t="str">
        <x:v>FICC Treasury clearing and sponsored access</x:v>
      </x:c>
      <x:c r="C1070" s="51" t="str">
        <x:v>ACT-SECURITIESANDEXCHANGECOM</x:v>
      </x:c>
      <x:c r="D1070" s="51" t="str">
        <x:v>Securities and Exchange Commission</x:v>
      </x:c>
      <x:c r="E1070" s="51" t="str">
        <x:v>ACT-FIXEDINCOMECLEARINGCORPO</x:v>
      </x:c>
      <x:c r="F1070" s="51" t="str">
        <x:v>Fixed Income Clearing Corporation</x:v>
      </x:c>
      <x:c r="G1070" s="51" t="str">
        <x:v>Regulator → CCP</x:v>
      </x:c>
      <x:c r="H1070" s="51" t="str">
        <x:v>2026–2027</x:v>
      </x:c>
      <x:c r="I1070" s="51" t="str">
        <x:v>Treasury clearing compliance framework</x:v>
      </x:c>
      <x:c r="J1070" s="51" t="str">
        <x:v>INS-381</x:v>
      </x:c>
      <x:c r="K1070" s="51" t="str">
        <x:v>Cash deadline Dec. 31, 2026; repo deadline June 30, 2027</x:v>
      </x:c>
      <x:c r="L1070" s="51" t="str">
        <x:v>Covered clearing-agency rules</x:v>
      </x:c>
      <x:c r="M1070" s="51" t="str">
        <x:v>Expanded transaction-clearing perimeter</x:v>
      </x:c>
      <x:c r="N1070" s="51" t="str">
        <x:v>Regulation can shift bilateral Treasury exposures into central clearing</x:v>
      </x:c>
      <x:c r="O1070" s="51" t="str">
        <x:v>Regulatory; financial; systemic</x:v>
      </x:c>
      <x:c r="P1070" s="51" t="str">
        <x:v>E1</x:v>
      </x:c>
      <x:c r="Q1070" s="51" t="str">
        <x:v>Very high</x:v>
      </x:c>
      <x:c r="R1070" s="51" t="str">
        <x:v>SRC-766; SRC-767</x:v>
      </x:c>
      <x:c r="S1070" s="51" t="str">
        <x:v>The SEC extended and maintains mandatory clearing deadlines for eligible cash and repo transactions.</x:v>
      </x:c>
      <x:c r="T1070" s="51" t="str">
        <x:v>All Treasury transactions becoming centrally cleared immediately.</x:v>
      </x:c>
      <x:c r="U1070" s="51" t="str">
        <x:v>Exemptions, access models and implementation remain complex.</x:v>
      </x:c>
      <x:c r="V1070" s="51" t="str">
        <x:v>Implementation</x:v>
      </x:c>
      <x:c r="W1070" s="51" t="str">
        <x:v>48;57</x:v>
      </x:c>
      <x:c r="X1070" s="51" t="str">
        <x:v>2026-07-27</x:v>
      </x:c>
    </x:row>
    <x:row r="1071">
      <x:c r="A1071" s="51" t="str">
        <x:v>V17FICC-006</x:v>
      </x:c>
      <x:c r="B1071" s="51" t="str">
        <x:v>FICC Treasury clearing and sponsored access</x:v>
      </x:c>
      <x:c r="C1071" s="51" t="str">
        <x:v>ACT-FIXEDINCOMECLEARINGCORPO</x:v>
      </x:c>
      <x:c r="D1071" s="51" t="str">
        <x:v>Fixed Income Clearing Corporation</x:v>
      </x:c>
      <x:c r="E1071" s="51" t="str">
        <x:v>ACT-TREASURYMARKETPARTICIPAN</x:v>
      </x:c>
      <x:c r="F1071" s="51" t="str">
        <x:v>Treasury market participants</x:v>
      </x:c>
      <x:c r="G1071" s="51" t="str">
        <x:v>CCP → market</x:v>
      </x:c>
      <x:c r="H1071" s="51" t="str">
        <x:v>2025–2027</x:v>
      </x:c>
      <x:c r="I1071" s="51" t="str">
        <x:v>Netting, margin and settlement services</x:v>
      </x:c>
      <x:c r="J1071" s="51" t="str">
        <x:v>INS-379; INS-381</x:v>
      </x:c>
      <x:c r="K1071" s="51" t="str">
        <x:v>Market-wide expansion</x:v>
      </x:c>
      <x:c r="L1071" s="51" t="str">
        <x:v>Submitted transactions and collateral</x:v>
      </x:c>
      <x:c r="M1071" s="51" t="str">
        <x:v>Reduced gross settlement obligations and mutualised default framework</x:v>
      </x:c>
      <x:c r="N1071" s="51" t="str">
        <x:v>Central clearing can reduce bilateral settlement exposures while concentrating margin and default risk</x:v>
      </x:c>
      <x:c r="O1071" s="51" t="str">
        <x:v>Financial; operational; systemic</x:v>
      </x:c>
      <x:c r="P1071" s="51" t="str">
        <x:v>E1</x:v>
      </x:c>
      <x:c r="Q1071" s="51" t="str">
        <x:v>High</x:v>
      </x:c>
      <x:c r="R1071" s="51" t="str">
        <x:v>SRC-779; SRC-780; SRC-781</x:v>
      </x:c>
      <x:c r="S1071" s="51" t="str">
        <x:v>FICC provides comparison, netting, settlement and risk management.</x:v>
      </x:c>
      <x:c r="T1071" s="51" t="str">
        <x:v>Reduction of all leverage or liquidity needs.</x:v>
      </x:c>
      <x:c r="U1071" s="51" t="str">
        <x:v>Margin and default resources can create new concentration and procyclicality.</x:v>
      </x:c>
      <x:c r="V1071" s="51" t="str">
        <x:v>Active expansion</x:v>
      </x:c>
      <x:c r="W1071" s="51" t="str">
        <x:v>48;57</x:v>
      </x:c>
      <x:c r="X1071" s="51" t="str">
        <x:v>2026-07-27</x:v>
      </x:c>
    </x:row>
    <x:row r="1072">
      <x:c r="A1072" s="51" t="str">
        <x:v>V17MMF-001</x:v>
      </x:c>
      <x:c r="B1072" s="51" t="str">
        <x:v>Money market funds and cash-management substitution</x:v>
      </x:c>
      <x:c r="C1072" s="51" t="str">
        <x:v>ACT-MONEYMARKETFUNDINVESTORS</x:v>
      </x:c>
      <x:c r="D1072" s="51" t="str">
        <x:v>Money market fund investors</x:v>
      </x:c>
      <x:c r="E1072" s="51" t="str">
        <x:v>ACT-MONEYMARKETFUNDS</x:v>
      </x:c>
      <x:c r="F1072" s="51" t="str">
        <x:v>Money market funds</x:v>
      </x:c>
      <x:c r="G1072" s="51" t="str">
        <x:v>Investor → fund</x:v>
      </x:c>
      <x:c r="H1072" s="51" t="str">
        <x:v>Subscription</x:v>
      </x:c>
      <x:c r="I1072" s="51" t="str">
        <x:v>Purchase of redeemable shares</x:v>
      </x:c>
      <x:c r="J1072" s="51" t="str">
        <x:v>INS-382; INS-383</x:v>
      </x:c>
      <x:c r="K1072" s="51" t="str">
        <x:v>$7.86 trillion total sector assets on July 22, 2026</x:v>
      </x:c>
      <x:c r="L1072" s="51" t="str">
        <x:v>Investor cash</x:v>
      </x:c>
      <x:c r="M1072" s="51" t="str">
        <x:v>Fund share claim</x:v>
      </x:c>
      <x:c r="N1072" s="51" t="str">
        <x:v>Money funds convert investor cash into pooled short-duration portfolios</x:v>
      </x:c>
      <x:c r="O1072" s="51" t="str">
        <x:v>Financial; legal; relational</x:v>
      </x:c>
      <x:c r="P1072" s="51" t="str">
        <x:v>E2</x:v>
      </x:c>
      <x:c r="Q1072" s="51" t="str">
        <x:v>Very high</x:v>
      </x:c>
      <x:c r="R1072" s="51" t="str">
        <x:v>SRC-768; SRC-769</x:v>
      </x:c>
      <x:c r="S1072" s="51" t="str">
        <x:v>ICI reported $7.86 trillion in U.S. money market fund assets.</x:v>
      </x:c>
      <x:c r="T1072" s="51" t="str">
        <x:v>Bank deposit, FDIC insurance or guaranteed stable value in every fund.</x:v>
      </x:c>
      <x:c r="U1072" s="51" t="str">
        <x:v>Fund type, NAV and sponsor support differ.</x:v>
      </x:c>
      <x:c r="V1072" s="51" t="str">
        <x:v>Active</x:v>
      </x:c>
      <x:c r="W1072" s="51" t="str">
        <x:v>48;57</x:v>
      </x:c>
      <x:c r="X1072" s="51" t="str">
        <x:v>2026-07-27</x:v>
      </x:c>
    </x:row>
    <x:row r="1073">
      <x:c r="A1073" s="51" t="str">
        <x:v>V17MMF-002</x:v>
      </x:c>
      <x:c r="B1073" s="51" t="str">
        <x:v>Money market funds and cash-management substitution</x:v>
      </x:c>
      <x:c r="C1073" s="51" t="str">
        <x:v>ACT-MONEYMARKETFUNDS</x:v>
      </x:c>
      <x:c r="D1073" s="51" t="str">
        <x:v>Money market funds</x:v>
      </x:c>
      <x:c r="E1073" s="51" t="str">
        <x:v>ACT-MONEYMARKETFUNDINVESTORS</x:v>
      </x:c>
      <x:c r="F1073" s="51" t="str">
        <x:v>Money market fund investors</x:v>
      </x:c>
      <x:c r="G1073" s="51" t="str">
        <x:v>Fund → shareholder</x:v>
      </x:c>
      <x:c r="H1073" s="51" t="str">
        <x:v>On redemption</x:v>
      </x:c>
      <x:c r="I1073" s="51" t="str">
        <x:v>Cash payment at fund NAV</x:v>
      </x:c>
      <x:c r="J1073" s="51" t="str">
        <x:v>INS-382; INS-383</x:v>
      </x:c>
      <x:c r="K1073" s="51" t="str">
        <x:v>Share-specific</x:v>
      </x:c>
      <x:c r="L1073" s="51" t="str">
        <x:v>Portfolio liquidity and redemption request</x:v>
      </x:c>
      <x:c r="M1073" s="51" t="str">
        <x:v>Redemption proceeds</x:v>
      </x:c>
      <x:c r="N1073" s="51" t="str">
        <x:v>Redeemable fund shares provide cash-like liquidity backed by market assets rather than bank deposits</x:v>
      </x:c>
      <x:c r="O1073" s="51" t="str">
        <x:v>Financial; legal; operational</x:v>
      </x:c>
      <x:c r="P1073" s="51" t="str">
        <x:v>E1</x:v>
      </x:c>
      <x:c r="Q1073" s="51" t="str">
        <x:v>High</x:v>
      </x:c>
      <x:c r="R1073" s="51" t="str">
        <x:v>SRC-768</x:v>
      </x:c>
      <x:c r="S1073" s="51" t="str">
        <x:v>Rule 2a-7 regulates liquidity and redemption features.</x:v>
      </x:c>
      <x:c r="T1073" s="51" t="str">
        <x:v>Instant payment under all stress or public guarantee.</x:v>
      </x:c>
      <x:c r="U1073" s="51" t="str">
        <x:v>Liquidity fees and market conditions can affect redemption economics.</x:v>
      </x:c>
      <x:c r="V1073" s="51" t="str">
        <x:v>Active</x:v>
      </x:c>
      <x:c r="W1073" s="51" t="str">
        <x:v>48;57</x:v>
      </x:c>
      <x:c r="X1073" s="51" t="str">
        <x:v>2026-07-27</x:v>
      </x:c>
    </x:row>
    <x:row r="1074">
      <x:c r="A1074" s="51" t="str">
        <x:v>V17MMF-003</x:v>
      </x:c>
      <x:c r="B1074" s="51" t="str">
        <x:v>Money market funds and cash-management substitution</x:v>
      </x:c>
      <x:c r="C1074" s="51" t="str">
        <x:v>ACT-SECURITIESANDEXCHANGECOM</x:v>
      </x:c>
      <x:c r="D1074" s="51" t="str">
        <x:v>Securities and Exchange Commission</x:v>
      </x:c>
      <x:c r="E1074" s="51" t="str">
        <x:v>ACT-MONEYMARKETFUNDS</x:v>
      </x:c>
      <x:c r="F1074" s="51" t="str">
        <x:v>Money market funds</x:v>
      </x:c>
      <x:c r="G1074" s="51" t="str">
        <x:v>Regulator → funds</x:v>
      </x:c>
      <x:c r="H1074" s="51" t="str">
        <x:v>Current 2026</x:v>
      </x:c>
      <x:c r="I1074" s="51" t="str">
        <x:v>Rule 2a-7 liquidity and fee framework</x:v>
      </x:c>
      <x:c r="J1074" s="51" t="str">
        <x:v>INS-382</x:v>
      </x:c>
      <x:c r="K1074" s="51" t="str">
        <x:v>25% daily and 50% weekly liquid-asset minimums</x:v>
      </x:c>
      <x:c r="L1074" s="51" t="str">
        <x:v>Portfolio and redemption rules</x:v>
      </x:c>
      <x:c r="M1074" s="51" t="str">
        <x:v>Liquidity buffers, fees and disclosures</x:v>
      </x:c>
      <x:c r="N1074" s="51" t="str">
        <x:v>SEC regulation converts redemption risk into portfolio-liquidity requirements</x:v>
      </x:c>
      <x:c r="O1074" s="51" t="str">
        <x:v>Regulatory; financial; institutional</x:v>
      </x:c>
      <x:c r="P1074" s="51" t="str">
        <x:v>E1</x:v>
      </x:c>
      <x:c r="Q1074" s="51" t="str">
        <x:v>Very high</x:v>
      </x:c>
      <x:c r="R1074" s="51" t="str">
        <x:v>SRC-768</x:v>
      </x:c>
      <x:c r="S1074" s="51" t="str">
        <x:v>The SEC increased daily and weekly liquid-asset minimums and changed fee rules.</x:v>
      </x:c>
      <x:c r="T1074" s="51" t="str">
        <x:v>FDIC protection or prohibition of fund losses.</x:v>
      </x:c>
      <x:c r="U1074" s="51" t="str">
        <x:v>Rules differ by government, retail and institutional fund type.</x:v>
      </x:c>
      <x:c r="V1074" s="51" t="str">
        <x:v>Active</x:v>
      </x:c>
      <x:c r="W1074" s="51" t="str">
        <x:v>48;57</x:v>
      </x:c>
      <x:c r="X1074" s="51" t="str">
        <x:v>2026-07-27</x:v>
      </x:c>
    </x:row>
    <x:row r="1075">
      <x:c r="A1075" s="51" t="str">
        <x:v>V17MMF-004</x:v>
      </x:c>
      <x:c r="B1075" s="51" t="str">
        <x:v>Money market funds and cash-management substitution</x:v>
      </x:c>
      <x:c r="C1075" s="51" t="str">
        <x:v>ACT-GOVERNMENTMONEYMARKETFUN</x:v>
      </x:c>
      <x:c r="D1075" s="51" t="str">
        <x:v>Government money market funds</x:v>
      </x:c>
      <x:c r="E1075" s="51" t="str">
        <x:v>ACT-REPOCASHLENDERS</x:v>
      </x:c>
      <x:c r="F1075" s="51" t="str">
        <x:v>Repo cash lenders</x:v>
      </x:c>
      <x:c r="G1075" s="51" t="str">
        <x:v>Fund → repo market</x:v>
      </x:c>
      <x:c r="H1075" s="51" t="str">
        <x:v>Ongoing</x:v>
      </x:c>
      <x:c r="I1075" s="51" t="str">
        <x:v>Reverse repo investment</x:v>
      </x:c>
      <x:c r="J1075" s="51" t="str">
        <x:v>INS-377; INS-383</x:v>
      </x:c>
      <x:c r="K1075" s="51" t="str">
        <x:v>Sector-specific</x:v>
      </x:c>
      <x:c r="L1075" s="51" t="str">
        <x:v>Investor cash and portfolio mandate</x:v>
      </x:c>
      <x:c r="M1075" s="51" t="str">
        <x:v>Secured short-term asset</x:v>
      </x:c>
      <x:c r="N1075" s="51" t="str">
        <x:v>Government money funds channel cash into Treasury and agency repo financing</x:v>
      </x:c>
      <x:c r="O1075" s="51" t="str">
        <x:v>Financial; monetary; systemic</x:v>
      </x:c>
      <x:c r="P1075" s="51" t="str">
        <x:v>E1</x:v>
      </x:c>
      <x:c r="Q1075" s="51" t="str">
        <x:v>High</x:v>
      </x:c>
      <x:c r="R1075" s="51" t="str">
        <x:v>SRC-782; SRC-783</x:v>
      </x:c>
      <x:c r="S1075" s="51" t="str">
        <x:v>Federal Reserve research documents MMF allocation across ON RRP, tri-party and FICC repo.</x:v>
      </x:c>
      <x:c r="T1075" s="51" t="str">
        <x:v>Permanent allocation to one venue or bank-deposit status.</x:v>
      </x:c>
      <x:c r="U1075" s="51" t="str">
        <x:v>Relative rates and counterparty access shift portfolios.</x:v>
      </x:c>
      <x:c r="V1075" s="51" t="str">
        <x:v>Active</x:v>
      </x:c>
      <x:c r="W1075" s="51" t="str">
        <x:v>48;57</x:v>
      </x:c>
      <x:c r="X1075" s="51" t="str">
        <x:v>2026-07-27</x:v>
      </x:c>
    </x:row>
    <x:row r="1076">
      <x:c r="A1076" s="51" t="str">
        <x:v>V17MMF-005</x:v>
      </x:c>
      <x:c r="B1076" s="51" t="str">
        <x:v>Money market funds and cash-management substitution</x:v>
      </x:c>
      <x:c r="C1076" s="51" t="str">
        <x:v>ACT-MONEYMARKETFUNDS</x:v>
      </x:c>
      <x:c r="D1076" s="51" t="str">
        <x:v>Money market funds</x:v>
      </x:c>
      <x:c r="E1076" s="51" t="str">
        <x:v>ACT-USTREASURYMARKET</x:v>
      </x:c>
      <x:c r="F1076" s="51" t="str">
        <x:v>US Treasury market</x:v>
      </x:c>
      <x:c r="G1076" s="51" t="str">
        <x:v>Cash pool → government market</x:v>
      </x:c>
      <x:c r="H1076" s="51" t="str">
        <x:v>Ongoing</x:v>
      </x:c>
      <x:c r="I1076" s="51" t="str">
        <x:v>Treasury bills, repo and government securities investment</x:v>
      </x:c>
      <x:c r="J1076" s="51" t="str">
        <x:v>INS-383</x:v>
      </x:c>
      <x:c r="K1076" s="51" t="str">
        <x:v>Multi-trillion-dollar sector</x:v>
      </x:c>
      <x:c r="L1076" s="51" t="str">
        <x:v>Redeemable investor cash</x:v>
      </x:c>
      <x:c r="M1076" s="51" t="str">
        <x:v>Government short-term financing demand</x:v>
      </x:c>
      <x:c r="N1076" s="51" t="str">
        <x:v>Money funds connect household and institutional cash to sovereign short-term funding</x:v>
      </x:c>
      <x:c r="O1076" s="51" t="str">
        <x:v>Financial; monetary; institutional</x:v>
      </x:c>
      <x:c r="P1076" s="51" t="str">
        <x:v>E2</x:v>
      </x:c>
      <x:c r="Q1076" s="51" t="str">
        <x:v>High</x:v>
      </x:c>
      <x:c r="R1076" s="51" t="str">
        <x:v>SRC-769; SRC-776; SRC-782</x:v>
      </x:c>
      <x:c r="S1076" s="51" t="str">
        <x:v>Money funds hold large short-duration portfolios including government instruments and repo.</x:v>
      </x:c>
      <x:c r="T1076" s="51" t="str">
        <x:v>Direct financing of all Treasury issuance or stable holdings in every stress.</x:v>
      </x:c>
      <x:c r="U1076" s="51" t="str">
        <x:v>Portfolio composition changes with rates and regulation.</x:v>
      </x:c>
      <x:c r="V1076" s="51" t="str">
        <x:v>Active</x:v>
      </x:c>
      <x:c r="W1076" s="51" t="str">
        <x:v>48;57</x:v>
      </x:c>
      <x:c r="X1076" s="51" t="str">
        <x:v>2026-07-27</x:v>
      </x:c>
    </x:row>
    <x:row r="1077">
      <x:c r="A1077" s="51" t="str">
        <x:v>V17MMF-006</x:v>
      </x:c>
      <x:c r="B1077" s="51" t="str">
        <x:v>Money market funds and cash-management substitution</x:v>
      </x:c>
      <x:c r="C1077" s="51" t="str">
        <x:v>ACT-MONEYMARKETFUNDSPONSORS</x:v>
      </x:c>
      <x:c r="D1077" s="51" t="str">
        <x:v>Money market fund sponsors</x:v>
      </x:c>
      <x:c r="E1077" s="51" t="str">
        <x:v>ACT-MONEYMARKETFUNDS</x:v>
      </x:c>
      <x:c r="F1077" s="51" t="str">
        <x:v>Money market funds</x:v>
      </x:c>
      <x:c r="G1077" s="51" t="str">
        <x:v>Sponsor → fund</x:v>
      </x:c>
      <x:c r="H1077" s="51" t="str">
        <x:v>Ongoing</x:v>
      </x:c>
      <x:c r="I1077" s="51" t="str">
        <x:v>Management, operations and discretionary support</x:v>
      </x:c>
      <x:c r="J1077" s="51" t="str">
        <x:v>INS-382; INS-383</x:v>
      </x:c>
      <x:c r="K1077" s="51" t="str">
        <x:v>Fund-complex-specific</x:v>
      </x:c>
      <x:c r="L1077" s="51" t="str">
        <x:v>Management systems, brand and capital</x:v>
      </x:c>
      <x:c r="M1077" s="51" t="str">
        <x:v>Fund operation and possible support</x:v>
      </x:c>
      <x:c r="N1077" s="51" t="str">
        <x:v>Sponsor reputation and operational capacity support cash-like fund products without creating formal deposit insurance</x:v>
      </x:c>
      <x:c r="O1077" s="51" t="str">
        <x:v>Relational; financial; institutional</x:v>
      </x:c>
      <x:c r="P1077" s="51" t="str">
        <x:v>S1</x:v>
      </x:c>
      <x:c r="Q1077" s="51" t="str">
        <x:v>High</x:v>
      </x:c>
      <x:c r="R1077" s="51" t="str">
        <x:v>SRC-768</x:v>
      </x:c>
      <x:c r="S1077" s="51" t="str">
        <x:v>Fund sponsors manage registered money market funds.</x:v>
      </x:c>
      <x:c r="T1077" s="51" t="str">
        <x:v>Legally guaranteed support in every loss event.</x:v>
      </x:c>
      <x:c r="U1077" s="51" t="str">
        <x:v>Support may be discretionary and regulated.</x:v>
      </x:c>
      <x:c r="V1077" s="51" t="str">
        <x:v>Active</x:v>
      </x:c>
      <x:c r="W1077" s="51" t="str">
        <x:v>48;57</x:v>
      </x:c>
      <x:c r="X1077" s="51" t="str">
        <x:v>2026-07-27</x:v>
      </x:c>
    </x:row>
    <x:row r="1078">
      <x:c r="A1078" s="51" t="str">
        <x:v>V17REPO-001</x:v>
      </x:c>
      <x:c r="B1078" s="51" t="str">
        <x:v>Repo, reverse repo and secured wholesale funding</x:v>
      </x:c>
      <x:c r="C1078" s="51" t="str">
        <x:v>ACT-REPOCASHLENDERS</x:v>
      </x:c>
      <x:c r="D1078" s="51" t="str">
        <x:v>Repo cash lenders</x:v>
      </x:c>
      <x:c r="E1078" s="51" t="str">
        <x:v>ACT-REPOCASHBORROWERS</x:v>
      </x:c>
      <x:c r="F1078" s="51" t="str">
        <x:v>Repo cash borrowers</x:v>
      </x:c>
      <x:c r="G1078" s="51" t="str">
        <x:v>Cash lender → borrower</x:v>
      </x:c>
      <x:c r="H1078" s="51" t="str">
        <x:v>Repo term</x:v>
      </x:c>
      <x:c r="I1078" s="51" t="str">
        <x:v>Cash against securities</x:v>
      </x:c>
      <x:c r="J1078" s="51" t="str">
        <x:v>INS-377</x:v>
      </x:c>
      <x:c r="K1078" s="51" t="str">
        <x:v>Approximately $12.5–$12.6 trillion average daily U.S. exposures in 2025</x:v>
      </x:c>
      <x:c r="L1078" s="51" t="str">
        <x:v>Cash and agreed rate</x:v>
      </x:c>
      <x:c r="M1078" s="51" t="str">
        <x:v>Secured short-term funding</x:v>
      </x:c>
      <x:c r="N1078" s="51" t="str">
        <x:v>Repo transforms securities inventories into cash funding</x:v>
      </x:c>
      <x:c r="O1078" s="51" t="str">
        <x:v>Financial; legal; operational</x:v>
      </x:c>
      <x:c r="P1078" s="51" t="str">
        <x:v>E1</x:v>
      </x:c>
      <x:c r="Q1078" s="51" t="str">
        <x:v>Very high</x:v>
      </x:c>
      <x:c r="R1078" s="51" t="str">
        <x:v>SRC-770; SRC-773</x:v>
      </x:c>
      <x:c r="S1078" s="51" t="str">
        <x:v>The U.S. repo market is a multi-trillion-dollar daily funding market.</x:v>
      </x:c>
      <x:c r="T1078" s="51" t="str">
        <x:v>Unsecured lending or permanent sale of economic exposure.</x:v>
      </x:c>
      <x:c r="U1078" s="51" t="str">
        <x:v>Legal form and accounting can differ from economic substance.</x:v>
      </x:c>
      <x:c r="V1078" s="51" t="str">
        <x:v>Active</x:v>
      </x:c>
      <x:c r="W1078" s="51" t="str">
        <x:v>48;57</x:v>
      </x:c>
      <x:c r="X1078" s="51" t="str">
        <x:v>2026-07-27</x:v>
      </x:c>
    </x:row>
    <x:row r="1079">
      <x:c r="A1079" s="51" t="str">
        <x:v>V17REPO-002</x:v>
      </x:c>
      <x:c r="B1079" s="51" t="str">
        <x:v>Repo, reverse repo and secured wholesale funding</x:v>
      </x:c>
      <x:c r="C1079" s="51" t="str">
        <x:v>ACT-REPOCASHBORROWERS</x:v>
      </x:c>
      <x:c r="D1079" s="51" t="str">
        <x:v>Repo cash borrowers</x:v>
      </x:c>
      <x:c r="E1079" s="51" t="str">
        <x:v>ACT-REPOCASHLENDERS</x:v>
      </x:c>
      <x:c r="F1079" s="51" t="str">
        <x:v>Repo cash lenders</x:v>
      </x:c>
      <x:c r="G1079" s="51" t="str">
        <x:v>Borrower → lender</x:v>
      </x:c>
      <x:c r="H1079" s="51" t="str">
        <x:v>Repo opening leg</x:v>
      </x:c>
      <x:c r="I1079" s="51" t="str">
        <x:v>Securities transfer and repurchase promise</x:v>
      </x:c>
      <x:c r="J1079" s="51" t="str">
        <x:v>INS-377</x:v>
      </x:c>
      <x:c r="K1079" s="51" t="str">
        <x:v>Trade-specific</x:v>
      </x:c>
      <x:c r="L1079" s="51" t="str">
        <x:v>Treasury or other eligible securities</x:v>
      </x:c>
      <x:c r="M1079" s="51" t="str">
        <x:v>Collateral plus contractual repurchase obligation</x:v>
      </x:c>
      <x:c r="N1079" s="51" t="str">
        <x:v>The borrower transfers securities while retaining an obligation to repurchase them</x:v>
      </x:c>
      <x:c r="O1079" s="51" t="str">
        <x:v>Financial; legal; ownership</x:v>
      </x:c>
      <x:c r="P1079" s="51" t="str">
        <x:v>E1</x:v>
      </x:c>
      <x:c r="Q1079" s="51" t="str">
        <x:v>Very high</x:v>
      </x:c>
      <x:c r="R1079" s="51" t="str">
        <x:v>SRC-770; SRC-788</x:v>
      </x:c>
      <x:c r="S1079" s="51" t="str">
        <x:v>Repo involves temporary exchange of cash for securities and later repurchase.</x:v>
      </x:c>
      <x:c r="T1079" s="51" t="str">
        <x:v>Permanent beneficial sale in ordinary economic analysis.</x:v>
      </x:c>
      <x:c r="U1079" s="51" t="str">
        <x:v>Default and legal documentation determine title consequences.</x:v>
      </x:c>
      <x:c r="V1079" s="51" t="str">
        <x:v>Active</x:v>
      </x:c>
      <x:c r="W1079" s="51" t="str">
        <x:v>48;57</x:v>
      </x:c>
      <x:c r="X1079" s="51" t="str">
        <x:v>2026-07-27</x:v>
      </x:c>
    </x:row>
    <x:row r="1080">
      <x:c r="A1080" s="51" t="str">
        <x:v>V17REPO-003</x:v>
      </x:c>
      <x:c r="B1080" s="51" t="str">
        <x:v>Repo, reverse repo and secured wholesale funding</x:v>
      </x:c>
      <x:c r="C1080" s="51" t="str">
        <x:v>ACT-TREASURYCOLLATERAL</x:v>
      </x:c>
      <x:c r="D1080" s="51" t="str">
        <x:v>Treasury collateral</x:v>
      </x:c>
      <x:c r="E1080" s="51" t="str">
        <x:v>ACT-REPOCASHLENDERS</x:v>
      </x:c>
      <x:c r="F1080" s="51" t="str">
        <x:v>Repo cash lenders</x:v>
      </x:c>
      <x:c r="G1080" s="51" t="str">
        <x:v>Collateral → lender protection</x:v>
      </x:c>
      <x:c r="H1080" s="51" t="str">
        <x:v>Repo term</x:v>
      </x:c>
      <x:c r="I1080" s="51" t="str">
        <x:v>Haircut-adjusted security value</x:v>
      </x:c>
      <x:c r="J1080" s="51" t="str">
        <x:v>INS-377; INS-378</x:v>
      </x:c>
      <x:c r="K1080" s="51" t="str">
        <x:v>Trade-specific</x:v>
      </x:c>
      <x:c r="L1080" s="51" t="str">
        <x:v>Marketable government securities</x:v>
      </x:c>
      <x:c r="M1080" s="51" t="str">
        <x:v>Secured recovery resource</x:v>
      </x:c>
      <x:c r="N1080" s="51" t="str">
        <x:v>Collateral and haircuts reduce lender exposure while encumbering the borrower's assets</x:v>
      </x:c>
      <x:c r="O1080" s="51" t="str">
        <x:v>Financial; ownership; systemic</x:v>
      </x:c>
      <x:c r="P1080" s="51" t="str">
        <x:v>E1</x:v>
      </x:c>
      <x:c r="Q1080" s="51" t="str">
        <x:v>High</x:v>
      </x:c>
      <x:c r="R1080" s="51" t="str">
        <x:v>SRC-771; SRC-788</x:v>
      </x:c>
      <x:c r="S1080" s="51" t="str">
        <x:v>Treasuries are a dominant repo collateral class.</x:v>
      </x:c>
      <x:c r="T1080" s="51" t="str">
        <x:v>Zero market risk, zero operational risk or guaranteed liquidation value.</x:v>
      </x:c>
      <x:c r="U1080" s="51" t="str">
        <x:v>Price moves and settlement timing still matter.</x:v>
      </x:c>
      <x:c r="V1080" s="51" t="str">
        <x:v>Active</x:v>
      </x:c>
      <x:c r="W1080" s="51" t="str">
        <x:v>48;57</x:v>
      </x:c>
      <x:c r="X1080" s="51" t="str">
        <x:v>2026-07-27</x:v>
      </x:c>
    </x:row>
    <x:row r="1081">
      <x:c r="A1081" s="51" t="str">
        <x:v>V17REPO-004</x:v>
      </x:c>
      <x:c r="B1081" s="51" t="str">
        <x:v>Repo, reverse repo and secured wholesale funding</x:v>
      </x:c>
      <x:c r="C1081" s="51" t="str">
        <x:v>ACT-OFFICEOFFINANCIALRESEARC</x:v>
      </x:c>
      <x:c r="D1081" s="51" t="str">
        <x:v>Office of Financial Research</x:v>
      </x:c>
      <x:c r="E1081" s="51" t="str">
        <x:v>ACT-REPOCASHLENDERS</x:v>
      </x:c>
      <x:c r="F1081" s="51" t="str">
        <x:v>Repo cash lenders</x:v>
      </x:c>
      <x:c r="G1081" s="51" t="str">
        <x:v>Public data office → market participants</x:v>
      </x:c>
      <x:c r="H1081" s="51" t="str">
        <x:v>2025–2026</x:v>
      </x:c>
      <x:c r="I1081" s="51" t="str">
        <x:v>Repo data collection and publication</x:v>
      </x:c>
      <x:c r="J1081" s="51" t="str">
        <x:v>INS-377</x:v>
      </x:c>
      <x:c r="K1081" s="51" t="str">
        <x:v>Market-wide</x:v>
      </x:c>
      <x:c r="L1081" s="51" t="str">
        <x:v>Transaction-level reporting</x:v>
      </x:c>
      <x:c r="M1081" s="51" t="str">
        <x:v>Market size, counterparty and venue transparency</x:v>
      </x:c>
      <x:c r="N1081" s="51" t="str">
        <x:v>Public data converts opaque bilateral funding into observable systemic exposures</x:v>
      </x:c>
      <x:c r="O1081" s="51" t="str">
        <x:v>Informational; institutional; systemic</x:v>
      </x:c>
      <x:c r="P1081" s="51" t="str">
        <x:v>E1</x:v>
      </x:c>
      <x:c r="Q1081" s="51" t="str">
        <x:v>Very high</x:v>
      </x:c>
      <x:c r="R1081" s="51" t="str">
        <x:v>SRC-770; SRC-771; SRC-772; SRC-773; SRC-799</x:v>
      </x:c>
      <x:c r="S1081" s="51" t="str">
        <x:v>OFR reports the size and participant structure of U.S. repo markets.</x:v>
      </x:c>
      <x:c r="T1081" s="51" t="str">
        <x:v>Complete visibility into all contractual terms or real-time regulator control.</x:v>
      </x:c>
      <x:c r="U1081" s="51" t="str">
        <x:v>Data coverage and netting conventions remain important.</x:v>
      </x:c>
      <x:c r="V1081" s="51" t="str">
        <x:v>Active</x:v>
      </x:c>
      <x:c r="W1081" s="51" t="str">
        <x:v>48;57</x:v>
      </x:c>
      <x:c r="X1081" s="51" t="str">
        <x:v>2026-07-27</x:v>
      </x:c>
    </x:row>
    <x:row r="1082">
      <x:c r="A1082" s="51" t="str">
        <x:v>V17REPO-005</x:v>
      </x:c>
      <x:c r="B1082" s="51" t="str">
        <x:v>Repo, reverse repo and secured wholesale funding</x:v>
      </x:c>
      <x:c r="C1082" s="51" t="str">
        <x:v>ACT-GOVERNMENTSPONSOREDENTER</x:v>
      </x:c>
      <x:c r="D1082" s="51" t="str">
        <x:v>Government-sponsored enterprises</x:v>
      </x:c>
      <x:c r="E1082" s="51" t="str">
        <x:v>ACT-REPOCASHBORROWERS</x:v>
      </x:c>
      <x:c r="F1082" s="51" t="str">
        <x:v>Repo cash borrowers</x:v>
      </x:c>
      <x:c r="G1082" s="51" t="str">
        <x:v>Institution → repo market</x:v>
      </x:c>
      <x:c r="H1082" s="51" t="str">
        <x:v>2025–2026</x:v>
      </x:c>
      <x:c r="I1082" s="51" t="str">
        <x:v>Cash lending or borrowing by segment</x:v>
      </x:c>
      <x:c r="J1082" s="51" t="str">
        <x:v>INS-377</x:v>
      </x:c>
      <x:c r="K1082" s="51" t="str">
        <x:v>Large market participant category</x:v>
      </x:c>
      <x:c r="L1082" s="51" t="str">
        <x:v>Cash balances or securities holdings</x:v>
      </x:c>
      <x:c r="M1082" s="51" t="str">
        <x:v>Short-term funding position</x:v>
      </x:c>
      <x:c r="N1082" s="51" t="str">
        <x:v>GSEs connect public-purpose balance sheets to private Treasury funding markets</x:v>
      </x:c>
      <x:c r="O1082" s="51" t="str">
        <x:v>Financial; institutional; systemic</x:v>
      </x:c>
      <x:c r="P1082" s="51" t="str">
        <x:v>E1</x:v>
      </x:c>
      <x:c r="Q1082" s="51" t="str">
        <x:v>High</x:v>
      </x:c>
      <x:c r="R1082" s="51" t="str">
        <x:v>SRC-773</x:v>
      </x:c>
      <x:c r="S1082" s="51" t="str">
        <x:v>OFR identifies GSEs as important repo-market participants.</x:v>
      </x:c>
      <x:c r="T1082" s="51" t="str">
        <x:v>Uniform net lender status in every segment or government guarantee of counterparties.</x:v>
      </x:c>
      <x:c r="U1082" s="51" t="str">
        <x:v>Position varies by market and date.</x:v>
      </x:c>
      <x:c r="V1082" s="51" t="str">
        <x:v>Active</x:v>
      </x:c>
      <x:c r="W1082" s="51" t="str">
        <x:v>48;57</x:v>
      </x:c>
      <x:c r="X1082" s="51" t="str">
        <x:v>2026-07-27</x:v>
      </x:c>
    </x:row>
    <x:row r="1083">
      <x:c r="A1083" s="51" t="str">
        <x:v>V17REPO-006</x:v>
      </x:c>
      <x:c r="B1083" s="51" t="str">
        <x:v>Repo, reverse repo and secured wholesale funding</x:v>
      </x:c>
      <x:c r="C1083" s="51" t="str">
        <x:v>ACT-HEDGEFUNDS</x:v>
      </x:c>
      <x:c r="D1083" s="51" t="str">
        <x:v>Hedge funds</x:v>
      </x:c>
      <x:c r="E1083" s="51" t="str">
        <x:v>ACT-REPOCASHBORROWERS</x:v>
      </x:c>
      <x:c r="F1083" s="51" t="str">
        <x:v>Repo cash borrowers</x:v>
      </x:c>
      <x:c r="G1083" s="51" t="str">
        <x:v>Leveraged investor → funding market</x:v>
      </x:c>
      <x:c r="H1083" s="51" t="str">
        <x:v>2025–2026</x:v>
      </x:c>
      <x:c r="I1083" s="51" t="str">
        <x:v>Treasury-financing demand</x:v>
      </x:c>
      <x:c r="J1083" s="51" t="str">
        <x:v>INS-377; INS-380</x:v>
      </x:c>
      <x:c r="K1083" s="51" t="str">
        <x:v>Major sponsored-repo borrower category</x:v>
      </x:c>
      <x:c r="L1083" s="51" t="str">
        <x:v>Treasury positions and collateral</x:v>
      </x:c>
      <x:c r="M1083" s="51" t="str">
        <x:v>Short-term leverage</x:v>
      </x:c>
      <x:c r="N1083" s="51" t="str">
        <x:v>Repo allows hedge funds to finance large securities positions with relatively small equity</x:v>
      </x:c>
      <x:c r="O1083" s="51" t="str">
        <x:v>Financial; ownership; systemic</x:v>
      </x:c>
      <x:c r="P1083" s="51" t="str">
        <x:v>E1</x:v>
      </x:c>
      <x:c r="Q1083" s="51" t="str">
        <x:v>High</x:v>
      </x:c>
      <x:c r="R1083" s="51" t="str">
        <x:v>SRC-774; SRC-773</x:v>
      </x:c>
      <x:c r="S1083" s="51" t="str">
        <x:v>OFR reports that the majority of sponsored repo activity involves hedge funds as sponsored members.</x:v>
      </x:c>
      <x:c r="T1083" s="51" t="str">
        <x:v>Identical strategy or destabilising intent across all hedge funds.</x:v>
      </x:c>
      <x:c r="U1083" s="51" t="str">
        <x:v>Risk depends on leverage, basis trades and liquidity.</x:v>
      </x:c>
      <x:c r="V1083" s="51" t="str">
        <x:v>Active</x:v>
      </x:c>
      <x:c r="W1083" s="51" t="str">
        <x:v>48;57</x:v>
      </x:c>
      <x:c r="X1083" s="51" t="str">
        <x:v>2026-07-27</x:v>
      </x:c>
    </x:row>
    <x:row r="1084">
      <x:c r="A1084" s="51" t="str">
        <x:v>V17RES-001</x:v>
      </x:c>
      <x:c r="B1084" s="51" t="str">
        <x:v>G-SIB loss absorption, bail-in and resolution funding</x:v>
      </x:c>
      <x:c r="C1084" s="51" t="str">
        <x:v>ACT-FINANCIALSTABILITYBOARD</x:v>
      </x:c>
      <x:c r="D1084" s="51" t="str">
        <x:v>Financial Stability Board</x:v>
      </x:c>
      <x:c r="E1084" s="51" t="str">
        <x:v>ACT-RESOLUTIONAUTHORITIES</x:v>
      </x:c>
      <x:c r="F1084" s="51" t="str">
        <x:v>Resolution authorities</x:v>
      </x:c>
      <x:c r="G1084" s="51" t="str">
        <x:v>Global standard setter → national authorities</x:v>
      </x:c>
      <x:c r="H1084" s="51" t="str">
        <x:v>Ongoing</x:v>
      </x:c>
      <x:c r="I1084" s="51" t="str">
        <x:v>Key Attributes, TLAC and resolution guidance</x:v>
      </x:c>
      <x:c r="J1084" s="51" t="str">
        <x:v>INS-370; INS-371</x:v>
      </x:c>
      <x:c r="K1084" s="51" t="str">
        <x:v>29 G-SIBs on 2025 list</x:v>
      </x:c>
      <x:c r="L1084" s="51" t="str">
        <x:v>Global resolution standards and peer coordination</x:v>
      </x:c>
      <x:c r="M1084" s="51" t="str">
        <x:v>Domestic bail-in, transfer and funding frameworks</x:v>
      </x:c>
      <x:c r="N1084" s="51" t="str">
        <x:v>International standards coordinate national preparation for systemic-bank failure</x:v>
      </x:c>
      <x:c r="O1084" s="51" t="str">
        <x:v>Institutional; legal; systemic</x:v>
      </x:c>
      <x:c r="P1084" s="51" t="str">
        <x:v>E1</x:v>
      </x:c>
      <x:c r="Q1084" s="51" t="str">
        <x:v>Very high</x:v>
      </x:c>
      <x:c r="R1084" s="51" t="str">
        <x:v>SRC-750; SRC-751; SRC-752; SRC-797</x:v>
      </x:c>
      <x:c r="S1084" s="51" t="str">
        <x:v>The FSB identifies G-SIBs and sets resolution and TLAC standards.</x:v>
      </x:c>
      <x:c r="T1084" s="51" t="str">
        <x:v>Direct execution of bank resolution or automatic legal uniformity.</x:v>
      </x:c>
      <x:c r="U1084" s="51" t="str">
        <x:v>National law and cross-border cooperation determine implementation.</x:v>
      </x:c>
      <x:c r="V1084" s="51" t="str">
        <x:v>Active</x:v>
      </x:c>
      <x:c r="W1084" s="51" t="str">
        <x:v>48;57</x:v>
      </x:c>
      <x:c r="X1084" s="51" t="str">
        <x:v>2026-07-27</x:v>
      </x:c>
    </x:row>
    <x:row r="1085">
      <x:c r="A1085" s="51" t="str">
        <x:v>V17RES-002</x:v>
      </x:c>
      <x:c r="B1085" s="51" t="str">
        <x:v>G-SIB loss absorption, bail-in and resolution funding</x:v>
      </x:c>
      <x:c r="C1085" s="51" t="str">
        <x:v>ACT-GLOBALSYSTEMICALLYIMPORT</x:v>
      </x:c>
      <x:c r="D1085" s="51" t="str">
        <x:v>Global systemically important banks</x:v>
      </x:c>
      <x:c r="E1085" s="51" t="str">
        <x:v>ACT-TLACDEBTHOLDERS</x:v>
      </x:c>
      <x:c r="F1085" s="51" t="str">
        <x:v>TLAC debt holders</x:v>
      </x:c>
      <x:c r="G1085" s="51" t="str">
        <x:v>Bank → creditor</x:v>
      </x:c>
      <x:c r="H1085" s="51" t="str">
        <x:v>Ongoing</x:v>
      </x:c>
      <x:c r="I1085" s="51" t="str">
        <x:v>Eligible loss-absorbing liability issuance</x:v>
      </x:c>
      <x:c r="J1085" s="51" t="str">
        <x:v>INS-370</x:v>
      </x:c>
      <x:c r="K1085" s="51" t="str">
        <x:v>Firm-specific minimums</x:v>
      </x:c>
      <x:c r="L1085" s="51" t="str">
        <x:v>Debt funding and contractual claims</x:v>
      </x:c>
      <x:c r="M1085" s="51" t="str">
        <x:v>Bail-in-eligible loss-absorbing capacity</x:v>
      </x:c>
      <x:c r="N1085" s="51" t="str">
        <x:v>G-SIBs issue liabilities designed to be written down or converted in resolution</x:v>
      </x:c>
      <x:c r="O1085" s="51" t="str">
        <x:v>Financial; legal; ownership</x:v>
      </x:c>
      <x:c r="P1085" s="51" t="str">
        <x:v>E1</x:v>
      </x:c>
      <x:c r="Q1085" s="51" t="str">
        <x:v>High</x:v>
      </x:c>
      <x:c r="R1085" s="51" t="str">
        <x:v>SRC-750; SRC-752; SRC-796</x:v>
      </x:c>
      <x:c r="S1085" s="51" t="str">
        <x:v>G-SIBs must meet TLAC alongside capital requirements.</x:v>
      </x:c>
      <x:c r="T1085" s="51" t="str">
        <x:v>Losslessness, deposit insurance or identical instruments across banks.</x:v>
      </x:c>
      <x:c r="U1085" s="51" t="str">
        <x:v>Eligibility and position in the resolution entity matter.</x:v>
      </x:c>
      <x:c r="V1085" s="51" t="str">
        <x:v>Active</x:v>
      </x:c>
      <x:c r="W1085" s="51" t="str">
        <x:v>48;57</x:v>
      </x:c>
      <x:c r="X1085" s="51" t="str">
        <x:v>2026-07-27</x:v>
      </x:c>
    </x:row>
    <x:row r="1086">
      <x:c r="A1086" s="51" t="str">
        <x:v>V17RES-003</x:v>
      </x:c>
      <x:c r="B1086" s="51" t="str">
        <x:v>G-SIB loss absorption, bail-in and resolution funding</x:v>
      </x:c>
      <x:c r="C1086" s="51" t="str">
        <x:v>ACT-RESOLUTIONAUTHORITIES</x:v>
      </x:c>
      <x:c r="D1086" s="51" t="str">
        <x:v>Resolution authorities</x:v>
      </x:c>
      <x:c r="E1086" s="51" t="str">
        <x:v>ACT-TLACDEBTHOLDERS</x:v>
      </x:c>
      <x:c r="F1086" s="51" t="str">
        <x:v>TLAC debt holders</x:v>
      </x:c>
      <x:c r="G1086" s="51" t="str">
        <x:v>Authority → eligible creditors</x:v>
      </x:c>
      <x:c r="H1086" s="51" t="str">
        <x:v>Resolution event</x:v>
      </x:c>
      <x:c r="I1086" s="51" t="str">
        <x:v>Write-down or conversion</x:v>
      </x:c>
      <x:c r="J1086" s="51" t="str">
        <x:v>INS-371</x:v>
      </x:c>
      <x:c r="K1086" s="51" t="str">
        <x:v>Firm-specific</x:v>
      </x:c>
      <x:c r="L1086" s="51" t="str">
        <x:v>Eligible liabilities and statutory powers</x:v>
      </x:c>
      <x:c r="M1086" s="51" t="str">
        <x:v>Loss absorption and recapitalisation</x:v>
      </x:c>
      <x:c r="N1086" s="51" t="str">
        <x:v>Bail-in converts creditor claims into absorbed loss or new equity to restore capital</x:v>
      </x:c>
      <x:c r="O1086" s="51" t="str">
        <x:v>Legal; financial; ownership</x:v>
      </x:c>
      <x:c r="P1086" s="51" t="str">
        <x:v>E1</x:v>
      </x:c>
      <x:c r="Q1086" s="51" t="str">
        <x:v>High</x:v>
      </x:c>
      <x:c r="R1086" s="51" t="str">
        <x:v>SRC-751; SRC-752</x:v>
      </x:c>
      <x:c r="S1086" s="51" t="str">
        <x:v>TLAC is intended to support write-down and recapitalisation in resolution.</x:v>
      </x:c>
      <x:c r="T1086" s="51" t="str">
        <x:v>Automatic conversion in ordinary distress or use of insured deposits.</x:v>
      </x:c>
      <x:c r="U1086" s="51" t="str">
        <x:v>National execution and securities-law issues remain important.</x:v>
      </x:c>
      <x:c r="V1086" s="51" t="str">
        <x:v>Active contingency</x:v>
      </x:c>
      <x:c r="W1086" s="51" t="str">
        <x:v>48;57</x:v>
      </x:c>
      <x:c r="X1086" s="51" t="str">
        <x:v>2026-07-27</x:v>
      </x:c>
    </x:row>
    <x:row r="1087">
      <x:c r="A1087" s="51" t="str">
        <x:v>V17RES-004</x:v>
      </x:c>
      <x:c r="B1087" s="51" t="str">
        <x:v>G-SIB loss absorption, bail-in and resolution funding</x:v>
      </x:c>
      <x:c r="C1087" s="51" t="str">
        <x:v>ACT-TLACDEBTHOLDERS</x:v>
      </x:c>
      <x:c r="D1087" s="51" t="str">
        <x:v>TLAC debt holders</x:v>
      </x:c>
      <x:c r="E1087" s="51" t="str">
        <x:v>ACT-BAILINEQUITYHOLDERS</x:v>
      </x:c>
      <x:c r="F1087" s="51" t="str">
        <x:v>Bail-in equity holders</x:v>
      </x:c>
      <x:c r="G1087" s="51" t="str">
        <x:v>Creditor → post-resolution owner</x:v>
      </x:c>
      <x:c r="H1087" s="51" t="str">
        <x:v>Resolution event</x:v>
      </x:c>
      <x:c r="I1087" s="51" t="str">
        <x:v>Debt-to-equity conversion</x:v>
      </x:c>
      <x:c r="J1087" s="51" t="str">
        <x:v>INS-371</x:v>
      </x:c>
      <x:c r="K1087" s="51" t="str">
        <x:v>Resolution-specific</x:v>
      </x:c>
      <x:c r="L1087" s="51" t="str">
        <x:v>Written-down debt claim</x:v>
      </x:c>
      <x:c r="M1087" s="51" t="str">
        <x:v>New or interim equity interest</x:v>
      </x:c>
      <x:c r="N1087" s="51" t="str">
        <x:v>Bail-in can transfer ownership from pre-failure shareholders to creditors</x:v>
      </x:c>
      <x:c r="O1087" s="51" t="str">
        <x:v>Financial; legal; ownership</x:v>
      </x:c>
      <x:c r="P1087" s="51" t="str">
        <x:v>S1</x:v>
      </x:c>
      <x:c r="Q1087" s="51" t="str">
        <x:v>High</x:v>
      </x:c>
      <x:c r="R1087" s="51" t="str">
        <x:v>SRC-751; SRC-752</x:v>
      </x:c>
      <x:c r="S1087" s="51" t="str">
        <x:v>Bail-in frameworks contemplate conversion of eligible liabilities into equity.</x:v>
      </x:c>
      <x:c r="T1087" s="51" t="str">
        <x:v>Guaranteed recovery value or identical mechanism in every jurisdiction.</x:v>
      </x:c>
      <x:c r="U1087" s="51" t="str">
        <x:v>Open-bank and closed-bank execution differ.</x:v>
      </x:c>
      <x:c r="V1087" s="51" t="str">
        <x:v>Active contingency</x:v>
      </x:c>
      <x:c r="W1087" s="51" t="str">
        <x:v>48;57</x:v>
      </x:c>
      <x:c r="X1087" s="51" t="str">
        <x:v>2026-07-27</x:v>
      </x:c>
    </x:row>
    <x:row r="1088">
      <x:c r="A1088" s="51" t="str">
        <x:v>V17RES-005</x:v>
      </x:c>
      <x:c r="B1088" s="51" t="str">
        <x:v>G-SIB loss absorption, bail-in and resolution funding</x:v>
      </x:c>
      <x:c r="C1088" s="51" t="str">
        <x:v>ACT-RESOLUTIONAUTHORITIES</x:v>
      </x:c>
      <x:c r="D1088" s="51" t="str">
        <x:v>Resolution authorities</x:v>
      </x:c>
      <x:c r="E1088" s="51" t="str">
        <x:v>ACT-GLOBALSYSTEMICALLYIMPORT</x:v>
      </x:c>
      <x:c r="F1088" s="51" t="str">
        <x:v>Global systemically important banks</x:v>
      </x:c>
      <x:c r="G1088" s="51" t="str">
        <x:v>Authority → systemic bank</x:v>
      </x:c>
      <x:c r="H1088" s="51" t="str">
        <x:v>Pre-failure and resolution</x:v>
      </x:c>
      <x:c r="I1088" s="51" t="str">
        <x:v>Resolution planning and transfer tools</x:v>
      </x:c>
      <x:c r="J1088" s="51" t="str">
        <x:v>INS-369; INS-371</x:v>
      </x:c>
      <x:c r="K1088" s="51" t="str">
        <x:v>Firm-specific</x:v>
      </x:c>
      <x:c r="L1088" s="51" t="str">
        <x:v>Plans, valuations, operational continuity and funding arrangements</x:v>
      </x:c>
      <x:c r="M1088" s="51" t="str">
        <x:v>Executable resolution strategy</x:v>
      </x:c>
      <x:c r="N1088" s="51" t="str">
        <x:v>Resolution planning attempts to preserve critical functions while allocating losses to private stakeholders</x:v>
      </x:c>
      <x:c r="O1088" s="51" t="str">
        <x:v>Institutional; legal; systemic</x:v>
      </x:c>
      <x:c r="P1088" s="51" t="str">
        <x:v>E1</x:v>
      </x:c>
      <x:c r="Q1088" s="51" t="str">
        <x:v>High</x:v>
      </x:c>
      <x:c r="R1088" s="51" t="str">
        <x:v>SRC-749; SRC-751; SRC-753</x:v>
      </x:c>
      <x:c r="S1088" s="51" t="str">
        <x:v>Authorities require resolution planning and continue work on cross-border bail-in and funding.</x:v>
      </x:c>
      <x:c r="T1088" s="51" t="str">
        <x:v>Certainty that failure can be resolved without public liquidity or disruption.</x:v>
      </x:c>
      <x:c r="U1088" s="51" t="str">
        <x:v>Temporary public backstop funding may still be needed under strict conditions.</x:v>
      </x:c>
      <x:c r="V1088" s="51" t="str">
        <x:v>Implementation</x:v>
      </x:c>
      <x:c r="W1088" s="51" t="str">
        <x:v>48;57</x:v>
      </x:c>
      <x:c r="X1088" s="51" t="str">
        <x:v>2026-07-27</x:v>
      </x:c>
    </x:row>
    <x:row r="1089">
      <x:c r="A1089" s="51" t="str">
        <x:v>V17RISK-001</x:v>
      </x:c>
      <x:c r="B1089" s="51" t="str">
        <x:v>Bank asset valuation, collateral and liquidity stress</x:v>
      </x:c>
      <x:c r="C1089" s="51" t="str">
        <x:v>ACT-BANKLOANSANDSECURITIES</x:v>
      </x:c>
      <x:c r="D1089" s="51" t="str">
        <x:v>Bank loans and securities</x:v>
      </x:c>
      <x:c r="E1089" s="51" t="str">
        <x:v>ACT-COMMERCIALBANKS</x:v>
      </x:c>
      <x:c r="F1089" s="51" t="str">
        <x:v>Commercial banks</x:v>
      </x:c>
      <x:c r="G1089" s="51" t="str">
        <x:v>Asset portfolio → bank</x:v>
      </x:c>
      <x:c r="H1089" s="51" t="str">
        <x:v>Ongoing</x:v>
      </x:c>
      <x:c r="I1089" s="51" t="str">
        <x:v>Interest-rate and credit valuation</x:v>
      </x:c>
      <x:c r="J1089" s="51" t="str">
        <x:v>INS-386</x:v>
      </x:c>
      <x:c r="K1089" s="51" t="str">
        <x:v>$481 billion aggregate unrealised securities losses at year-end 2024</x:v>
      </x:c>
      <x:c r="L1089" s="51" t="str">
        <x:v>Market-rate changes and asset duration</x:v>
      </x:c>
      <x:c r="M1089" s="51" t="str">
        <x:v>Unrealised or realised bank loss</x:v>
      </x:c>
      <x:c r="N1089" s="51" t="str">
        <x:v>Long-duration securities can preserve contractual cash flows while reducing market value and sale liquidity</x:v>
      </x:c>
      <x:c r="O1089" s="51" t="str">
        <x:v>Financial; informational; systemic</x:v>
      </x:c>
      <x:c r="P1089" s="51" t="str">
        <x:v>E1</x:v>
      </x:c>
      <x:c r="Q1089" s="51" t="str">
        <x:v>High</x:v>
      </x:c>
      <x:c r="R1089" s="51" t="str">
        <x:v>SRC-789</x:v>
      </x:c>
      <x:c r="S1089" s="51" t="str">
        <x:v>OFR measured elevated unrealised securities losses at FDIC-insured depositories.</x:v>
      </x:c>
      <x:c r="T1089" s="51" t="str">
        <x:v>Immediate insolvency or equal losses at every bank.</x:v>
      </x:c>
      <x:c r="U1089" s="51" t="str">
        <x:v>Accounting classification, hedging and funding stability matter.</x:v>
      </x:c>
      <x:c r="V1089" s="51" t="str">
        <x:v>Current risk</x:v>
      </x:c>
      <x:c r="W1089" s="51" t="str">
        <x:v>48;57</x:v>
      </x:c>
      <x:c r="X1089" s="51" t="str">
        <x:v>2026-07-27</x:v>
      </x:c>
    </x:row>
    <x:row r="1090">
      <x:c r="A1090" s="51" t="str">
        <x:v>V17RISK-002</x:v>
      </x:c>
      <x:c r="B1090" s="51" t="str">
        <x:v>Bank asset valuation, collateral and liquidity stress</x:v>
      </x:c>
      <x:c r="C1090" s="51" t="str">
        <x:v>ACT-COMMERCIALBANKS</x:v>
      </x:c>
      <x:c r="D1090" s="51" t="str">
        <x:v>Commercial banks</x:v>
      </x:c>
      <x:c r="E1090" s="51" t="str">
        <x:v>ACT-DISCOUNTWINDOW</x:v>
      </x:c>
      <x:c r="F1090" s="51" t="str">
        <x:v>Discount Window</x:v>
      </x:c>
      <x:c r="G1090" s="51" t="str">
        <x:v>Bank → collateral facility</x:v>
      </x:c>
      <x:c r="H1090" s="51" t="str">
        <x:v>Stress period</x:v>
      </x:c>
      <x:c r="I1090" s="51" t="str">
        <x:v>Pledge of loans and securities</x:v>
      </x:c>
      <x:c r="J1090" s="51" t="str">
        <x:v>INS-372; INS-386</x:v>
      </x:c>
      <x:c r="K1090" s="51" t="str">
        <x:v>Bank-specific</x:v>
      </x:c>
      <x:c r="L1090" s="51" t="str">
        <x:v>Illiquid or depreciated bank assets</x:v>
      </x:c>
      <x:c r="M1090" s="51" t="str">
        <x:v>Liquidity at haircut-adjusted lending value</x:v>
      </x:c>
      <x:c r="N1090" s="51" t="str">
        <x:v>Collateral facilities can prevent forced sale of assets at depressed market prices</x:v>
      </x:c>
      <x:c r="O1090" s="51" t="str">
        <x:v>Financial; monetary; operational</x:v>
      </x:c>
      <x:c r="P1090" s="51" t="str">
        <x:v>S1</x:v>
      </x:c>
      <x:c r="Q1090" s="51" t="str">
        <x:v>High</x:v>
      </x:c>
      <x:c r="R1090" s="51" t="str">
        <x:v>SRC-763; SRC-789</x:v>
      </x:c>
      <x:c r="S1090" s="51" t="str">
        <x:v>The discount window accepts broad collateral at assigned lending values.</x:v>
      </x:c>
      <x:c r="T1090" s="51" t="str">
        <x:v>Removal of underlying credit or duration loss.</x:v>
      </x:c>
      <x:c r="U1090" s="51" t="str">
        <x:v>Liquidity assistance does not restore economic asset value.</x:v>
      </x:c>
      <x:c r="V1090" s="51" t="str">
        <x:v>Active contingency</x:v>
      </x:c>
      <x:c r="W1090" s="51" t="str">
        <x:v>48;57</x:v>
      </x:c>
      <x:c r="X1090" s="51" t="str">
        <x:v>2026-07-27</x:v>
      </x:c>
    </x:row>
    <x:row r="1091">
      <x:c r="A1091" s="51" t="str">
        <x:v>V17SL-001</x:v>
      </x:c>
      <x:c r="B1091" s="51" t="str">
        <x:v>Securities lending, temporary title and market inventory</x:v>
      </x:c>
      <x:c r="C1091" s="51" t="str">
        <x:v>ACT-SECURITIESLENDERS</x:v>
      </x:c>
      <x:c r="D1091" s="51" t="str">
        <x:v>Securities lenders</x:v>
      </x:c>
      <x:c r="E1091" s="51" t="str">
        <x:v>ACT-SECURITIESBORROWERS</x:v>
      </x:c>
      <x:c r="F1091" s="51" t="str">
        <x:v>Securities borrowers</x:v>
      </x:c>
      <x:c r="G1091" s="51" t="str">
        <x:v>Lender → borrower</x:v>
      </x:c>
      <x:c r="H1091" s="51" t="str">
        <x:v>Loan term</x:v>
      </x:c>
      <x:c r="I1091" s="51" t="str">
        <x:v>Temporary securities transfer</x:v>
      </x:c>
      <x:c r="J1091" s="51" t="str">
        <x:v>INS-384</x:v>
      </x:c>
      <x:c r="K1091" s="51" t="str">
        <x:v>Loan-specific</x:v>
      </x:c>
      <x:c r="L1091" s="51" t="str">
        <x:v>Securities plus recall terms</x:v>
      </x:c>
      <x:c r="M1091" s="51" t="str">
        <x:v>Temporary possession and use</x:v>
      </x:c>
      <x:c r="N1091" s="51" t="str">
        <x:v>Securities lending separates beneficial investment exposure from temporary market use of the asset</x:v>
      </x:c>
      <x:c r="O1091" s="51" t="str">
        <x:v>Financial; legal; ownership</x:v>
      </x:c>
      <x:c r="P1091" s="51" t="str">
        <x:v>E1</x:v>
      </x:c>
      <x:c r="Q1091" s="51" t="str">
        <x:v>High</x:v>
      </x:c>
      <x:c r="R1091" s="51" t="str">
        <x:v>SRC-775</x:v>
      </x:c>
      <x:c r="S1091" s="51" t="str">
        <x:v>Securities borrowing is used for dealer inventory and market activity.</x:v>
      </x:c>
      <x:c r="T1091" s="51" t="str">
        <x:v>Permanent sale of beneficial ownership or transfer of all economic rights.</x:v>
      </x:c>
      <x:c r="U1091" s="51" t="str">
        <x:v>Manufactured payments, voting and recalls depend on contract terms.</x:v>
      </x:c>
      <x:c r="V1091" s="51" t="str">
        <x:v>Active</x:v>
      </x:c>
      <x:c r="W1091" s="51" t="str">
        <x:v>48;57</x:v>
      </x:c>
      <x:c r="X1091" s="51" t="str">
        <x:v>2026-07-27</x:v>
      </x:c>
    </x:row>
    <x:row r="1092">
      <x:c r="A1092" s="51" t="str">
        <x:v>V17SL-002</x:v>
      </x:c>
      <x:c r="B1092" s="51" t="str">
        <x:v>Securities lending, temporary title and market inventory</x:v>
      </x:c>
      <x:c r="C1092" s="51" t="str">
        <x:v>ACT-SECURITIESBORROWERS</x:v>
      </x:c>
      <x:c r="D1092" s="51" t="str">
        <x:v>Securities borrowers</x:v>
      </x:c>
      <x:c r="E1092" s="51" t="str">
        <x:v>ACT-SECURITIESLENDERS</x:v>
      </x:c>
      <x:c r="F1092" s="51" t="str">
        <x:v>Securities lenders</x:v>
      </x:c>
      <x:c r="G1092" s="51" t="str">
        <x:v>Borrower → lender</x:v>
      </x:c>
      <x:c r="H1092" s="51" t="str">
        <x:v>Loan term</x:v>
      </x:c>
      <x:c r="I1092" s="51" t="str">
        <x:v>Collateral and lending fee</x:v>
      </x:c>
      <x:c r="J1092" s="51" t="str">
        <x:v>INS-384</x:v>
      </x:c>
      <x:c r="K1092" s="51" t="str">
        <x:v>Loan-specific</x:v>
      </x:c>
      <x:c r="L1092" s="51" t="str">
        <x:v>Cash or securities collateral plus fee</x:v>
      </x:c>
      <x:c r="M1092" s="51" t="str">
        <x:v>Credit protection and lending income</x:v>
      </x:c>
      <x:c r="N1092" s="51" t="str">
        <x:v>Collateral and fees compensate the lender for temporary loss of possession and counterparty risk</x:v>
      </x:c>
      <x:c r="O1092" s="51" t="str">
        <x:v>Financial; legal; relational</x:v>
      </x:c>
      <x:c r="P1092" s="51" t="str">
        <x:v>E1</x:v>
      </x:c>
      <x:c r="Q1092" s="51" t="str">
        <x:v>High</x:v>
      </x:c>
      <x:c r="R1092" s="51" t="str">
        <x:v>SRC-775</x:v>
      </x:c>
      <x:c r="S1092" s="51" t="str">
        <x:v>Securities lending involves collateralised temporary borrowing.</x:v>
      </x:c>
      <x:c r="T1092" s="51" t="str">
        <x:v>Zero counterparty risk or guaranteed collateral sufficiency.</x:v>
      </x:c>
      <x:c r="U1092" s="51" t="str">
        <x:v>Mark-to-market and recall risk remain.</x:v>
      </x:c>
      <x:c r="V1092" s="51" t="str">
        <x:v>Active</x:v>
      </x:c>
      <x:c r="W1092" s="51" t="str">
        <x:v>48;57</x:v>
      </x:c>
      <x:c r="X1092" s="51" t="str">
        <x:v>2026-07-27</x:v>
      </x:c>
    </x:row>
    <x:row r="1093">
      <x:c r="A1093" s="51" t="str">
        <x:v>V17SL-003</x:v>
      </x:c>
      <x:c r="B1093" s="51" t="str">
        <x:v>Securities lending, temporary title and market inventory</x:v>
      </x:c>
      <x:c r="C1093" s="51" t="str">
        <x:v>ACT-PRIMEBROKERS</x:v>
      </x:c>
      <x:c r="D1093" s="51" t="str">
        <x:v>Prime brokers</x:v>
      </x:c>
      <x:c r="E1093" s="51" t="str">
        <x:v>ACT-HEDGEFUNDS</x:v>
      </x:c>
      <x:c r="F1093" s="51" t="str">
        <x:v>Hedge funds</x:v>
      </x:c>
      <x:c r="G1093" s="51" t="str">
        <x:v>Intermediary → fund</x:v>
      </x:c>
      <x:c r="H1093" s="51" t="str">
        <x:v>Ongoing</x:v>
      </x:c>
      <x:c r="I1093" s="51" t="str">
        <x:v>Financing and securities-borrow access</x:v>
      </x:c>
      <x:c r="J1093" s="51" t="str">
        <x:v>INS-384</x:v>
      </x:c>
      <x:c r="K1093" s="51" t="str">
        <x:v>Client-specific</x:v>
      </x:c>
      <x:c r="L1093" s="51" t="str">
        <x:v>Prime-broker balance sheet and lender network</x:v>
      </x:c>
      <x:c r="M1093" s="51" t="str">
        <x:v>Borrowed securities and leveraged market access</x:v>
      </x:c>
      <x:c r="N1093" s="51" t="str">
        <x:v>Prime brokers convert institutional custody and lender networks into tradable inventory for hedge funds</x:v>
      </x:c>
      <x:c r="O1093" s="51" t="str">
        <x:v>Financial; relational; systemic</x:v>
      </x:c>
      <x:c r="P1093" s="51" t="str">
        <x:v>S1</x:v>
      </x:c>
      <x:c r="Q1093" s="51" t="str">
        <x:v>High</x:v>
      </x:c>
      <x:c r="R1093" s="51" t="str">
        <x:v>SRC-775</x:v>
      </x:c>
      <x:c r="S1093" s="51" t="str">
        <x:v>Prime brokers provide securities lending and financing services to investment funds.</x:v>
      </x:c>
      <x:c r="T1093" s="51" t="str">
        <x:v>Control of every fund position or guaranteed recall availability.</x:v>
      </x:c>
      <x:c r="U1093" s="51" t="str">
        <x:v>Inventory and terms change with market conditions.</x:v>
      </x:c>
      <x:c r="V1093" s="51" t="str">
        <x:v>Active</x:v>
      </x:c>
      <x:c r="W1093" s="51" t="str">
        <x:v>48;57</x:v>
      </x:c>
      <x:c r="X1093" s="51" t="str">
        <x:v>2026-07-27</x:v>
      </x:c>
    </x:row>
    <x:row r="1094">
      <x:c r="A1094" s="51" t="str">
        <x:v>V17SL-004</x:v>
      </x:c>
      <x:c r="B1094" s="51" t="str">
        <x:v>Securities lending, temporary title and market inventory</x:v>
      </x:c>
      <x:c r="C1094" s="51" t="str">
        <x:v>ACT-SECURITIESLENDERS</x:v>
      </x:c>
      <x:c r="D1094" s="51" t="str">
        <x:v>Securities lenders</x:v>
      </x:c>
      <x:c r="E1094" s="51" t="str">
        <x:v>ACT-SECURITIESBORROWERS</x:v>
      </x:c>
      <x:c r="F1094" s="51" t="str">
        <x:v>Securities borrowers</x:v>
      </x:c>
      <x:c r="G1094" s="51" t="str">
        <x:v>Lender recall → borrower</x:v>
      </x:c>
      <x:c r="H1094" s="51" t="str">
        <x:v>On demand or contract event</x:v>
      </x:c>
      <x:c r="I1094" s="51" t="str">
        <x:v>Security recall</x:v>
      </x:c>
      <x:c r="J1094" s="51" t="str">
        <x:v>INS-384</x:v>
      </x:c>
      <x:c r="K1094" s="51" t="str">
        <x:v>Security-specific</x:v>
      </x:c>
      <x:c r="L1094" s="51" t="str">
        <x:v>Contractual recall right</x:v>
      </x:c>
      <x:c r="M1094" s="51" t="str">
        <x:v>Return of lent security</x:v>
      </x:c>
      <x:c r="N1094" s="51" t="str">
        <x:v>Recall rights preserve the lender's ability to regain possession for sale, voting or settlement</x:v>
      </x:c>
      <x:c r="O1094" s="51" t="str">
        <x:v>Legal; ownership; operational</x:v>
      </x:c>
      <x:c r="P1094" s="51" t="str">
        <x:v>E1</x:v>
      </x:c>
      <x:c r="Q1094" s="51" t="str">
        <x:v>High</x:v>
      </x:c>
      <x:c r="R1094" s="51" t="str">
        <x:v>SRC-775</x:v>
      </x:c>
      <x:c r="S1094" s="51" t="str">
        <x:v>OFR notes securities-lending contracts often allow lender recall.</x:v>
      </x:c>
      <x:c r="T1094" s="51" t="str">
        <x:v>Immediate return without settlement risk in every condition.</x:v>
      </x:c>
      <x:c r="U1094" s="51" t="str">
        <x:v>Borrowers may need to source replacement securities.</x:v>
      </x:c>
      <x:c r="V1094" s="51" t="str">
        <x:v>Active</x:v>
      </x:c>
      <x:c r="W1094" s="51" t="str">
        <x:v>48;57</x:v>
      </x:c>
      <x:c r="X1094" s="51" t="str">
        <x:v>2026-07-27</x:v>
      </x:c>
    </x:row>
    <x:row r="1095">
      <x:c r="A1095" s="51" t="str">
        <x:v>V17TRI-001</x:v>
      </x:c>
      <x:c r="B1095" s="51" t="str">
        <x:v>Tri-party repo and collateral-management concentration</x:v>
      </x:c>
      <x:c r="C1095" s="51" t="str">
        <x:v>ACT-BANKOFNEWYORKMELLON</x:v>
      </x:c>
      <x:c r="D1095" s="51" t="str">
        <x:v>Bank of New York Mellon</x:v>
      </x:c>
      <x:c r="E1095" s="51" t="str">
        <x:v>ACT-TRIPARTYREPOMARKET</x:v>
      </x:c>
      <x:c r="F1095" s="51" t="str">
        <x:v>Tri-party repo market</x:v>
      </x:c>
      <x:c r="G1095" s="51" t="str">
        <x:v>Clearing bank → venue</x:v>
      </x:c>
      <x:c r="H1095" s="51" t="str">
        <x:v>Current 2026</x:v>
      </x:c>
      <x:c r="I1095" s="51" t="str">
        <x:v>Settlement, custody and collateral management</x:v>
      </x:c>
      <x:c r="J1095" s="51" t="str">
        <x:v>INS-378; INS-385</x:v>
      </x:c>
      <x:c r="K1095" s="51" t="str">
        <x:v>Multi-trillion-dollar infrastructure</x:v>
      </x:c>
      <x:c r="L1095" s="51" t="str">
        <x:v>Accounts, securities prices and settlement systems</x:v>
      </x:c>
      <x:c r="M1095" s="51" t="str">
        <x:v>Operational completion of repo transactions</x:v>
      </x:c>
      <x:c r="N1095" s="51" t="str">
        <x:v>A single collateral agent can become critical infrastructure for a large funding market</x:v>
      </x:c>
      <x:c r="O1095" s="51" t="str">
        <x:v>Operational; institutional; systemic</x:v>
      </x:c>
      <x:c r="P1095" s="51" t="str">
        <x:v>E1</x:v>
      </x:c>
      <x:c r="Q1095" s="51" t="str">
        <x:v>Very high</x:v>
      </x:c>
      <x:c r="R1095" s="51" t="str">
        <x:v>SRC-783; SRC-785; SRC-787</x:v>
      </x:c>
      <x:c r="S1095" s="51" t="str">
        <x:v>Federal Reserve sources identify BNY as the tri-party repo clearing and collateral-management bank.</x:v>
      </x:c>
      <x:c r="T1095" s="51" t="str">
        <x:v>Beneficial ownership of all repo collateral or credit guarantee of all trades.</x:v>
      </x:c>
      <x:c r="U1095" s="51" t="str">
        <x:v>BNY provides infrastructure while counterparties retain contract risk.</x:v>
      </x:c>
      <x:c r="V1095" s="51" t="str">
        <x:v>Active</x:v>
      </x:c>
      <x:c r="W1095" s="51" t="str">
        <x:v>48;57</x:v>
      </x:c>
      <x:c r="X1095" s="51" t="str">
        <x:v>2026-07-27</x:v>
      </x:c>
    </x:row>
    <x:row r="1096">
      <x:c r="A1096" s="51" t="str">
        <x:v>V17TRI-002</x:v>
      </x:c>
      <x:c r="B1096" s="51" t="str">
        <x:v>Tri-party repo and collateral-management concentration</x:v>
      </x:c>
      <x:c r="C1096" s="51" t="str">
        <x:v>ACT-COLLATERALMANAGEMENTAGEN</x:v>
      </x:c>
      <x:c r="D1096" s="51" t="str">
        <x:v>Collateral management agents</x:v>
      </x:c>
      <x:c r="E1096" s="51" t="str">
        <x:v>ACT-REPOCASHLENDERS</x:v>
      </x:c>
      <x:c r="F1096" s="51" t="str">
        <x:v>Repo cash lenders</x:v>
      </x:c>
      <x:c r="G1096" s="51" t="str">
        <x:v>Agent → lender</x:v>
      </x:c>
      <x:c r="H1096" s="51" t="str">
        <x:v>Repo lifecycle</x:v>
      </x:c>
      <x:c r="I1096" s="51" t="str">
        <x:v>Collateral valuation, allocation and substitution</x:v>
      </x:c>
      <x:c r="J1096" s="51" t="str">
        <x:v>INS-378; INS-385</x:v>
      </x:c>
      <x:c r="K1096" s="51" t="str">
        <x:v>Trade-specific</x:v>
      </x:c>
      <x:c r="L1096" s="51" t="str">
        <x:v>Security data, haircuts and account instructions</x:v>
      </x:c>
      <x:c r="M1096" s="51" t="str">
        <x:v>Protected collateral position</x:v>
      </x:c>
      <x:c r="N1096" s="51" t="str">
        <x:v>Collateral agents convert legal eligibility and market values into operationally usable secured positions</x:v>
      </x:c>
      <x:c r="O1096" s="51" t="str">
        <x:v>Informational; operational; financial</x:v>
      </x:c>
      <x:c r="P1096" s="51" t="str">
        <x:v>E1</x:v>
      </x:c>
      <x:c r="Q1096" s="51" t="str">
        <x:v>High</x:v>
      </x:c>
      <x:c r="R1096" s="51" t="str">
        <x:v>SRC-786; SRC-788</x:v>
      </x:c>
      <x:c r="S1096" s="51" t="str">
        <x:v>Collateral platforms value, allocate and optimise securities across transactions.</x:v>
      </x:c>
      <x:c r="T1096" s="51" t="str">
        <x:v>Guarantee of borrower performance or elimination of wrong-way risk.</x:v>
      </x:c>
      <x:c r="U1096" s="51" t="str">
        <x:v>Agent processes depend on accurate data and legal arrangements.</x:v>
      </x:c>
      <x:c r="V1096" s="51" t="str">
        <x:v>Active</x:v>
      </x:c>
      <x:c r="W1096" s="51" t="str">
        <x:v>48;57</x:v>
      </x:c>
      <x:c r="X1096" s="51" t="str">
        <x:v>2026-07-27</x:v>
      </x:c>
    </x:row>
    <x:row r="1097">
      <x:c r="A1097" s="51" t="str">
        <x:v>V17TRI-003</x:v>
      </x:c>
      <x:c r="B1097" s="51" t="str">
        <x:v>Tri-party repo and collateral-management concentration</x:v>
      </x:c>
      <x:c r="C1097" s="51" t="str">
        <x:v>ACT-REPOCASHBORROWERS</x:v>
      </x:c>
      <x:c r="D1097" s="51" t="str">
        <x:v>Repo cash borrowers</x:v>
      </x:c>
      <x:c r="E1097" s="51" t="str">
        <x:v>ACT-BANKOFNEWYORKMELLON</x:v>
      </x:c>
      <x:c r="F1097" s="51" t="str">
        <x:v>Bank of New York Mellon</x:v>
      </x:c>
      <x:c r="G1097" s="51" t="str">
        <x:v>Dealer → clearing bank</x:v>
      </x:c>
      <x:c r="H1097" s="51" t="str">
        <x:v>Trade lifecycle</x:v>
      </x:c>
      <x:c r="I1097" s="51" t="str">
        <x:v>Collateral delivery and settlement instruction</x:v>
      </x:c>
      <x:c r="J1097" s="51" t="str">
        <x:v>INS-378; INS-385</x:v>
      </x:c>
      <x:c r="K1097" s="51" t="str">
        <x:v>Account-specific</x:v>
      </x:c>
      <x:c r="L1097" s="51" t="str">
        <x:v>Securities inventory and repo obligations</x:v>
      </x:c>
      <x:c r="M1097" s="51" t="str">
        <x:v>Allocated collateral and cash settlement</x:v>
      </x:c>
      <x:c r="N1097" s="51" t="str">
        <x:v>Dealers rely on custody infrastructure to transform inventories into secured funding</x:v>
      </x:c>
      <x:c r="O1097" s="51" t="str">
        <x:v>Operational; financial; relational</x:v>
      </x:c>
      <x:c r="P1097" s="51" t="str">
        <x:v>E1</x:v>
      </x:c>
      <x:c r="Q1097" s="51" t="str">
        <x:v>High</x:v>
      </x:c>
      <x:c r="R1097" s="51" t="str">
        <x:v>SRC-783; SRC-785</x:v>
      </x:c>
      <x:c r="S1097" s="51" t="str">
        <x:v>BNY provides tri-party settlement and collateral services.</x:v>
      </x:c>
      <x:c r="T1097" s="51" t="str">
        <x:v>BNY acting as the economic lender in every trade.</x:v>
      </x:c>
      <x:c r="U1097" s="51" t="str">
        <x:v>The cash lender and borrower remain principal counterparties.</x:v>
      </x:c>
      <x:c r="V1097" s="51" t="str">
        <x:v>Active</x:v>
      </x:c>
      <x:c r="W1097" s="51" t="str">
        <x:v>48;57</x:v>
      </x:c>
      <x:c r="X1097" s="51" t="str">
        <x:v>2026-07-27</x:v>
      </x:c>
    </x:row>
  </x:sheetData>
  <x:mergeCells>
    <x:mergeCell ref="A1:X1"/>
    <x:mergeCell ref="A2:X2"/>
  </x:mergeCells>
  <x:conditionalFormatting sqref="P5:P1097">
    <x:cfRule type="expression" dxfId="0" priority="1">
      <x:formula>P5="E1"</x:formula>
    </x:cfRule>
    <x:cfRule type="expression" dxfId="1" priority="2">
      <x:formula>P5="E2"</x:formula>
    </x:cfRule>
    <x:cfRule type="expression" dxfId="2" priority="3">
      <x:formula>P5="S1"</x:formula>
    </x:cfRule>
    <x:cfRule type="expression" dxfId="3" priority="4">
      <x:formula>P5="A1"</x:formula>
    </x:cfRule>
    <x:cfRule type="expression" dxfId="4" priority="5">
      <x:formula>P5="U1"</x:formula>
    </x:cfRule>
    <x:cfRule type="expression" dxfId="5" priority="6">
      <x:formula>P5="N1"</x:formula>
    </x:cfRule>
  </x:conditionalFormatting>
  <x:dataValidations count="2">
    <x:dataValidation type="list" sqref="P5:P1097">
      <x:formula1>"E1,E2,S1,A1,U1,N1"</x:formula1>
    </x:dataValidation>
    <x:dataValidation type="list" sqref="Q5:Q1097">
      <x:formula1>"Very high,High,Moderate,Low,Very 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8fdd4fcce844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41" hidden="0" customWidth="1"/>
    <x:col min="4" max="4" width="41" hidden="0" customWidth="1"/>
    <x:col min="5" max="5" width="24" hidden="0" customWidth="1"/>
    <x:col min="6" max="6" width="21" hidden="0" customWidth="1"/>
    <x:col min="7" max="7" width="44" hidden="0" customWidth="1"/>
    <x:col min="8" max="8" width="21" hidden="0" customWidth="1"/>
    <x:col min="9" max="9" width="31" hidden="0" customWidth="1"/>
    <x:col min="10" max="10" width="42" hidden="0" customWidth="1"/>
    <x:col min="11" max="11" width="42" hidden="0" customWidth="1"/>
    <x:col min="12" max="12" width="70" hidden="0" customWidth="1"/>
    <x:col min="13" max="13" width="14" hidden="0" customWidth="1"/>
    <x:col min="14" max="14" width="14" hidden="0" customWidth="1"/>
    <x:col min="15" max="15" width="38" hidden="0" customWidth="1"/>
    <x:col min="16" max="16" width="71" hidden="0" customWidth="1"/>
    <x:col min="17" max="17" width="71" hidden="0" customWidth="1"/>
    <x:col min="18" max="18" width="69" hidden="0" customWidth="1"/>
    <x:col min="19" max="19" width="32" hidden="0" customWidth="1"/>
  </x:cols>
  <x:sheetData>
    <x:row r="1" ht="31" customHeight="1">
      <x:c r="A1" s="5" t="str">
        <x:v>Banking, Repo, Money-Fund, Deposit-Insurance and Resolution Layer</x:v>
      </x:c>
    </x:row>
    <x:row r="2">
      <x:c r="A2" s="12" t="str">
        <x:v>Only V17 edges. Money creation, funding, collateral, insurance, resolution and final loss bearing remain separately graded.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Direction</x:v>
      </x:c>
      <x:c r="F4" s="50" t="str">
        <x:v>Date / period</x:v>
      </x:c>
      <x:c r="G4" s="50" t="str">
        <x:v>Edge type</x:v>
      </x:c>
      <x:c r="H4" s="50" t="str">
        <x:v>Instrument ID</x:v>
      </x:c>
      <x:c r="I4" s="50" t="str">
        <x:v>Amount / scale</x:v>
      </x:c>
      <x:c r="J4" s="50" t="str">
        <x:v>Conversion input</x:v>
      </x:c>
      <x:c r="K4" s="50" t="str">
        <x:v>Conversion output</x:v>
      </x:c>
      <x:c r="L4" s="50" t="str">
        <x:v>Conversion mechanism</x:v>
      </x:c>
      <x:c r="M4" s="50" t="str">
        <x:v>Evidence grade</x:v>
      </x:c>
      <x:c r="N4" s="50" t="str">
        <x:v>Confidence</x:v>
      </x:c>
      <x:c r="O4" s="50" t="str">
        <x:v>Source IDs</x:v>
      </x:c>
      <x:c r="P4" s="50" t="str">
        <x:v>What evidence establishes</x:v>
      </x:c>
      <x:c r="Q4" s="50" t="str">
        <x:v>What evidence does not establish</x:v>
      </x:c>
      <x:c r="R4" s="50" t="str">
        <x:v>Competing explanation / caveat</x:v>
      </x:c>
      <x:c r="S4" s="50" t="str">
        <x:v>Status</x:v>
      </x:c>
    </x:row>
    <x:row r="5">
      <x:c r="A5" s="51" t="str">
        <x:v>V17BANK-001</x:v>
      </x:c>
      <x:c r="B5" s="51" t="str">
        <x:v>Bank deposit creation, settlement and maturity transformation</x:v>
      </x:c>
      <x:c r="C5" s="51" t="str">
        <x:v>Commercial banks</x:v>
      </x:c>
      <x:c r="D5" s="51" t="str">
        <x:v>Bank loans and securities</x:v>
      </x:c>
      <x:c r="E5" s="51" t="str">
        <x:v>Bank → asset</x:v>
      </x:c>
      <x:c r="F5" s="51" t="str">
        <x:v>Ongoing</x:v>
      </x:c>
      <x:c r="G5" s="51" t="str">
        <x:v>Loan origination or nonbank asset purchase</x:v>
      </x:c>
      <x:c r="H5" s="51" t="str">
        <x:v>INS-359; INS-360</x:v>
      </x:c>
      <x:c r="I5" s="51" t="str">
        <x:v>Bank-specific</x:v>
      </x:c>
      <x:c r="J5" s="51" t="str">
        <x:v>Credit decision and balance-sheet capacity</x:v>
      </x:c>
      <x:c r="K5" s="51" t="str">
        <x:v>Loan or securities asset</x:v>
      </x:c>
      <x:c r="L5" s="51" t="str">
        <x:v>Banks create earning assets subject to capital, liquidity and risk constraints</x:v>
      </x:c>
      <x:c r="M5" s="51" t="str">
        <x:v>E1</x:v>
      </x:c>
      <x:c r="N5" s="51" t="str">
        <x:v>Very high</x:v>
      </x:c>
      <x:c r="O5" s="51" t="str">
        <x:v>SRC-736; SRC-737; SRC-738</x:v>
      </x:c>
      <x:c r="P5" s="51" t="str">
        <x:v>Commercial banks extend loans and purchase assets as part of balance-sheet activity.</x:v>
      </x:c>
      <x:c r="Q5" s="51" t="str">
        <x:v>Unlimited lending capacity or absence of funding and capital constraints.</x:v>
      </x:c>
      <x:c r="R5" s="51" t="str">
        <x:v>Credit quality, regulation, settlement outflows and profitability constrain expansion.</x:v>
      </x:c>
      <x:c r="S5" s="51" t="str">
        <x:v>Active</x:v>
      </x:c>
    </x:row>
    <x:row r="6">
      <x:c r="A6" s="51" t="str">
        <x:v>V17BANK-002</x:v>
      </x:c>
      <x:c r="B6" s="51" t="str">
        <x:v>Bank deposit creation, settlement and maturity transformation</x:v>
      </x:c>
      <x:c r="C6" s="51" t="str">
        <x:v>Commercial banks</x:v>
      </x:c>
      <x:c r="D6" s="51" t="str">
        <x:v>Bank deposits</x:v>
      </x:c>
      <x:c r="E6" s="51" t="str">
        <x:v>Bank → liability</x:v>
      </x:c>
      <x:c r="F6" s="51" t="str">
        <x:v>At loan or asset purchase</x:v>
      </x:c>
      <x:c r="G6" s="51" t="str">
        <x:v>Deposit creation</x:v>
      </x:c>
      <x:c r="H6" s="51" t="str">
        <x:v>INS-359</x:v>
      </x:c>
      <x:c r="I6" s="51" t="str">
        <x:v>Transaction-specific</x:v>
      </x:c>
      <x:c r="J6" s="51" t="str">
        <x:v>Bank credit extension or payment to nonbank</x:v>
      </x:c>
      <x:c r="K6" s="51" t="str">
        <x:v>New deposit liability</x:v>
      </x:c>
      <x:c r="L6" s="51" t="str">
        <x:v>Bank lending or asset purchases from nonbanks can create matching commercial-bank deposits</x:v>
      </x:c>
      <x:c r="M6" s="51" t="str">
        <x:v>E1</x:v>
      </x:c>
      <x:c r="N6" s="51" t="str">
        <x:v>Very high</x:v>
      </x:c>
      <x:c r="O6" s="51" t="str">
        <x:v>SRC-736; SRC-737</x:v>
      </x:c>
      <x:c r="P6" s="51" t="str">
        <x:v>Official central-bank sources explain that bank lending creates deposit liabilities.</x:v>
      </x:c>
      <x:c r="Q6" s="51" t="str">
        <x:v>Creation of central-bank reserves or permanent retention of the deposit at the same bank.</x:v>
      </x:c>
      <x:c r="R6" s="51" t="str">
        <x:v>Payments can move deposits and require interbank settlement.</x:v>
      </x:c>
      <x:c r="S6" s="51" t="str">
        <x:v>Active</x:v>
      </x:c>
    </x:row>
    <x:row r="7">
      <x:c r="A7" s="51" t="str">
        <x:v>V17BANK-003</x:v>
      </x:c>
      <x:c r="B7" s="51" t="str">
        <x:v>Bank deposit creation, settlement and maturity transformation</x:v>
      </x:c>
      <x:c r="C7" s="51" t="str">
        <x:v>Bank deposits</x:v>
      </x:c>
      <x:c r="D7" s="51" t="str">
        <x:v>Bank depositors</x:v>
      </x:c>
      <x:c r="E7" s="51" t="str">
        <x:v>Bank liability → customer claim</x:v>
      </x:c>
      <x:c r="F7" s="51" t="str">
        <x:v>Ongoing</x:v>
      </x:c>
      <x:c r="G7" s="51" t="str">
        <x:v>Deposit account balance</x:v>
      </x:c>
      <x:c r="H7" s="51" t="str">
        <x:v>INS-359; INS-360</x:v>
      </x:c>
      <x:c r="I7" s="51" t="str">
        <x:v>Account-specific</x:v>
      </x:c>
      <x:c r="J7" s="51" t="str">
        <x:v>Bank liability and account terms</x:v>
      </x:c>
      <x:c r="K7" s="51" t="str">
        <x:v>Spendable and withdrawable claim</x:v>
      </x:c>
      <x:c r="L7" s="51" t="str">
        <x:v>Commercial-bank money is a claim on a bank accepted at par in ordinary payments</x:v>
      </x:c>
      <x:c r="M7" s="51" t="str">
        <x:v>E1</x:v>
      </x:c>
      <x:c r="N7" s="51" t="str">
        <x:v>Very high</x:v>
      </x:c>
      <x:c r="O7" s="51" t="str">
        <x:v>SRC-736; SRC-738; SRC-739</x:v>
      </x:c>
      <x:c r="P7" s="51" t="str">
        <x:v>Deposits are liabilities of commercial banks and function as money.</x:v>
      </x:c>
      <x:c r="Q7" s="51" t="str">
        <x:v>Segregated ownership of specific vault cash or central-bank reserves.</x:v>
      </x:c>
      <x:c r="R7" s="51" t="str">
        <x:v>Convertibility depends on bank liquidity, settlement and the public safety net.</x:v>
      </x:c>
      <x:c r="S7" s="51" t="str">
        <x:v>Active</x:v>
      </x:c>
    </x:row>
    <x:row r="8">
      <x:c r="A8" s="51" t="str">
        <x:v>V17BANK-004</x:v>
      </x:c>
      <x:c r="B8" s="51" t="str">
        <x:v>Bank deposit creation, settlement and maturity transformation</x:v>
      </x:c>
      <x:c r="C8" s="51" t="str">
        <x:v>Bank depositors</x:v>
      </x:c>
      <x:c r="D8" s="51" t="str">
        <x:v>Commercial banks</x:v>
      </x:c>
      <x:c r="E8" s="51" t="str">
        <x:v>Depositor → bank</x:v>
      </x:c>
      <x:c r="F8" s="51" t="str">
        <x:v>Ongoing</x:v>
      </x:c>
      <x:c r="G8" s="51" t="str">
        <x:v>Funding and withdrawal option</x:v>
      </x:c>
      <x:c r="H8" s="51" t="str">
        <x:v>INS-360</x:v>
      </x:c>
      <x:c r="I8" s="51" t="str">
        <x:v>Approximately $17.9 trillion U.S. commercial-bank deposits in July 2026 H.8</x:v>
      </x:c>
      <x:c r="J8" s="51" t="str">
        <x:v>Depositor funds and payment activity</x:v>
      </x:c>
      <x:c r="K8" s="51" t="str">
        <x:v>Bank funding plus runnable liability</x:v>
      </x:c>
      <x:c r="L8" s="51" t="str">
        <x:v>Deposits provide low-cost funding while remaining payable on demand or short notice</x:v>
      </x:c>
      <x:c r="M8" s="51" t="str">
        <x:v>E1</x:v>
      </x:c>
      <x:c r="N8" s="51" t="str">
        <x:v>Very high</x:v>
      </x:c>
      <x:c r="O8" s="51" t="str">
        <x:v>SRC-738</x:v>
      </x:c>
      <x:c r="P8" s="51" t="str">
        <x:v>Deposits are a major commercial-bank liability.</x:v>
      </x:c>
      <x:c r="Q8" s="51" t="str">
        <x:v>Stable funding in every stress or ownership of bank assets.</x:v>
      </x:c>
      <x:c r="R8" s="51" t="str">
        <x:v>Deposit behaviour changes with rates, confidence and insurance coverage.</x:v>
      </x:c>
      <x:c r="S8" s="51" t="str">
        <x:v>Active</x:v>
      </x:c>
    </x:row>
    <x:row r="9">
      <x:c r="A9" s="51" t="str">
        <x:v>V17BANK-005</x:v>
      </x:c>
      <x:c r="B9" s="51" t="str">
        <x:v>Bank deposit creation, settlement and maturity transformation</x:v>
      </x:c>
      <x:c r="C9" s="51" t="str">
        <x:v>Federal Reserve Banks</x:v>
      </x:c>
      <x:c r="D9" s="51" t="str">
        <x:v>Central bank reserves</x:v>
      </x:c>
      <x:c r="E9" s="51" t="str">
        <x:v>Reserve Bank → reserve account</x:v>
      </x:c>
      <x:c r="F9" s="51" t="str">
        <x:v>Ongoing</x:v>
      </x:c>
      <x:c r="G9" s="51" t="str">
        <x:v>Reserve-balance issuance and settlement</x:v>
      </x:c>
      <x:c r="H9" s="51" t="str">
        <x:v>INS-372; INS-373; INS-374</x:v>
      </x:c>
      <x:c r="I9" s="51" t="str">
        <x:v>System-wide</x:v>
      </x:c>
      <x:c r="J9" s="51" t="str">
        <x:v>Central-bank operations and settlement rules</x:v>
      </x:c>
      <x:c r="K9" s="51" t="str">
        <x:v>Reserve balances used among eligible institutions</x:v>
      </x:c>
      <x:c r="L9" s="51" t="str">
        <x:v>Central-bank liabilities provide the final settlement asset for commercial banks</x:v>
      </x:c>
      <x:c r="M9" s="51" t="str">
        <x:v>E1</x:v>
      </x:c>
      <x:c r="N9" s="51" t="str">
        <x:v>Very high</x:v>
      </x:c>
      <x:c r="O9" s="51" t="str">
        <x:v>SRC-758; SRC-760; SRC-792</x:v>
      </x:c>
      <x:c r="P9" s="51" t="str">
        <x:v>Federal Reserve Banks issue reserve balances used by depository institutions.</x:v>
      </x:c>
      <x:c r="Q9" s="51" t="str">
        <x:v>Direct public deposit accounts for all households or elimination of commercial-bank credit risk.</x:v>
      </x:c>
      <x:c r="R9" s="51" t="str">
        <x:v>Access is institutionally restricted.</x:v>
      </x:c>
      <x:c r="S9" s="51" t="str">
        <x:v>Active</x:v>
      </x:c>
    </x:row>
    <x:row r="10">
      <x:c r="A10" s="51" t="str">
        <x:v>V17BANK-006</x:v>
      </x:c>
      <x:c r="B10" s="51" t="str">
        <x:v>Bank deposit creation, settlement and maturity transformation</x:v>
      </x:c>
      <x:c r="C10" s="51" t="str">
        <x:v>Commercial banks</x:v>
      </x:c>
      <x:c r="D10" s="51" t="str">
        <x:v>Central bank reserves</x:v>
      </x:c>
      <x:c r="E10" s="51" t="str">
        <x:v>Bank → reserve asset</x:v>
      </x:c>
      <x:c r="F10" s="51" t="str">
        <x:v>Ongoing</x:v>
      </x:c>
      <x:c r="G10" s="51" t="str">
        <x:v>Interbank settlement and liquidity buffer</x:v>
      </x:c>
      <x:c r="H10" s="51" t="str">
        <x:v>INS-360; INS-372</x:v>
      </x:c>
      <x:c r="I10" s="51" t="str">
        <x:v>Bank-specific</x:v>
      </x:c>
      <x:c r="J10" s="51" t="str">
        <x:v>Deposit payments and central-bank operations</x:v>
      </x:c>
      <x:c r="K10" s="51" t="str">
        <x:v>Settlement asset and liquidity</x:v>
      </x:c>
      <x:c r="L10" s="51" t="str">
        <x:v>When deposits move across banks, reserves or correspondent balances settle the interbank obligation</x:v>
      </x:c>
      <x:c r="M10" s="51" t="str">
        <x:v>E1</x:v>
      </x:c>
      <x:c r="N10" s="51" t="str">
        <x:v>High</x:v>
      </x:c>
      <x:c r="O10" s="51" t="str">
        <x:v>SRC-737; SRC-760; SRC-792</x:v>
      </x:c>
      <x:c r="P10" s="51" t="str">
        <x:v>Interbank payments ultimately settle through central-bank or correspondent balances.</x:v>
      </x:c>
      <x:c r="Q10" s="51" t="str">
        <x:v>A fixed reserve ratio mechanically determining all lending.</x:v>
      </x:c>
      <x:c r="R10" s="51" t="str">
        <x:v>Banks manage reserves dynamically under the operating framework.</x:v>
      </x:c>
      <x:c r="S10" s="51" t="str">
        <x:v>Active</x:v>
      </x:c>
    </x:row>
    <x:row r="11">
      <x:c r="A11" s="51" t="str">
        <x:v>V17BANK-007</x:v>
      </x:c>
      <x:c r="B11" s="51" t="str">
        <x:v>Bank deposit creation, settlement and maturity transformation</x:v>
      </x:c>
      <x:c r="C11" s="51" t="str">
        <x:v>Commercial banks</x:v>
      </x:c>
      <x:c r="D11" s="51" t="str">
        <x:v>High-quality liquid assets</x:v>
      </x:c>
      <x:c r="E11" s="51" t="str">
        <x:v>Bank → liquidity buffer</x:v>
      </x:c>
      <x:c r="F11" s="51" t="str">
        <x:v>Ongoing</x:v>
      </x:c>
      <x:c r="G11" s="51" t="str">
        <x:v>Liquidity portfolio</x:v>
      </x:c>
      <x:c r="H11" s="51" t="str">
        <x:v>INS-361</x:v>
      </x:c>
      <x:c r="I11" s="51" t="str">
        <x:v>Bank-specific</x:v>
      </x:c>
      <x:c r="J11" s="51" t="str">
        <x:v>Cash, reserves and eligible marketable securities</x:v>
      </x:c>
      <x:c r="K11" s="51" t="str">
        <x:v>Resources available under stress</x:v>
      </x:c>
      <x:c r="L11" s="51" t="str">
        <x:v>Banks hold liquid assets to meet withdrawals and regulatory outflows</x:v>
      </x:c>
      <x:c r="M11" s="51" t="str">
        <x:v>E1</x:v>
      </x:c>
      <x:c r="N11" s="51" t="str">
        <x:v>High</x:v>
      </x:c>
      <x:c r="O11" s="51" t="str">
        <x:v>SRC-754; SRC-755; SRC-757</x:v>
      </x:c>
      <x:c r="P11" s="51" t="str">
        <x:v>The LCR requires adequate unencumbered HQLA for a defined stress period.</x:v>
      </x:c>
      <x:c r="Q11" s="51" t="str">
        <x:v>No liquidity stress or zero price risk in all HQLA.</x:v>
      </x:c>
      <x:c r="R11" s="51" t="str">
        <x:v>Haircuts, market depth and operational readiness matter.</x:v>
      </x:c>
      <x:c r="S11" s="51" t="str">
        <x:v>Active</x:v>
      </x:c>
    </x:row>
    <x:row r="12">
      <x:c r="A12" s="51" t="str">
        <x:v>V17BANK-008</x:v>
      </x:c>
      <x:c r="B12" s="51" t="str">
        <x:v>Bank deposit creation, settlement and maturity transformation</x:v>
      </x:c>
      <x:c r="C12" s="51" t="str">
        <x:v>Bank loans and securities</x:v>
      </x:c>
      <x:c r="D12" s="51" t="str">
        <x:v>Bank deposits</x:v>
      </x:c>
      <x:c r="E12" s="51" t="str">
        <x:v>Longer-duration assets ↔ short-term liabilities</x:v>
      </x:c>
      <x:c r="F12" s="51" t="str">
        <x:v>Ongoing</x:v>
      </x:c>
      <x:c r="G12" s="51" t="str">
        <x:v>Maturity transformation</x:v>
      </x:c>
      <x:c r="H12" s="51" t="str">
        <x:v>INS-360; INS-361; INS-362</x:v>
      </x:c>
      <x:c r="I12" s="51" t="str">
        <x:v>Bank-specific</x:v>
      </x:c>
      <x:c r="J12" s="51" t="str">
        <x:v>Illiquid or longer-term assets</x:v>
      </x:c>
      <x:c r="K12" s="51" t="str">
        <x:v>Shorter-term money-like funding</x:v>
      </x:c>
      <x:c r="L12" s="51" t="str">
        <x:v>Banks fund credit and securities with liabilities that can reprice or run faster than assets mature</x:v>
      </x:c>
      <x:c r="M12" s="51" t="str">
        <x:v>S1</x:v>
      </x:c>
      <x:c r="N12" s="51" t="str">
        <x:v>High</x:v>
      </x:c>
      <x:c r="O12" s="51" t="str">
        <x:v>SRC-738; SRC-755; SRC-756</x:v>
      </x:c>
      <x:c r="P12" s="51" t="str">
        <x:v>Bank balance sheets combine loans and securities with deposits and other funding.</x:v>
      </x:c>
      <x:c r="Q12" s="51" t="str">
        <x:v>That every bank has the same duration mismatch or is insolvent.</x:v>
      </x:c>
      <x:c r="R12" s="51" t="str">
        <x:v>Capital, liquidity and asset composition vary.</x:v>
      </x:c>
      <x:c r="S12" s="51" t="str">
        <x:v>Active</x:v>
      </x:c>
    </x:row>
    <x:row r="13">
      <x:c r="A13" s="51" t="str">
        <x:v>V17BAS-001</x:v>
      </x:c>
      <x:c r="B13" s="51" t="str">
        <x:v>Basel liquidity, capital and stable-funding constraints</x:v>
      </x:c>
      <x:c r="C13" s="51" t="str">
        <x:v>Basel Committee on Banking Supervision</x:v>
      </x:c>
      <x:c r="D13" s="51" t="str">
        <x:v>Bank supervisors</x:v>
      </x:c>
      <x:c r="E13" s="51" t="str">
        <x:v>Standard setter → national supervisors</x:v>
      </x:c>
      <x:c r="F13" s="51" t="str">
        <x:v>Ongoing</x:v>
      </x:c>
      <x:c r="G13" s="51" t="str">
        <x:v>Basel implementation</x:v>
      </x:c>
      <x:c r="H13" s="51" t="str">
        <x:v>INS-361; INS-362</x:v>
      </x:c>
      <x:c r="I13" s="51" t="str">
        <x:v>Global</x:v>
      </x:c>
      <x:c r="J13" s="51" t="str">
        <x:v>International prudential standards</x:v>
      </x:c>
      <x:c r="K13" s="51" t="str">
        <x:v>Domestic bank capital and liquidity rules</x:v>
      </x:c>
      <x:c r="L13" s="51" t="str">
        <x:v>Basel standards gain legal force through national rulemaking and supervision</x:v>
      </x:c>
      <x:c r="M13" s="51" t="str">
        <x:v>E1</x:v>
      </x:c>
      <x:c r="N13" s="51" t="str">
        <x:v>Very high</x:v>
      </x:c>
      <x:c r="O13" s="51" t="str">
        <x:v>SRC-754; SRC-755; SRC-756</x:v>
      </x:c>
      <x:c r="P13" s="51" t="str">
        <x:v>The Basel Committee publishes the LCR, NSFR and broader Basel framework.</x:v>
      </x:c>
      <x:c r="Q13" s="51" t="str">
        <x:v>Direct global legal authority over banks.</x:v>
      </x:c>
      <x:c r="R13" s="51" t="str">
        <x:v>Implementation differs across jurisdictions.</x:v>
      </x:c>
      <x:c r="S13" s="51" t="str">
        <x:v>Active</x:v>
      </x:c>
    </x:row>
    <x:row r="14">
      <x:c r="A14" s="51" t="str">
        <x:v>V17BAS-002</x:v>
      </x:c>
      <x:c r="B14" s="51" t="str">
        <x:v>Basel liquidity, capital and stable-funding constraints</x:v>
      </x:c>
      <x:c r="C14" s="51" t="str">
        <x:v>Bank supervisors</x:v>
      </x:c>
      <x:c r="D14" s="51" t="str">
        <x:v>Commercial banks</x:v>
      </x:c>
      <x:c r="E14" s="51" t="str">
        <x:v>Supervisor → bank</x:v>
      </x:c>
      <x:c r="F14" s="51" t="str">
        <x:v>Ongoing</x:v>
      </x:c>
      <x:c r="G14" s="51" t="str">
        <x:v>Liquidity Coverage Ratio</x:v>
      </x:c>
      <x:c r="H14" s="51" t="str">
        <x:v>INS-361</x:v>
      </x:c>
      <x:c r="I14" s="51" t="str">
        <x:v>Bank-specific</x:v>
      </x:c>
      <x:c r="J14" s="51" t="str">
        <x:v>Projected 30-day stress outflows</x:v>
      </x:c>
      <x:c r="K14" s="51" t="str">
        <x:v>Required HQLA stock and remediation</x:v>
      </x:c>
      <x:c r="L14" s="51" t="str">
        <x:v>The LCR converts modeled cash outflows into a minimum liquid-asset requirement</x:v>
      </x:c>
      <x:c r="M14" s="51" t="str">
        <x:v>E1</x:v>
      </x:c>
      <x:c r="N14" s="51" t="str">
        <x:v>High</x:v>
      </x:c>
      <x:c r="O14" s="51" t="str">
        <x:v>SRC-755; SRC-757</x:v>
      </x:c>
      <x:c r="P14" s="51" t="str">
        <x:v>Banks subject to the LCR must maintain qualifying liquid assets against stress outflows.</x:v>
      </x:c>
      <x:c r="Q14" s="51" t="str">
        <x:v>Guarantee that a bank can survive every run.</x:v>
      </x:c>
      <x:c r="R14" s="51" t="str">
        <x:v>Stress assumptions and asset monetisation can fail in extreme conditions.</x:v>
      </x:c>
      <x:c r="S14" s="51" t="str">
        <x:v>Active</x:v>
      </x:c>
    </x:row>
    <x:row r="15">
      <x:c r="A15" s="51" t="str">
        <x:v>V17BAS-003</x:v>
      </x:c>
      <x:c r="B15" s="51" t="str">
        <x:v>Basel liquidity, capital and stable-funding constraints</x:v>
      </x:c>
      <x:c r="C15" s="51" t="str">
        <x:v>Bank supervisors</x:v>
      </x:c>
      <x:c r="D15" s="51" t="str">
        <x:v>Commercial banks</x:v>
      </x:c>
      <x:c r="E15" s="51" t="str">
        <x:v>Supervisor → bank</x:v>
      </x:c>
      <x:c r="F15" s="51" t="str">
        <x:v>Ongoing</x:v>
      </x:c>
      <x:c r="G15" s="51" t="str">
        <x:v>Net Stable Funding Ratio</x:v>
      </x:c>
      <x:c r="H15" s="51" t="str">
        <x:v>INS-362</x:v>
      </x:c>
      <x:c r="I15" s="51" t="str">
        <x:v>Bank-specific</x:v>
      </x:c>
      <x:c r="J15" s="51" t="str">
        <x:v>Asset maturity and off-balance-sheet profile</x:v>
      </x:c>
      <x:c r="K15" s="51" t="str">
        <x:v>Required stable funding</x:v>
      </x:c>
      <x:c r="L15" s="51" t="str">
        <x:v>The NSFR converts illiquid asset composition into longer-term funding requirements</x:v>
      </x:c>
      <x:c r="M15" s="51" t="str">
        <x:v>E1</x:v>
      </x:c>
      <x:c r="N15" s="51" t="str">
        <x:v>High</x:v>
      </x:c>
      <x:c r="O15" s="51" t="str">
        <x:v>SRC-756; SRC-757</x:v>
      </x:c>
      <x:c r="P15" s="51" t="str">
        <x:v>The NSFR promotes a stable funding profile relative to asset composition.</x:v>
      </x:c>
      <x:c r="Q15" s="51" t="str">
        <x:v>Elimination of maturity transformation or market funding.</x:v>
      </x:c>
      <x:c r="R15" s="51" t="str">
        <x:v>Banks can still face sudden outflows and valuation losses.</x:v>
      </x:c>
      <x:c r="S15" s="51" t="str">
        <x:v>Active</x:v>
      </x:c>
    </x:row>
    <x:row r="16">
      <x:c r="A16" s="51" t="str">
        <x:v>V17FDIC-001</x:v>
      </x:c>
      <x:c r="B16" s="51" t="str">
        <x:v>Deposit insurance, creditor hierarchy and failed-bank resolution</x:v>
      </x:c>
      <x:c r="C16" s="51" t="str">
        <x:v>FDIC-insured depository institutions</x:v>
      </x:c>
      <x:c r="D16" s="51" t="str">
        <x:v>Deposit Insurance Fund</x:v>
      </x:c>
      <x:c r="E16" s="51" t="str">
        <x:v>Insured bank → fund</x:v>
      </x:c>
      <x:c r="F16" s="51" t="str">
        <x:v>Quarterly</x:v>
      </x:c>
      <x:c r="G16" s="51" t="str">
        <x:v>Risk-based assessment</x:v>
      </x:c>
      <x:c r="H16" s="51" t="str">
        <x:v>INS-365</x:v>
      </x:c>
      <x:c r="I16" s="51" t="str">
        <x:v>Industry-wide</x:v>
      </x:c>
      <x:c r="J16" s="51" t="str">
        <x:v>Assessment payments</x:v>
      </x:c>
      <x:c r="K16" s="51" t="str">
        <x:v>Mutual insurance fund resources</x:v>
      </x:c>
      <x:c r="L16" s="51" t="str">
        <x:v>Private banking institutions collectively fund the deposit-insurance and resolution pool</x:v>
      </x:c>
      <x:c r="M16" s="51" t="str">
        <x:v>E1</x:v>
      </x:c>
      <x:c r="N16" s="51" t="str">
        <x:v>Very high</x:v>
      </x:c>
      <x:c r="O16" s="51" t="str">
        <x:v>SRC-748; SRC-793</x:v>
      </x:c>
      <x:c r="P16" s="51" t="str">
        <x:v>The DIF is funded by assessments on insured institutions and investment income.</x:v>
      </x:c>
      <x:c r="Q16" s="51" t="str">
        <x:v>A direct annual taxpayer appropriation or equal assessment burden.</x:v>
      </x:c>
      <x:c r="R16" s="51" t="str">
        <x:v>Risk-based rates and systemic assessments vary.</x:v>
      </x:c>
      <x:c r="S16" s="51" t="str">
        <x:v>Active</x:v>
      </x:c>
    </x:row>
    <x:row r="17">
      <x:c r="A17" s="51" t="str">
        <x:v>V17FDIC-002</x:v>
      </x:c>
      <x:c r="B17" s="51" t="str">
        <x:v>Deposit insurance, creditor hierarchy and failed-bank resolution</x:v>
      </x:c>
      <x:c r="C17" s="51" t="str">
        <x:v>Deposit Insurance Fund</x:v>
      </x:c>
      <x:c r="D17" s="51" t="str">
        <x:v>Insured depositors</x:v>
      </x:c>
      <x:c r="E17" s="51" t="str">
        <x:v>Insurance fund → depositor</x:v>
      </x:c>
      <x:c r="F17" s="51" t="str">
        <x:v>After insured bank failure</x:v>
      </x:c>
      <x:c r="G17" s="51" t="str">
        <x:v>Insured-deposit payment or transfer</x:v>
      </x:c>
      <x:c r="H17" s="51" t="str">
        <x:v>INS-363; INS-364</x:v>
      </x:c>
      <x:c r="I17" s="51" t="str">
        <x:v>Up to applicable statutory coverage</x:v>
      </x:c>
      <x:c r="J17" s="51" t="str">
        <x:v>Fund resources and receivership claim</x:v>
      </x:c>
      <x:c r="K17" s="51" t="str">
        <x:v>Full protected deposit balance</x:v>
      </x:c>
      <x:c r="L17" s="51" t="str">
        <x:v>Deposit insurance converts an eligible bank liability into a claim backed by the insurance system</x:v>
      </x:c>
      <x:c r="M17" s="51" t="str">
        <x:v>E1</x:v>
      </x:c>
      <x:c r="N17" s="51" t="str">
        <x:v>Very high</x:v>
      </x:c>
      <x:c r="O17" s="51" t="str">
        <x:v>SRC-739; SRC-740; SRC-748; SRC-794</x:v>
      </x:c>
      <x:c r="P17" s="51" t="str">
        <x:v>FDIC insurance protects eligible deposits up to statutory limits.</x:v>
      </x:c>
      <x:c r="Q17" s="51" t="str">
        <x:v>Protection of bank equity, bonds, mutual funds or all uninsured balances.</x:v>
      </x:c>
      <x:c r="R17" s="51" t="str">
        <x:v>Ownership category and account structure determine coverage.</x:v>
      </x:c>
      <x:c r="S17" s="51" t="str">
        <x:v>Active</x:v>
      </x:c>
    </x:row>
    <x:row r="18">
      <x:c r="A18" s="51" t="str">
        <x:v>V17FDIC-003</x:v>
      </x:c>
      <x:c r="B18" s="51" t="str">
        <x:v>Deposit insurance, creditor hierarchy and failed-bank resolution</x:v>
      </x:c>
      <x:c r="C18" s="51" t="str">
        <x:v>Uninsured depositors</x:v>
      </x:c>
      <x:c r="D18" s="51" t="str">
        <x:v>Failed bank receiverships</x:v>
      </x:c>
      <x:c r="E18" s="51" t="str">
        <x:v>Creditor → receivership estate</x:v>
      </x:c>
      <x:c r="F18" s="51" t="str">
        <x:v>After failure</x:v>
      </x:c>
      <x:c r="G18" s="51" t="str">
        <x:v>Uninsured deposit claim</x:v>
      </x:c>
      <x:c r="H18" s="51" t="str">
        <x:v>INS-368</x:v>
      </x:c>
      <x:c r="I18" s="51" t="str">
        <x:v>Recovery-specific</x:v>
      </x:c>
      <x:c r="J18" s="51" t="str">
        <x:v>Deposit amount above insurance coverage</x:v>
      </x:c>
      <x:c r="K18" s="51" t="str">
        <x:v>Receivership claim and dividends</x:v>
      </x:c>
      <x:c r="L18" s="51" t="str">
        <x:v>Uninsured deposits move from par bank money to a priority claim on recovered assets</x:v>
      </x:c>
      <x:c r="M18" s="51" t="str">
        <x:v>E1</x:v>
      </x:c>
      <x:c r="N18" s="51" t="str">
        <x:v>Very high</x:v>
      </x:c>
      <x:c r="O18" s="51" t="str">
        <x:v>SRC-746; SRC-794</x:v>
      </x:c>
      <x:c r="P18" s="51" t="str">
        <x:v>Uninsured depositors rank ahead of general unsecured creditors under FDIC receivership priority.</x:v>
      </x:c>
      <x:c r="Q18" s="51" t="str">
        <x:v>Immediate full recovery or equivalence to insured deposits.</x:v>
      </x:c>
      <x:c r="R18" s="51" t="str">
        <x:v>Recovery depends on asset realisations and resolution structure.</x:v>
      </x:c>
      <x:c r="S18" s="51" t="str">
        <x:v>Active contingency</x:v>
      </x:c>
    </x:row>
    <x:row r="19">
      <x:c r="A19" s="51" t="str">
        <x:v>V17FDIC-004</x:v>
      </x:c>
      <x:c r="B19" s="51" t="str">
        <x:v>Deposit insurance, creditor hierarchy and failed-bank resolution</x:v>
      </x:c>
      <x:c r="C19" s="51" t="str">
        <x:v>Bank shareholders</x:v>
      </x:c>
      <x:c r="D19" s="51" t="str">
        <x:v>Failed bank receiverships</x:v>
      </x:c>
      <x:c r="E19" s="51" t="str">
        <x:v>Residual owner → estate</x:v>
      </x:c>
      <x:c r="F19" s="51" t="str">
        <x:v>After failure</x:v>
      </x:c>
      <x:c r="G19" s="51" t="str">
        <x:v>Equity loss</x:v>
      </x:c>
      <x:c r="H19" s="51" t="str">
        <x:v>INS-368</x:v>
      </x:c>
      <x:c r="I19" s="51" t="str">
        <x:v>Residual</x:v>
      </x:c>
      <x:c r="J19" s="51" t="str">
        <x:v>Bank equity</x:v>
      </x:c>
      <x:c r="K19" s="51" t="str">
        <x:v>Subordinated recovery or cancellation</x:v>
      </x:c>
      <x:c r="L19" s="51" t="str">
        <x:v>Shareholder capital absorbs losses before protected depositors receive support</x:v>
      </x:c>
      <x:c r="M19" s="51" t="str">
        <x:v>E1</x:v>
      </x:c>
      <x:c r="N19" s="51" t="str">
        <x:v>High</x:v>
      </x:c>
      <x:c r="O19" s="51" t="str">
        <x:v>SRC-746; SRC-794</x:v>
      </x:c>
      <x:c r="P19" s="51" t="str">
        <x:v>Shareholders rank after depositors and general creditors in receivership.</x:v>
      </x:c>
      <x:c r="Q19" s="51" t="str">
        <x:v>Guaranteed zero recovery in every failure.</x:v>
      </x:c>
      <x:c r="R19" s="51" t="str">
        <x:v>Residual value depends on assets and liabilities.</x:v>
      </x:c>
      <x:c r="S19" s="51" t="str">
        <x:v>Active contingency</x:v>
      </x:c>
    </x:row>
    <x:row r="20">
      <x:c r="A20" s="51" t="str">
        <x:v>V17FDIC-005</x:v>
      </x:c>
      <x:c r="B20" s="51" t="str">
        <x:v>Deposit insurance, creditor hierarchy and failed-bank resolution</x:v>
      </x:c>
      <x:c r="C20" s="51" t="str">
        <x:v>Bank unsecured creditors</x:v>
      </x:c>
      <x:c r="D20" s="51" t="str">
        <x:v>Failed bank receiverships</x:v>
      </x:c>
      <x:c r="E20" s="51" t="str">
        <x:v>Creditor → estate</x:v>
      </x:c>
      <x:c r="F20" s="51" t="str">
        <x:v>After failure</x:v>
      </x:c>
      <x:c r="G20" s="51" t="str">
        <x:v>General unsecured claim</x:v>
      </x:c>
      <x:c r="H20" s="51" t="str">
        <x:v>INS-368</x:v>
      </x:c>
      <x:c r="I20" s="51" t="str">
        <x:v>Recovery-specific</x:v>
      </x:c>
      <x:c r="J20" s="51" t="str">
        <x:v>Unsecured debt claim</x:v>
      </x:c>
      <x:c r="K20" s="51" t="str">
        <x:v>Receivership dividend after higher-priority claims</x:v>
      </x:c>
      <x:c r="L20" s="51" t="str">
        <x:v>Resolution hierarchy allocates losses beyond insured depositors to other creditors</x:v>
      </x:c>
      <x:c r="M20" s="51" t="str">
        <x:v>E1</x:v>
      </x:c>
      <x:c r="N20" s="51" t="str">
        <x:v>High</x:v>
      </x:c>
      <x:c r="O20" s="51" t="str">
        <x:v>SRC-746; SRC-794</x:v>
      </x:c>
      <x:c r="P20" s="51" t="str">
        <x:v>General unsecured creditors rank below deposit liabilities.</x:v>
      </x:c>
      <x:c r="Q20" s="51" t="str">
        <x:v>Equal treatment with insured deposits or immediate recovery.</x:v>
      </x:c>
      <x:c r="R20" s="51" t="str">
        <x:v>Contract type and statutory priority matter.</x:v>
      </x:c>
      <x:c r="S20" s="51" t="str">
        <x:v>Active contingency</x:v>
      </x:c>
    </x:row>
    <x:row r="21">
      <x:c r="A21" s="51" t="str">
        <x:v>V17FDIC-006</x:v>
      </x:c>
      <x:c r="B21" s="51" t="str">
        <x:v>Deposit insurance, creditor hierarchy and failed-bank resolution</x:v>
      </x:c>
      <x:c r="C21" s="51" t="str">
        <x:v>Federal Deposit Insurance Corporation</x:v>
      </x:c>
      <x:c r="D21" s="51" t="str">
        <x:v>Failed bank receiverships</x:v>
      </x:c>
      <x:c r="E21" s="51" t="str">
        <x:v>Receiver → estate</x:v>
      </x:c>
      <x:c r="F21" s="51" t="str">
        <x:v>Failure-specific</x:v>
      </x:c>
      <x:c r="G21" s="51" t="str">
        <x:v>Receivership appointment and administration</x:v>
      </x:c>
      <x:c r="H21" s="51" t="str">
        <x:v>INS-366; INS-368</x:v>
      </x:c>
      <x:c r="I21" s="51" t="str">
        <x:v>Two bank failures in 2025 and two listed in 2026 as of verification</x:v>
      </x:c>
      <x:c r="J21" s="51" t="str">
        <x:v>Legal receivership authority</x:v>
      </x:c>
      <x:c r="K21" s="51" t="str">
        <x:v>Asset liquidation, claims and distributions</x:v>
      </x:c>
      <x:c r="L21" s="51" t="str">
        <x:v>The FDIC converts a closed insured bank into a statutory receivership estate</x:v>
      </x:c>
      <x:c r="M21" s="51" t="str">
        <x:v>E1</x:v>
      </x:c>
      <x:c r="N21" s="51" t="str">
        <x:v>Very high</x:v>
      </x:c>
      <x:c r="O21" s="51" t="str">
        <x:v>SRC-741; SRC-742; SRC-743; SRC-744</x:v>
      </x:c>
      <x:c r="P21" s="51" t="str">
        <x:v>The FDIC acts as receiver for failed insured depository institutions.</x:v>
      </x:c>
      <x:c r="Q21" s="51" t="str">
        <x:v>Ownership of the bank before failure or protection of every creditor.</x:v>
      </x:c>
      <x:c r="R21" s="51" t="str">
        <x:v>Resolution method depends on bids, assets and statutory tests.</x:v>
      </x:c>
      <x:c r="S21" s="51" t="str">
        <x:v>Active</x:v>
      </x:c>
    </x:row>
    <x:row r="22">
      <x:c r="A22" s="51" t="str">
        <x:v>V17FDIC-007</x:v>
      </x:c>
      <x:c r="B22" s="51" t="str">
        <x:v>Deposit insurance, creditor hierarchy and failed-bank resolution</x:v>
      </x:c>
      <x:c r="C22" s="51" t="str">
        <x:v>Federal Deposit Insurance Corporation</x:v>
      </x:c>
      <x:c r="D22" s="51" t="str">
        <x:v>Acquiring banks</x:v>
      </x:c>
      <x:c r="E22" s="51" t="str">
        <x:v>Receiver → buyer</x:v>
      </x:c>
      <x:c r="F22" s="51" t="str">
        <x:v>Failure-specific</x:v>
      </x:c>
      <x:c r="G22" s="51" t="str">
        <x:v>Purchase-and-assumption transaction</x:v>
      </x:c>
      <x:c r="H22" s="51" t="str">
        <x:v>INS-366; INS-367</x:v>
      </x:c>
      <x:c r="I22" s="51" t="str">
        <x:v>Bid-specific</x:v>
      </x:c>
      <x:c r="J22" s="51" t="str">
        <x:v>Deposits, assets and franchise value</x:v>
      </x:c>
      <x:c r="K22" s="51" t="str">
        <x:v>Transferred banking business</x:v>
      </x:c>
      <x:c r="L22" s="51" t="str">
        <x:v>A purchase-and-assumption transaction preserves deposit access and transfers assets to a new owner</x:v>
      </x:c>
      <x:c r="M22" s="51" t="str">
        <x:v>E1</x:v>
      </x:c>
      <x:c r="N22" s="51" t="str">
        <x:v>Very high</x:v>
      </x:c>
      <x:c r="O22" s="51" t="str">
        <x:v>SRC-744; SRC-745</x:v>
      </x:c>
      <x:c r="P22" s="51" t="str">
        <x:v>FDIC resolution methods include purchase-and-assumption transactions.</x:v>
      </x:c>
      <x:c r="Q22" s="51" t="str">
        <x:v>Transfer of every liability or absence of loss to the DIF.</x:v>
      </x:c>
      <x:c r="R22" s="51" t="str">
        <x:v>Bid terms define assumed deposits and assets.</x:v>
      </x:c>
      <x:c r="S22" s="51" t="str">
        <x:v>Active</x:v>
      </x:c>
    </x:row>
    <x:row r="23">
      <x:c r="A23" s="51" t="str">
        <x:v>V17FDIC-008</x:v>
      </x:c>
      <x:c r="B23" s="51" t="str">
        <x:v>Deposit insurance, creditor hierarchy and failed-bank resolution</x:v>
      </x:c>
      <x:c r="C23" s="51" t="str">
        <x:v>Federal Deposit Insurance Corporation</x:v>
      </x:c>
      <x:c r="D23" s="51" t="str">
        <x:v>Bridge banks</x:v>
      </x:c>
      <x:c r="E23" s="51" t="str">
        <x:v>Receiver → temporary bank</x:v>
      </x:c>
      <x:c r="F23" s="51" t="str">
        <x:v>Failure-specific</x:v>
      </x:c>
      <x:c r="G23" s="51" t="str">
        <x:v>Bridge-bank charter and transfer</x:v>
      </x:c>
      <x:c r="H23" s="51" t="str">
        <x:v>INS-367</x:v>
      </x:c>
      <x:c r="I23" s="51" t="str">
        <x:v>Failure-specific</x:v>
      </x:c>
      <x:c r="J23" s="51" t="str">
        <x:v>Selected deposits, assets and operations</x:v>
      </x:c>
      <x:c r="K23" s="51" t="str">
        <x:v>Temporary operating institution</x:v>
      </x:c>
      <x:c r="L23" s="51" t="str">
        <x:v>A bridge bank separates service continuity from final ownership</x:v>
      </x:c>
      <x:c r="M23" s="51" t="str">
        <x:v>E1</x:v>
      </x:c>
      <x:c r="N23" s="51" t="str">
        <x:v>Very high</x:v>
      </x:c>
      <x:c r="O23" s="51" t="str">
        <x:v>SRC-744; SRC-753; SRC-794</x:v>
      </x:c>
      <x:c r="P23" s="51" t="str">
        <x:v>Bridge banks are temporary resolution tools for preserving operations.</x:v>
      </x:c>
      <x:c r="Q23" s="51" t="str">
        <x:v>Permanent public ownership or guaranteed sale price.</x:v>
      </x:c>
      <x:c r="R23" s="51" t="str">
        <x:v>The FDIC later sells, transfers or winds down the bridge.</x:v>
      </x:c>
      <x:c r="S23" s="51" t="str">
        <x:v>Active contingency</x:v>
      </x:c>
    </x:row>
    <x:row r="24">
      <x:c r="A24" s="51" t="str">
        <x:v>V17FDIC-009</x:v>
      </x:c>
      <x:c r="B24" s="51" t="str">
        <x:v>Deposit insurance, creditor hierarchy and failed-bank resolution</x:v>
      </x:c>
      <x:c r="C24" s="51" t="str">
        <x:v>Travis Hill</x:v>
      </x:c>
      <x:c r="D24" s="51" t="str">
        <x:v>Federal Deposit Insurance Corporation</x:v>
      </x:c>
      <x:c r="E24" s="51" t="str">
        <x:v>Chairman → agency</x:v>
      </x:c>
      <x:c r="F24" s="51" t="str">
        <x:v>Current 2026</x:v>
      </x:c>
      <x:c r="G24" s="51" t="str">
        <x:v>Board leadership</x:v>
      </x:c>
      <x:c r="H24" s="51" t="str">
        <x:v>INS-364; INS-366; INS-369</x:v>
      </x:c>
      <x:c r="I24" s="51" t="str">
        <x:v>Five-year term began January 2, 2026</x:v>
      </x:c>
      <x:c r="J24" s="51" t="str">
        <x:v>Presidential appointment and statutory office</x:v>
      </x:c>
      <x:c r="K24" s="51" t="str">
        <x:v>Agency agenda, board leadership and administration</x:v>
      </x:c>
      <x:c r="L24" s="51" t="str">
        <x:v>Chairman authority shapes FDIC policy while receivership and insurance functions remain statutory</x:v>
      </x:c>
      <x:c r="M24" s="51" t="str">
        <x:v>E1</x:v>
      </x:c>
      <x:c r="N24" s="51" t="str">
        <x:v>Very high</x:v>
      </x:c>
      <x:c r="O24" s="51" t="str">
        <x:v>SRC-747</x:v>
      </x:c>
      <x:c r="P24" s="51" t="str">
        <x:v>Travis Hill is the 23rd FDIC Chairman.</x:v>
      </x:c>
      <x:c r="Q24" s="51" t="str">
        <x:v>Unilateral authority over every bank closure or payout.</x:v>
      </x:c>
      <x:c r="R24" s="51" t="str">
        <x:v>The FDIC Board and other chartering authorities have separate roles.</x:v>
      </x:c>
      <x:c r="S24" s="51" t="str">
        <x:v>Active</x:v>
      </x:c>
    </x:row>
    <x:row r="25">
      <x:c r="A25" s="51" t="str">
        <x:v>V17FDIC-010</x:v>
      </x:c>
      <x:c r="B25" s="51" t="str">
        <x:v>Deposit insurance, creditor hierarchy and failed-bank resolution</x:v>
      </x:c>
      <x:c r="C25" s="51" t="str">
        <x:v>Federal Deposit Insurance Corporation</x:v>
      </x:c>
      <x:c r="D25" s="51" t="str">
        <x:v>Deposit Insurance Fund</x:v>
      </x:c>
      <x:c r="E25" s="51" t="str">
        <x:v>Agency → insurance fund</x:v>
      </x:c>
      <x:c r="F25" s="51" t="str">
        <x:v>Ongoing</x:v>
      </x:c>
      <x:c r="G25" s="51" t="str">
        <x:v>Fund management and designated reserve ratio</x:v>
      </x:c>
      <x:c r="H25" s="51" t="str">
        <x:v>INS-364</x:v>
      </x:c>
      <x:c r="I25" s="51" t="str">
        <x:v>$157.4 billion and 1.43% reserve ratio at Q1 2026</x:v>
      </x:c>
      <x:c r="J25" s="51" t="str">
        <x:v>Assessments, investment income and loss estimates</x:v>
      </x:c>
      <x:c r="K25" s="51" t="str">
        <x:v>Fund balance and reserve ratio</x:v>
      </x:c>
      <x:c r="L25" s="51" t="str">
        <x:v>The FDIC manages a collective reserve against insured-deposit and resolution obligations</x:v>
      </x:c>
      <x:c r="M25" s="51" t="str">
        <x:v>E1</x:v>
      </x:c>
      <x:c r="N25" s="51" t="str">
        <x:v>Very high</x:v>
      </x:c>
      <x:c r="O25" s="51" t="str">
        <x:v>SRC-740; SRC-748; SRC-793</x:v>
      </x:c>
      <x:c r="P25" s="51" t="str">
        <x:v>The FDIC reports the DIF balance and reserve ratio.</x:v>
      </x:c>
      <x:c r="Q25" s="51" t="str">
        <x:v>Cash sufficient to pay every insured deposit simultaneously without borrowing or asset recovery.</x:v>
      </x:c>
      <x:c r="R25" s="51" t="str">
        <x:v>The reserve ratio is fund balance relative to insured deposits, not total deposits.</x:v>
      </x:c>
      <x:c r="S25" s="51" t="str">
        <x:v>Active</x:v>
      </x:c>
    </x:row>
    <x:row r="26">
      <x:c r="A26" s="51" t="str">
        <x:v>V17FED-001</x:v>
      </x:c>
      <x:c r="B26" s="51" t="str">
        <x:v>Central-bank liquidity, collateral transformation and rate backstops</x:v>
      </x:c>
      <x:c r="C26" s="51" t="str">
        <x:v>Federal Reserve Banks</x:v>
      </x:c>
      <x:c r="D26" s="51" t="str">
        <x:v>FDIC-insured depository institutions</x:v>
      </x:c>
      <x:c r="E26" s="51" t="str">
        <x:v>Central bank → bank</x:v>
      </x:c>
      <x:c r="F26" s="51" t="str">
        <x:v>Current 2026</x:v>
      </x:c>
      <x:c r="G26" s="51" t="str">
        <x:v>Discount-window lending</x:v>
      </x:c>
      <x:c r="H26" s="51" t="str">
        <x:v>INS-372</x:v>
      </x:c>
      <x:c r="I26" s="51" t="str">
        <x:v>Loan-specific</x:v>
      </x:c>
      <x:c r="J26" s="51" t="str">
        <x:v>Eligible collateral and borrower status</x:v>
      </x:c>
      <x:c r="K26" s="51" t="str">
        <x:v>Reserve liquidity</x:v>
      </x:c>
      <x:c r="L26" s="51" t="str">
        <x:v>The discount window converts bank assets into central-bank liquidity without selling them</x:v>
      </x:c>
      <x:c r="M26" s="51" t="str">
        <x:v>E1</x:v>
      </x:c>
      <x:c r="N26" s="51" t="str">
        <x:v>Very high</x:v>
      </x:c>
      <x:c r="O26" s="51" t="str">
        <x:v>SRC-759; SRC-763; SRC-792</x:v>
      </x:c>
      <x:c r="P26" s="51" t="str">
        <x:v>Eligible depository institutions can borrow against a broad range of collateral.</x:v>
      </x:c>
      <x:c r="Q26" s="51" t="str">
        <x:v>Capital support for an insolvent bank or guaranteed borrowing access.</x:v>
      </x:c>
      <x:c r="R26" s="51" t="str">
        <x:v>Eligibility, collateral value and supervision constrain lending.</x:v>
      </x:c>
      <x:c r="S26" s="51" t="str">
        <x:v>Active</x:v>
      </x:c>
    </x:row>
    <x:row r="27">
      <x:c r="A27" s="51" t="str">
        <x:v>V17FED-002</x:v>
      </x:c>
      <x:c r="B27" s="51" t="str">
        <x:v>Central-bank liquidity, collateral transformation and rate backstops</x:v>
      </x:c>
      <x:c r="C27" s="51" t="str">
        <x:v>FDIC-insured depository institutions</x:v>
      </x:c>
      <x:c r="D27" s="51" t="str">
        <x:v>Discount Window</x:v>
      </x:c>
      <x:c r="E27" s="51" t="str">
        <x:v>Bank → facility</x:v>
      </x:c>
      <x:c r="F27" s="51" t="str">
        <x:v>Liquidity stress or contingency</x:v>
      </x:c>
      <x:c r="G27" s="51" t="str">
        <x:v>Collateral pledge and borrowing request</x:v>
      </x:c>
      <x:c r="H27" s="51" t="str">
        <x:v>INS-372</x:v>
      </x:c>
      <x:c r="I27" s="51" t="str">
        <x:v>Primary credit up to 90 days</x:v>
      </x:c>
      <x:c r="J27" s="51" t="str">
        <x:v>Loans, securities and other eligible assets</x:v>
      </x:c>
      <x:c r="K27" s="51" t="str">
        <x:v>Cash reserves and time to adjust funding</x:v>
      </x:c>
      <x:c r="L27" s="51" t="str">
        <x:v>Collateralised central-bank credit separates liquidity need from immediate asset sale</x:v>
      </x:c>
      <x:c r="M27" s="51" t="str">
        <x:v>E1</x:v>
      </x:c>
      <x:c r="N27" s="51" t="str">
        <x:v>Very high</x:v>
      </x:c>
      <x:c r="O27" s="51" t="str">
        <x:v>SRC-759; SRC-763</x:v>
      </x:c>
      <x:c r="P27" s="51" t="str">
        <x:v>Primary, secondary and seasonal credit are collateralised facilities.</x:v>
      </x:c>
      <x:c r="Q27" s="51" t="str">
        <x:v>Validation that the bank is solvent in all circumstances.</x:v>
      </x:c>
      <x:c r="R27" s="51" t="str">
        <x:v>Primary-credit eligibility and supervisory judgment matter.</x:v>
      </x:c>
      <x:c r="S27" s="51" t="str">
        <x:v>Active</x:v>
      </x:c>
    </x:row>
    <x:row r="28">
      <x:c r="A28" s="51" t="str">
        <x:v>V17FED-003</x:v>
      </x:c>
      <x:c r="B28" s="51" t="str">
        <x:v>Central-bank liquidity, collateral transformation and rate backstops</x:v>
      </x:c>
      <x:c r="C28" s="51" t="str">
        <x:v>Federal Reserve System</x:v>
      </x:c>
      <x:c r="D28" s="51" t="str">
        <x:v>Standing Repo Facility</x:v>
      </x:c>
      <x:c r="E28" s="51" t="str">
        <x:v>Central bank → standing facility</x:v>
      </x:c>
      <x:c r="F28" s="51" t="str">
        <x:v>Since 2021</x:v>
      </x:c>
      <x:c r="G28" s="51" t="str">
        <x:v>Facility operation and pricing</x:v>
      </x:c>
      <x:c r="H28" s="51" t="str">
        <x:v>INS-373</x:v>
      </x:c>
      <x:c r="I28" s="51" t="str">
        <x:v>Operation-specific</x:v>
      </x:c>
      <x:c r="J28" s="51" t="str">
        <x:v>Treasury and agency collateral framework</x:v>
      </x:c>
      <x:c r="K28" s="51" t="str">
        <x:v>Standing reserve-liquidity backstop</x:v>
      </x:c>
      <x:c r="L28" s="51" t="str">
        <x:v>The central bank establishes a secured funding option intended to cap extreme repo-rate pressure</x:v>
      </x:c>
      <x:c r="M28" s="51" t="str">
        <x:v>E1</x:v>
      </x:c>
      <x:c r="N28" s="51" t="str">
        <x:v>Very high</x:v>
      </x:c>
      <x:c r="O28" s="51" t="str">
        <x:v>SRC-758; SRC-761; SRC-762</x:v>
      </x:c>
      <x:c r="P28" s="51" t="str">
        <x:v>The Federal Reserve conducts standing repo operations against eligible securities.</x:v>
      </x:c>
      <x:c r="Q28" s="51" t="str">
        <x:v>Daily market funding for all institutions or elimination of repo volatility.</x:v>
      </x:c>
      <x:c r="R28" s="51" t="str">
        <x:v>Counterparty eligibility and facility pricing limit use.</x:v>
      </x:c>
      <x:c r="S28" s="51" t="str">
        <x:v>Active</x:v>
      </x:c>
    </x:row>
    <x:row r="29">
      <x:c r="A29" s="51" t="str">
        <x:v>V17FED-004</x:v>
      </x:c>
      <x:c r="B29" s="51" t="str">
        <x:v>Central-bank liquidity, collateral transformation and rate backstops</x:v>
      </x:c>
      <x:c r="C29" s="51" t="str">
        <x:v>Standing Repo Facility</x:v>
      </x:c>
      <x:c r="D29" s="51" t="str">
        <x:v>Primary dealers and standing repo counterparties</x:v>
      </x:c>
      <x:c r="E29" s="51" t="str">
        <x:v>Facility → counterparties</x:v>
      </x:c>
      <x:c r="F29" s="51" t="str">
        <x:v>Operation day</x:v>
      </x:c>
      <x:c r="G29" s="51" t="str">
        <x:v>Repo cash against eligible securities</x:v>
      </x:c>
      <x:c r="H29" s="51" t="str">
        <x:v>INS-373</x:v>
      </x:c>
      <x:c r="I29" s="51" t="str">
        <x:v>Limited uptake reported in first half of 2026</x:v>
      </x:c>
      <x:c r="J29" s="51" t="str">
        <x:v>Treasury or agency securities</x:v>
      </x:c>
      <x:c r="K29" s="51" t="str">
        <x:v>Reserve liquidity</x:v>
      </x:c>
      <x:c r="L29" s="51" t="str">
        <x:v>The SRF transforms high-quality securities into overnight central-bank cash</x:v>
      </x:c>
      <x:c r="M29" s="51" t="str">
        <x:v>E1</x:v>
      </x:c>
      <x:c r="N29" s="51" t="str">
        <x:v>Very high</x:v>
      </x:c>
      <x:c r="O29" s="51" t="str">
        <x:v>SRC-761; SRC-762</x:v>
      </x:c>
      <x:c r="P29" s="51" t="str">
        <x:v>The July 2026 Monetary Policy Report described limited SRF usage.</x:v>
      </x:c>
      <x:c r="Q29" s="51" t="str">
        <x:v>No market need or permanent zero usage.</x:v>
      </x:c>
      <x:c r="R29" s="51" t="str">
        <x:v>Usage depends on rates, stigma, balance-sheet costs and reserves.</x:v>
      </x:c>
      <x:c r="S29" s="51" t="str">
        <x:v>Active</x:v>
      </x:c>
    </x:row>
    <x:row r="30">
      <x:c r="A30" s="51" t="str">
        <x:v>V17FED-005</x:v>
      </x:c>
      <x:c r="B30" s="51" t="str">
        <x:v>Central-bank liquidity, collateral transformation and rate backstops</x:v>
      </x:c>
      <x:c r="C30" s="51" t="str">
        <x:v>Money market funds</x:v>
      </x:c>
      <x:c r="D30" s="51" t="str">
        <x:v>Overnight Reverse Repurchase Agreement Facility</x:v>
      </x:c>
      <x:c r="E30" s="51" t="str">
        <x:v>Eligible fund → central bank</x:v>
      </x:c>
      <x:c r="F30" s="51" t="str">
        <x:v>Overnight</x:v>
      </x:c>
      <x:c r="G30" s="51" t="str">
        <x:v>Cash investment</x:v>
      </x:c>
      <x:c r="H30" s="51" t="str">
        <x:v>INS-374</x:v>
      </x:c>
      <x:c r="I30" s="51" t="str">
        <x:v>Facility-specific</x:v>
      </x:c>
      <x:c r="J30" s="51" t="str">
        <x:v>Fund cash</x:v>
      </x:c>
      <x:c r="K30" s="51" t="str">
        <x:v>Overnight Federal Reserve liability secured by Treasuries</x:v>
      </x:c>
      <x:c r="L30" s="51" t="str">
        <x:v>The ON RRP facility provides eligible funds with a direct overnight public counterparty</x:v>
      </x:c>
      <x:c r="M30" s="51" t="str">
        <x:v>E1</x:v>
      </x:c>
      <x:c r="N30" s="51" t="str">
        <x:v>High</x:v>
      </x:c>
      <x:c r="O30" s="51" t="str">
        <x:v>SRC-758; SRC-782; SRC-783</x:v>
      </x:c>
      <x:c r="P30" s="51" t="str">
        <x:v>Eligible money funds can place cash at the ON RRP facility.</x:v>
      </x:c>
      <x:c r="Q30" s="51" t="str">
        <x:v>FDIC insurance or an ordinary bank deposit.</x:v>
      </x:c>
      <x:c r="R30" s="51" t="str">
        <x:v>Eligibility and rate policy determine allocation.</x:v>
      </x:c>
      <x:c r="S30" s="51" t="str">
        <x:v>Active</x:v>
      </x:c>
    </x:row>
    <x:row r="31">
      <x:c r="A31" s="51" t="str">
        <x:v>V17FED-006</x:v>
      </x:c>
      <x:c r="B31" s="51" t="str">
        <x:v>Central-bank liquidity, collateral transformation and rate backstops</x:v>
      </x:c>
      <x:c r="C31" s="51" t="str">
        <x:v>Federal Reserve System</x:v>
      </x:c>
      <x:c r="D31" s="51" t="str">
        <x:v>FIMA Repo Facility</x:v>
      </x:c>
      <x:c r="E31" s="51" t="str">
        <x:v>Central bank → foreign-official facility</x:v>
      </x:c>
      <x:c r="F31" s="51" t="str">
        <x:v>Current 2026</x:v>
      </x:c>
      <x:c r="G31" s="51" t="str">
        <x:v>Standing foreign repo facility</x:v>
      </x:c>
      <x:c r="H31" s="51" t="str">
        <x:v>INS-375</x:v>
      </x:c>
      <x:c r="I31" s="51" t="str">
        <x:v>Facility-specific</x:v>
      </x:c>
      <x:c r="J31" s="51" t="str">
        <x:v>Treasury collateral rules</x:v>
      </x:c>
      <x:c r="K31" s="51" t="str">
        <x:v>Dollar liquidity access</x:v>
      </x:c>
      <x:c r="L31" s="51" t="str">
        <x:v>FIMA repo lets foreign official institutions obtain dollars without selling Treasury holdings</x:v>
      </x:c>
      <x:c r="M31" s="51" t="str">
        <x:v>E1</x:v>
      </x:c>
      <x:c r="N31" s="51" t="str">
        <x:v>High</x:v>
      </x:c>
      <x:c r="O31" s="51" t="str">
        <x:v>SRC-758</x:v>
      </x:c>
      <x:c r="P31" s="51" t="str">
        <x:v>The Federal Reserve maintains a FIMA repo facility.</x:v>
      </x:c>
      <x:c r="Q31" s="51" t="str">
        <x:v>Open access for private foreign entities or exchange-rate insurance.</x:v>
      </x:c>
      <x:c r="R31" s="51" t="str">
        <x:v>Official eligibility and collateral rules apply.</x:v>
      </x:c>
      <x:c r="S31" s="51" t="str">
        <x:v>Active</x:v>
      </x:c>
    </x:row>
    <x:row r="32">
      <x:c r="A32" s="51" t="str">
        <x:v>V17FED-007</x:v>
      </x:c>
      <x:c r="B32" s="51" t="str">
        <x:v>Central-bank liquidity, collateral transformation and rate backstops</x:v>
      </x:c>
      <x:c r="C32" s="51" t="str">
        <x:v>Foreign official institutions</x:v>
      </x:c>
      <x:c r="D32" s="51" t="str">
        <x:v>FIMA Repo Facility</x:v>
      </x:c>
      <x:c r="E32" s="51" t="str">
        <x:v>Official holder → facility</x:v>
      </x:c>
      <x:c r="F32" s="51" t="str">
        <x:v>Liquidity need</x:v>
      </x:c>
      <x:c r="G32" s="51" t="str">
        <x:v>Treasury collateral pledge</x:v>
      </x:c>
      <x:c r="H32" s="51" t="str">
        <x:v>INS-375</x:v>
      </x:c>
      <x:c r="I32" s="51" t="str">
        <x:v>Facility-specific</x:v>
      </x:c>
      <x:c r="J32" s="51" t="str">
        <x:v>U.S. Treasury securities</x:v>
      </x:c>
      <x:c r="K32" s="51" t="str">
        <x:v>Temporary dollar liquidity</x:v>
      </x:c>
      <x:c r="L32" s="51" t="str">
        <x:v>Official reserves become collateral for dollar funding instead of forced market sale</x:v>
      </x:c>
      <x:c r="M32" s="51" t="str">
        <x:v>E1</x:v>
      </x:c>
      <x:c r="N32" s="51" t="str">
        <x:v>High</x:v>
      </x:c>
      <x:c r="O32" s="51" t="str">
        <x:v>SRC-758</x:v>
      </x:c>
      <x:c r="P32" s="51" t="str">
        <x:v>The facility is designed for foreign and international monetary authorities.</x:v>
      </x:c>
      <x:c r="Q32" s="51" t="str">
        <x:v>Transfer of Treasury ownership or permanent financing.</x:v>
      </x:c>
      <x:c r="R32" s="51" t="str">
        <x:v>Transactions are temporary repos.</x:v>
      </x:c>
      <x:c r="S32" s="51" t="str">
        <x:v>Active</x:v>
      </x:c>
    </x:row>
    <x:row r="33">
      <x:c r="A33" s="51" t="str">
        <x:v>V17FHLB-001</x:v>
      </x:c>
      <x:c r="B33" s="51" t="str">
        <x:v>Federal Home Loan Bank secured liquidity</x:v>
      </x:c>
      <x:c r="C33" s="51" t="str">
        <x:v>Federal Home Loan Banks</x:v>
      </x:c>
      <x:c r="D33" s="51" t="str">
        <x:v>FHLBank member institutions</x:v>
      </x:c>
      <x:c r="E33" s="51" t="str">
        <x:v>System → member</x:v>
      </x:c>
      <x:c r="F33" s="51" t="str">
        <x:v>Ongoing</x:v>
      </x:c>
      <x:c r="G33" s="51" t="str">
        <x:v>Secured advance</x:v>
      </x:c>
      <x:c r="H33" s="51" t="str">
        <x:v>INS-376</x:v>
      </x:c>
      <x:c r="I33" s="51" t="str">
        <x:v>$676 billion advances outstanding at year-end 2025</x:v>
      </x:c>
      <x:c r="J33" s="51" t="str">
        <x:v>FHLBank debt funding and member collateral</x:v>
      </x:c>
      <x:c r="K33" s="51" t="str">
        <x:v>Wholesale bank liquidity</x:v>
      </x:c>
      <x:c r="L33" s="51" t="str">
        <x:v>The FHLBank System converts eligible collateral into term funding for member institutions</x:v>
      </x:c>
      <x:c r="M33" s="51" t="str">
        <x:v>E1</x:v>
      </x:c>
      <x:c r="N33" s="51" t="str">
        <x:v>Very high</x:v>
      </x:c>
      <x:c r="O33" s="51" t="str">
        <x:v>SRC-764; SRC-765</x:v>
      </x:c>
      <x:c r="P33" s="51" t="str">
        <x:v>The system reported $676 billion in advances and approximately 6,300 members.</x:v>
      </x:c>
      <x:c r="Q33" s="51" t="str">
        <x:v>Equity investment in the member or unconditional emergency support.</x:v>
      </x:c>
      <x:c r="R33" s="51" t="str">
        <x:v>Advances are secured obligations with membership and collateral requirements.</x:v>
      </x:c>
      <x:c r="S33" s="51" t="str">
        <x:v>Active</x:v>
      </x:c>
    </x:row>
    <x:row r="34">
      <x:c r="A34" s="51" t="str">
        <x:v>V17FHLB-002</x:v>
      </x:c>
      <x:c r="B34" s="51" t="str">
        <x:v>Federal Home Loan Bank secured liquidity</x:v>
      </x:c>
      <x:c r="C34" s="51" t="str">
        <x:v>FHLBank member institutions</x:v>
      </x:c>
      <x:c r="D34" s="51" t="str">
        <x:v>Federal Home Loan Banks</x:v>
      </x:c>
      <x:c r="E34" s="51" t="str">
        <x:v>Member → system</x:v>
      </x:c>
      <x:c r="F34" s="51" t="str">
        <x:v>Advance term</x:v>
      </x:c>
      <x:c r="G34" s="51" t="str">
        <x:v>Collateral pledge and repayment obligation</x:v>
      </x:c>
      <x:c r="H34" s="51" t="str">
        <x:v>INS-376</x:v>
      </x:c>
      <x:c r="I34" s="51" t="str">
        <x:v>Member-specific</x:v>
      </x:c>
      <x:c r="J34" s="51" t="str">
        <x:v>Eligible mortgage and other collateral</x:v>
      </x:c>
      <x:c r="K34" s="51" t="str">
        <x:v>Secured funding claim</x:v>
      </x:c>
      <x:c r="L34" s="51" t="str">
        <x:v>Members exchange asset encumbrance and interest payments for wholesale liquidity</x:v>
      </x:c>
      <x:c r="M34" s="51" t="str">
        <x:v>E1</x:v>
      </x:c>
      <x:c r="N34" s="51" t="str">
        <x:v>High</x:v>
      </x:c>
      <x:c r="O34" s="51" t="str">
        <x:v>SRC-764; SRC-765</x:v>
      </x:c>
      <x:c r="P34" s="51" t="str">
        <x:v>FHLBank advances are collateralised loans to members.</x:v>
      </x:c>
      <x:c r="Q34" s="51" t="str">
        <x:v>Sale of the underlying assets or deposit insurance.</x:v>
      </x:c>
      <x:c r="R34" s="51" t="str">
        <x:v>Haircuts and collateral priority affect risk allocation.</x:v>
      </x:c>
      <x:c r="S34" s="51" t="str">
        <x:v>Active</x:v>
      </x:c>
    </x:row>
    <x:row r="35">
      <x:c r="A35" s="51" t="str">
        <x:v>V17FHLB-003</x:v>
      </x:c>
      <x:c r="B35" s="51" t="str">
        <x:v>Federal Home Loan Bank secured liquidity</x:v>
      </x:c>
      <x:c r="C35" s="51" t="str">
        <x:v>FHLBank advances</x:v>
      </x:c>
      <x:c r="D35" s="51" t="str">
        <x:v>Commercial banks</x:v>
      </x:c>
      <x:c r="E35" s="51" t="str">
        <x:v>Secured funding → bank balance sheet</x:v>
      </x:c>
      <x:c r="F35" s="51" t="str">
        <x:v>Ongoing</x:v>
      </x:c>
      <x:c r="G35" s="51" t="str">
        <x:v>Wholesale liability</x:v>
      </x:c>
      <x:c r="H35" s="51" t="str">
        <x:v>INS-376</x:v>
      </x:c>
      <x:c r="I35" s="51" t="str">
        <x:v>Bank-specific</x:v>
      </x:c>
      <x:c r="J35" s="51" t="str">
        <x:v>Pledged assets and FHLBank membership</x:v>
      </x:c>
      <x:c r="K35" s="51" t="str">
        <x:v>Cash liquidity and funding maturity</x:v>
      </x:c>
      <x:c r="L35" s="51" t="str">
        <x:v>FHLBank advances can replace deposit outflows or market funding with secured borrowing</x:v>
      </x:c>
      <x:c r="M35" s="51" t="str">
        <x:v>S1</x:v>
      </x:c>
      <x:c r="N35" s="51" t="str">
        <x:v>High</x:v>
      </x:c>
      <x:c r="O35" s="51" t="str">
        <x:v>SRC-764; SRC-765</x:v>
      </x:c>
      <x:c r="P35" s="51" t="str">
        <x:v>Commercial banks are major FHLBank members and use advances for liquidity.</x:v>
      </x:c>
      <x:c r="Q35" s="51" t="str">
        <x:v>Permanent solvency support or absence of subordination effects on other creditors.</x:v>
      </x:c>
      <x:c r="R35" s="51" t="str">
        <x:v>Encumbrance can alter loss allocation in failure.</x:v>
      </x:c>
      <x:c r="S35" s="51" t="str">
        <x:v>Active</x:v>
      </x:c>
    </x:row>
    <x:row r="36">
      <x:c r="A36" s="51" t="str">
        <x:v>V17FICC-001</x:v>
      </x:c>
      <x:c r="B36" s="51" t="str">
        <x:v>FICC Treasury clearing and sponsored access</x:v>
      </x:c>
      <x:c r="C36" s="51" t="str">
        <x:v>Depository Trust &amp; Clearing Corporation</x:v>
      </x:c>
      <x:c r="D36" s="51" t="str">
        <x:v>Fixed Income Clearing Corporation</x:v>
      </x:c>
      <x:c r="E36" s="51" t="str">
        <x:v>Parent → clearing subsidiary</x:v>
      </x:c>
      <x:c r="F36" s="51" t="str">
        <x:v>Ongoing</x:v>
      </x:c>
      <x:c r="G36" s="51" t="str">
        <x:v>Ownership and governance</x:v>
      </x:c>
      <x:c r="H36" s="51" t="str">
        <x:v>INS-379</x:v>
      </x:c>
      <x:c r="I36" s="51" t="str">
        <x:v>Wholly owned subsidiary</x:v>
      </x:c>
      <x:c r="J36" s="51" t="str">
        <x:v>Corporate capital and governance</x:v>
      </x:c>
      <x:c r="K36" s="51" t="str">
        <x:v>Central clearing infrastructure</x:v>
      </x:c>
      <x:c r="L36" s="51" t="str">
        <x:v>Holding-company ownership supports a specialised CCP serving government-securities markets</x:v>
      </x:c>
      <x:c r="M36" s="51" t="str">
        <x:v>E1</x:v>
      </x:c>
      <x:c r="N36" s="51" t="str">
        <x:v>Very high</x:v>
      </x:c>
      <x:c r="O36" s="51" t="str">
        <x:v>SRC-777</x:v>
      </x:c>
      <x:c r="P36" s="51" t="str">
        <x:v>FICC is a wholly owned subsidiary of DTCC.</x:v>
      </x:c>
      <x:c r="Q36" s="51" t="str">
        <x:v>Government ownership or guarantee of FICC obligations.</x:v>
      </x:c>
      <x:c r="R36" s="51" t="str">
        <x:v>FICC remains a regulated private clearing corporation.</x:v>
      </x:c>
      <x:c r="S36" s="51" t="str">
        <x:v>Active</x:v>
      </x:c>
    </x:row>
    <x:row r="37">
      <x:c r="A37" s="51" t="str">
        <x:v>V17FICC-002</x:v>
      </x:c>
      <x:c r="B37" s="51" t="str">
        <x:v>FICC Treasury clearing and sponsored access</x:v>
      </x:c>
      <x:c r="C37" s="51" t="str">
        <x:v>Treasury market participants</x:v>
      </x:c>
      <x:c r="D37" s="51" t="str">
        <x:v>Fixed Income Clearing Corporation</x:v>
      </x:c>
      <x:c r="E37" s="51" t="str">
        <x:v>Participant → CCP</x:v>
      </x:c>
      <x:c r="F37" s="51" t="str">
        <x:v>Trade submission</x:v>
      </x:c>
      <x:c r="G37" s="51" t="str">
        <x:v>Central clearing</x:v>
      </x:c>
      <x:c r="H37" s="51" t="str">
        <x:v>INS-379</x:v>
      </x:c>
      <x:c r="I37" s="51" t="str">
        <x:v>Peak $11.8 trillion daily volume on June 30, 2025</x:v>
      </x:c>
      <x:c r="J37" s="51" t="str">
        <x:v>Treasury cash and repo trades plus margin</x:v>
      </x:c>
      <x:c r="K37" s="51" t="str">
        <x:v>Novated and netted obligations</x:v>
      </x:c>
      <x:c r="L37" s="51" t="str">
        <x:v>FICC converts many bilateral Treasury transactions into net obligations to a central counterparty</x:v>
      </x:c>
      <x:c r="M37" s="51" t="str">
        <x:v>E1</x:v>
      </x:c>
      <x:c r="N37" s="51" t="str">
        <x:v>Very high</x:v>
      </x:c>
      <x:c r="O37" s="51" t="str">
        <x:v>SRC-777; SRC-778; SRC-780</x:v>
      </x:c>
      <x:c r="P37" s="51" t="str">
        <x:v>FICC GSD clears government securities and repo transactions at very large scale.</x:v>
      </x:c>
      <x:c r="Q37" s="51" t="str">
        <x:v>Elimination of settlement risk or government guarantee.</x:v>
      </x:c>
      <x:c r="R37" s="51" t="str">
        <x:v>Members remain exposed through margin and default resources.</x:v>
      </x:c>
      <x:c r="S37" s="51" t="str">
        <x:v>Active</x:v>
      </x:c>
    </x:row>
    <x:row r="38">
      <x:c r="A38" s="51" t="str">
        <x:v>V17FICC-003</x:v>
      </x:c>
      <x:c r="B38" s="51" t="str">
        <x:v>FICC Treasury clearing and sponsored access</x:v>
      </x:c>
      <x:c r="C38" s="51" t="str">
        <x:v>Sponsoring clearing members</x:v>
      </x:c>
      <x:c r="D38" s="51" t="str">
        <x:v>Sponsored members</x:v>
      </x:c>
      <x:c r="E38" s="51" t="str">
        <x:v>Member → client</x:v>
      </x:c>
      <x:c r="F38" s="51" t="str">
        <x:v>Ongoing</x:v>
      </x:c>
      <x:c r="G38" s="51" t="str">
        <x:v>Sponsored repo access</x:v>
      </x:c>
      <x:c r="H38" s="51" t="str">
        <x:v>INS-380</x:v>
      </x:c>
      <x:c r="I38" s="51" t="str">
        <x:v>Client-specific</x:v>
      </x:c>
      <x:c r="J38" s="51" t="str">
        <x:v>Membership, credit and operational sponsorship</x:v>
      </x:c>
      <x:c r="K38" s="51" t="str">
        <x:v>Access to FICC central clearing</x:v>
      </x:c>
      <x:c r="L38" s="51" t="str">
        <x:v>Sponsorship converts a non-member's repo into a centrally cleared transaction through a member</x:v>
      </x:c>
      <x:c r="M38" s="51" t="str">
        <x:v>E1</x:v>
      </x:c>
      <x:c r="N38" s="51" t="str">
        <x:v>Very high</x:v>
      </x:c>
      <x:c r="O38" s="51" t="str">
        <x:v>SRC-774; SRC-779; SRC-781</x:v>
      </x:c>
      <x:c r="P38" s="51" t="str">
        <x:v>FICC's sponsored service allows eligible clients to clear through sponsoring members.</x:v>
      </x:c>
      <x:c r="Q38" s="51" t="str">
        <x:v>Direct FICC membership or removal of sponsor credit and operational obligations.</x:v>
      </x:c>
      <x:c r="R38" s="51" t="str">
        <x:v>Sponsor terms and margin allocation matter.</x:v>
      </x:c>
      <x:c r="S38" s="51" t="str">
        <x:v>Active</x:v>
      </x:c>
    </x:row>
    <x:row r="39">
      <x:c r="A39" s="51" t="str">
        <x:v>V17FICC-004</x:v>
      </x:c>
      <x:c r="B39" s="51" t="str">
        <x:v>FICC Treasury clearing and sponsored access</x:v>
      </x:c>
      <x:c r="C39" s="51" t="str">
        <x:v>Hedge funds</x:v>
      </x:c>
      <x:c r="D39" s="51" t="str">
        <x:v>Sponsored members</x:v>
      </x:c>
      <x:c r="E39" s="51" t="str">
        <x:v>Leveraged fund → clearing status</x:v>
      </x:c>
      <x:c r="F39" s="51" t="str">
        <x:v>Current 2026</x:v>
      </x:c>
      <x:c r="G39" s="51" t="str">
        <x:v>Sponsored repo participation</x:v>
      </x:c>
      <x:c r="H39" s="51" t="str">
        <x:v>INS-380</x:v>
      </x:c>
      <x:c r="I39" s="51" t="str">
        <x:v>Majority category in OFR sponsored-repo data</x:v>
      </x:c>
      <x:c r="J39" s="51" t="str">
        <x:v>Treasury collateral and financing demand</x:v>
      </x:c>
      <x:c r="K39" s="51" t="str">
        <x:v>Centrally cleared repo access</x:v>
      </x:c>
      <x:c r="L39" s="51" t="str">
        <x:v>Sponsored clearing gives leveraged nonbanks access to netting and broader repo counterparties</x:v>
      </x:c>
      <x:c r="M39" s="51" t="str">
        <x:v>E1</x:v>
      </x:c>
      <x:c r="N39" s="51" t="str">
        <x:v>High</x:v>
      </x:c>
      <x:c r="O39" s="51" t="str">
        <x:v>SRC-774</x:v>
      </x:c>
      <x:c r="P39" s="51" t="str">
        <x:v>OFR states that the majority of sponsored repo activity involves hedge funds.</x:v>
      </x:c>
      <x:c r="Q39" s="51" t="str">
        <x:v>Uniform leverage or guaranteed financing.</x:v>
      </x:c>
      <x:c r="R39" s="51" t="str">
        <x:v>Membership and sponsor risk controls constrain access.</x:v>
      </x:c>
      <x:c r="S39" s="51" t="str">
        <x:v>Active</x:v>
      </x:c>
    </x:row>
    <x:row r="40">
      <x:c r="A40" s="51" t="str">
        <x:v>V17FICC-005</x:v>
      </x:c>
      <x:c r="B40" s="51" t="str">
        <x:v>FICC Treasury clearing and sponsored access</x:v>
      </x:c>
      <x:c r="C40" s="51" t="str">
        <x:v>Securities and Exchange Commission</x:v>
      </x:c>
      <x:c r="D40" s="51" t="str">
        <x:v>Fixed Income Clearing Corporation</x:v>
      </x:c>
      <x:c r="E40" s="51" t="str">
        <x:v>Regulator → CCP</x:v>
      </x:c>
      <x:c r="F40" s="51" t="str">
        <x:v>2026–2027</x:v>
      </x:c>
      <x:c r="G40" s="51" t="str">
        <x:v>Treasury clearing compliance framework</x:v>
      </x:c>
      <x:c r="H40" s="51" t="str">
        <x:v>INS-381</x:v>
      </x:c>
      <x:c r="I40" s="51" t="str">
        <x:v>Cash deadline Dec. 31, 2026; repo deadline June 30, 2027</x:v>
      </x:c>
      <x:c r="J40" s="51" t="str">
        <x:v>Covered clearing-agency rules</x:v>
      </x:c>
      <x:c r="K40" s="51" t="str">
        <x:v>Expanded transaction-clearing perimeter</x:v>
      </x:c>
      <x:c r="L40" s="51" t="str">
        <x:v>Regulation can shift bilateral Treasury exposures into central clearing</x:v>
      </x:c>
      <x:c r="M40" s="51" t="str">
        <x:v>E1</x:v>
      </x:c>
      <x:c r="N40" s="51" t="str">
        <x:v>Very high</x:v>
      </x:c>
      <x:c r="O40" s="51" t="str">
        <x:v>SRC-766; SRC-767</x:v>
      </x:c>
      <x:c r="P40" s="51" t="str">
        <x:v>The SEC extended and maintains mandatory clearing deadlines for eligible cash and repo transactions.</x:v>
      </x:c>
      <x:c r="Q40" s="51" t="str">
        <x:v>All Treasury transactions becoming centrally cleared immediately.</x:v>
      </x:c>
      <x:c r="R40" s="51" t="str">
        <x:v>Exemptions, access models and implementation remain complex.</x:v>
      </x:c>
      <x:c r="S40" s="51" t="str">
        <x:v>Implementation</x:v>
      </x:c>
    </x:row>
    <x:row r="41">
      <x:c r="A41" s="51" t="str">
        <x:v>V17FICC-006</x:v>
      </x:c>
      <x:c r="B41" s="51" t="str">
        <x:v>FICC Treasury clearing and sponsored access</x:v>
      </x:c>
      <x:c r="C41" s="51" t="str">
        <x:v>Fixed Income Clearing Corporation</x:v>
      </x:c>
      <x:c r="D41" s="51" t="str">
        <x:v>Treasury market participants</x:v>
      </x:c>
      <x:c r="E41" s="51" t="str">
        <x:v>CCP → market</x:v>
      </x:c>
      <x:c r="F41" s="51" t="str">
        <x:v>2025–2027</x:v>
      </x:c>
      <x:c r="G41" s="51" t="str">
        <x:v>Netting, margin and settlement services</x:v>
      </x:c>
      <x:c r="H41" s="51" t="str">
        <x:v>INS-379; INS-381</x:v>
      </x:c>
      <x:c r="I41" s="51" t="str">
        <x:v>Market-wide expansion</x:v>
      </x:c>
      <x:c r="J41" s="51" t="str">
        <x:v>Submitted transactions and collateral</x:v>
      </x:c>
      <x:c r="K41" s="51" t="str">
        <x:v>Reduced gross settlement obligations and mutualised default framework</x:v>
      </x:c>
      <x:c r="L41" s="51" t="str">
        <x:v>Central clearing can reduce bilateral settlement exposures while concentrating margin and default risk</x:v>
      </x:c>
      <x:c r="M41" s="51" t="str">
        <x:v>E1</x:v>
      </x:c>
      <x:c r="N41" s="51" t="str">
        <x:v>High</x:v>
      </x:c>
      <x:c r="O41" s="51" t="str">
        <x:v>SRC-779; SRC-780; SRC-781</x:v>
      </x:c>
      <x:c r="P41" s="51" t="str">
        <x:v>FICC provides comparison, netting, settlement and risk management.</x:v>
      </x:c>
      <x:c r="Q41" s="51" t="str">
        <x:v>Reduction of all leverage or liquidity needs.</x:v>
      </x:c>
      <x:c r="R41" s="51" t="str">
        <x:v>Margin and default resources can create new concentration and procyclicality.</x:v>
      </x:c>
      <x:c r="S41" s="51" t="str">
        <x:v>Active expansion</x:v>
      </x:c>
    </x:row>
    <x:row r="42">
      <x:c r="A42" s="51" t="str">
        <x:v>V17MMF-001</x:v>
      </x:c>
      <x:c r="B42" s="51" t="str">
        <x:v>Money market funds and cash-management substitution</x:v>
      </x:c>
      <x:c r="C42" s="51" t="str">
        <x:v>Money market fund investors</x:v>
      </x:c>
      <x:c r="D42" s="51" t="str">
        <x:v>Money market funds</x:v>
      </x:c>
      <x:c r="E42" s="51" t="str">
        <x:v>Investor → fund</x:v>
      </x:c>
      <x:c r="F42" s="51" t="str">
        <x:v>Subscription</x:v>
      </x:c>
      <x:c r="G42" s="51" t="str">
        <x:v>Purchase of redeemable shares</x:v>
      </x:c>
      <x:c r="H42" s="51" t="str">
        <x:v>INS-382; INS-383</x:v>
      </x:c>
      <x:c r="I42" s="51" t="str">
        <x:v>$7.86 trillion total sector assets on July 22, 2026</x:v>
      </x:c>
      <x:c r="J42" s="51" t="str">
        <x:v>Investor cash</x:v>
      </x:c>
      <x:c r="K42" s="51" t="str">
        <x:v>Fund share claim</x:v>
      </x:c>
      <x:c r="L42" s="51" t="str">
        <x:v>Money funds convert investor cash into pooled short-duration portfolios</x:v>
      </x:c>
      <x:c r="M42" s="51" t="str">
        <x:v>E2</x:v>
      </x:c>
      <x:c r="N42" s="51" t="str">
        <x:v>Very high</x:v>
      </x:c>
      <x:c r="O42" s="51" t="str">
        <x:v>SRC-768; SRC-769</x:v>
      </x:c>
      <x:c r="P42" s="51" t="str">
        <x:v>ICI reported $7.86 trillion in U.S. money market fund assets.</x:v>
      </x:c>
      <x:c r="Q42" s="51" t="str">
        <x:v>Bank deposit, FDIC insurance or guaranteed stable value in every fund.</x:v>
      </x:c>
      <x:c r="R42" s="51" t="str">
        <x:v>Fund type, NAV and sponsor support differ.</x:v>
      </x:c>
      <x:c r="S42" s="51" t="str">
        <x:v>Active</x:v>
      </x:c>
    </x:row>
    <x:row r="43">
      <x:c r="A43" s="51" t="str">
        <x:v>V17MMF-002</x:v>
      </x:c>
      <x:c r="B43" s="51" t="str">
        <x:v>Money market funds and cash-management substitution</x:v>
      </x:c>
      <x:c r="C43" s="51" t="str">
        <x:v>Money market funds</x:v>
      </x:c>
      <x:c r="D43" s="51" t="str">
        <x:v>Money market fund investors</x:v>
      </x:c>
      <x:c r="E43" s="51" t="str">
        <x:v>Fund → shareholder</x:v>
      </x:c>
      <x:c r="F43" s="51" t="str">
        <x:v>On redemption</x:v>
      </x:c>
      <x:c r="G43" s="51" t="str">
        <x:v>Cash payment at fund NAV</x:v>
      </x:c>
      <x:c r="H43" s="51" t="str">
        <x:v>INS-382; INS-383</x:v>
      </x:c>
      <x:c r="I43" s="51" t="str">
        <x:v>Share-specific</x:v>
      </x:c>
      <x:c r="J43" s="51" t="str">
        <x:v>Portfolio liquidity and redemption request</x:v>
      </x:c>
      <x:c r="K43" s="51" t="str">
        <x:v>Redemption proceeds</x:v>
      </x:c>
      <x:c r="L43" s="51" t="str">
        <x:v>Redeemable fund shares provide cash-like liquidity backed by market assets rather than bank deposits</x:v>
      </x:c>
      <x:c r="M43" s="51" t="str">
        <x:v>E1</x:v>
      </x:c>
      <x:c r="N43" s="51" t="str">
        <x:v>High</x:v>
      </x:c>
      <x:c r="O43" s="51" t="str">
        <x:v>SRC-768</x:v>
      </x:c>
      <x:c r="P43" s="51" t="str">
        <x:v>Rule 2a-7 regulates liquidity and redemption features.</x:v>
      </x:c>
      <x:c r="Q43" s="51" t="str">
        <x:v>Instant payment under all stress or public guarantee.</x:v>
      </x:c>
      <x:c r="R43" s="51" t="str">
        <x:v>Liquidity fees and market conditions can affect redemption economics.</x:v>
      </x:c>
      <x:c r="S43" s="51" t="str">
        <x:v>Active</x:v>
      </x:c>
    </x:row>
    <x:row r="44">
      <x:c r="A44" s="51" t="str">
        <x:v>V17MMF-003</x:v>
      </x:c>
      <x:c r="B44" s="51" t="str">
        <x:v>Money market funds and cash-management substitution</x:v>
      </x:c>
      <x:c r="C44" s="51" t="str">
        <x:v>Securities and Exchange Commission</x:v>
      </x:c>
      <x:c r="D44" s="51" t="str">
        <x:v>Money market funds</x:v>
      </x:c>
      <x:c r="E44" s="51" t="str">
        <x:v>Regulator → funds</x:v>
      </x:c>
      <x:c r="F44" s="51" t="str">
        <x:v>Current 2026</x:v>
      </x:c>
      <x:c r="G44" s="51" t="str">
        <x:v>Rule 2a-7 liquidity and fee framework</x:v>
      </x:c>
      <x:c r="H44" s="51" t="str">
        <x:v>INS-382</x:v>
      </x:c>
      <x:c r="I44" s="51" t="str">
        <x:v>25% daily and 50% weekly liquid-asset minimums</x:v>
      </x:c>
      <x:c r="J44" s="51" t="str">
        <x:v>Portfolio and redemption rules</x:v>
      </x:c>
      <x:c r="K44" s="51" t="str">
        <x:v>Liquidity buffers, fees and disclosures</x:v>
      </x:c>
      <x:c r="L44" s="51" t="str">
        <x:v>SEC regulation converts redemption risk into portfolio-liquidity requirements</x:v>
      </x:c>
      <x:c r="M44" s="51" t="str">
        <x:v>E1</x:v>
      </x:c>
      <x:c r="N44" s="51" t="str">
        <x:v>Very high</x:v>
      </x:c>
      <x:c r="O44" s="51" t="str">
        <x:v>SRC-768</x:v>
      </x:c>
      <x:c r="P44" s="51" t="str">
        <x:v>The SEC increased daily and weekly liquid-asset minimums and changed fee rules.</x:v>
      </x:c>
      <x:c r="Q44" s="51" t="str">
        <x:v>FDIC protection or prohibition of fund losses.</x:v>
      </x:c>
      <x:c r="R44" s="51" t="str">
        <x:v>Rules differ by government, retail and institutional fund type.</x:v>
      </x:c>
      <x:c r="S44" s="51" t="str">
        <x:v>Active</x:v>
      </x:c>
    </x:row>
    <x:row r="45">
      <x:c r="A45" s="51" t="str">
        <x:v>V17MMF-004</x:v>
      </x:c>
      <x:c r="B45" s="51" t="str">
        <x:v>Money market funds and cash-management substitution</x:v>
      </x:c>
      <x:c r="C45" s="51" t="str">
        <x:v>Government money market funds</x:v>
      </x:c>
      <x:c r="D45" s="51" t="str">
        <x:v>Repo cash lenders</x:v>
      </x:c>
      <x:c r="E45" s="51" t="str">
        <x:v>Fund → repo market</x:v>
      </x:c>
      <x:c r="F45" s="51" t="str">
        <x:v>Ongoing</x:v>
      </x:c>
      <x:c r="G45" s="51" t="str">
        <x:v>Reverse repo investment</x:v>
      </x:c>
      <x:c r="H45" s="51" t="str">
        <x:v>INS-377; INS-383</x:v>
      </x:c>
      <x:c r="I45" s="51" t="str">
        <x:v>Sector-specific</x:v>
      </x:c>
      <x:c r="J45" s="51" t="str">
        <x:v>Investor cash and portfolio mandate</x:v>
      </x:c>
      <x:c r="K45" s="51" t="str">
        <x:v>Secured short-term asset</x:v>
      </x:c>
      <x:c r="L45" s="51" t="str">
        <x:v>Government money funds channel cash into Treasury and agency repo financing</x:v>
      </x:c>
      <x:c r="M45" s="51" t="str">
        <x:v>E1</x:v>
      </x:c>
      <x:c r="N45" s="51" t="str">
        <x:v>High</x:v>
      </x:c>
      <x:c r="O45" s="51" t="str">
        <x:v>SRC-782; SRC-783</x:v>
      </x:c>
      <x:c r="P45" s="51" t="str">
        <x:v>Federal Reserve research documents MMF allocation across ON RRP, tri-party and FICC repo.</x:v>
      </x:c>
      <x:c r="Q45" s="51" t="str">
        <x:v>Permanent allocation to one venue or bank-deposit status.</x:v>
      </x:c>
      <x:c r="R45" s="51" t="str">
        <x:v>Relative rates and counterparty access shift portfolios.</x:v>
      </x:c>
      <x:c r="S45" s="51" t="str">
        <x:v>Active</x:v>
      </x:c>
    </x:row>
    <x:row r="46">
      <x:c r="A46" s="51" t="str">
        <x:v>V17MMF-005</x:v>
      </x:c>
      <x:c r="B46" s="51" t="str">
        <x:v>Money market funds and cash-management substitution</x:v>
      </x:c>
      <x:c r="C46" s="51" t="str">
        <x:v>Money market funds</x:v>
      </x:c>
      <x:c r="D46" s="51" t="str">
        <x:v>US Treasury market</x:v>
      </x:c>
      <x:c r="E46" s="51" t="str">
        <x:v>Cash pool → government market</x:v>
      </x:c>
      <x:c r="F46" s="51" t="str">
        <x:v>Ongoing</x:v>
      </x:c>
      <x:c r="G46" s="51" t="str">
        <x:v>Treasury bills, repo and government securities investment</x:v>
      </x:c>
      <x:c r="H46" s="51" t="str">
        <x:v>INS-383</x:v>
      </x:c>
      <x:c r="I46" s="51" t="str">
        <x:v>Multi-trillion-dollar sector</x:v>
      </x:c>
      <x:c r="J46" s="51" t="str">
        <x:v>Redeemable investor cash</x:v>
      </x:c>
      <x:c r="K46" s="51" t="str">
        <x:v>Government short-term financing demand</x:v>
      </x:c>
      <x:c r="L46" s="51" t="str">
        <x:v>Money funds connect household and institutional cash to sovereign short-term funding</x:v>
      </x:c>
      <x:c r="M46" s="51" t="str">
        <x:v>E2</x:v>
      </x:c>
      <x:c r="N46" s="51" t="str">
        <x:v>High</x:v>
      </x:c>
      <x:c r="O46" s="51" t="str">
        <x:v>SRC-769; SRC-776; SRC-782</x:v>
      </x:c>
      <x:c r="P46" s="51" t="str">
        <x:v>Money funds hold large short-duration portfolios including government instruments and repo.</x:v>
      </x:c>
      <x:c r="Q46" s="51" t="str">
        <x:v>Direct financing of all Treasury issuance or stable holdings in every stress.</x:v>
      </x:c>
      <x:c r="R46" s="51" t="str">
        <x:v>Portfolio composition changes with rates and regulation.</x:v>
      </x:c>
      <x:c r="S46" s="51" t="str">
        <x:v>Active</x:v>
      </x:c>
    </x:row>
    <x:row r="47">
      <x:c r="A47" s="51" t="str">
        <x:v>V17MMF-006</x:v>
      </x:c>
      <x:c r="B47" s="51" t="str">
        <x:v>Money market funds and cash-management substitution</x:v>
      </x:c>
      <x:c r="C47" s="51" t="str">
        <x:v>Money market fund sponsors</x:v>
      </x:c>
      <x:c r="D47" s="51" t="str">
        <x:v>Money market funds</x:v>
      </x:c>
      <x:c r="E47" s="51" t="str">
        <x:v>Sponsor → fund</x:v>
      </x:c>
      <x:c r="F47" s="51" t="str">
        <x:v>Ongoing</x:v>
      </x:c>
      <x:c r="G47" s="51" t="str">
        <x:v>Management, operations and discretionary support</x:v>
      </x:c>
      <x:c r="H47" s="51" t="str">
        <x:v>INS-382; INS-383</x:v>
      </x:c>
      <x:c r="I47" s="51" t="str">
        <x:v>Fund-complex-specific</x:v>
      </x:c>
      <x:c r="J47" s="51" t="str">
        <x:v>Management systems, brand and capital</x:v>
      </x:c>
      <x:c r="K47" s="51" t="str">
        <x:v>Fund operation and possible support</x:v>
      </x:c>
      <x:c r="L47" s="51" t="str">
        <x:v>Sponsor reputation and operational capacity support cash-like fund products without creating formal deposit insurance</x:v>
      </x:c>
      <x:c r="M47" s="51" t="str">
        <x:v>S1</x:v>
      </x:c>
      <x:c r="N47" s="51" t="str">
        <x:v>High</x:v>
      </x:c>
      <x:c r="O47" s="51" t="str">
        <x:v>SRC-768</x:v>
      </x:c>
      <x:c r="P47" s="51" t="str">
        <x:v>Fund sponsors manage registered money market funds.</x:v>
      </x:c>
      <x:c r="Q47" s="51" t="str">
        <x:v>Legally guaranteed support in every loss event.</x:v>
      </x:c>
      <x:c r="R47" s="51" t="str">
        <x:v>Support may be discretionary and regulated.</x:v>
      </x:c>
      <x:c r="S47" s="51" t="str">
        <x:v>Active</x:v>
      </x:c>
    </x:row>
    <x:row r="48">
      <x:c r="A48" s="51" t="str">
        <x:v>V17REPO-001</x:v>
      </x:c>
      <x:c r="B48" s="51" t="str">
        <x:v>Repo, reverse repo and secured wholesale funding</x:v>
      </x:c>
      <x:c r="C48" s="51" t="str">
        <x:v>Repo cash lenders</x:v>
      </x:c>
      <x:c r="D48" s="51" t="str">
        <x:v>Repo cash borrowers</x:v>
      </x:c>
      <x:c r="E48" s="51" t="str">
        <x:v>Cash lender → borrower</x:v>
      </x:c>
      <x:c r="F48" s="51" t="str">
        <x:v>Repo term</x:v>
      </x:c>
      <x:c r="G48" s="51" t="str">
        <x:v>Cash against securities</x:v>
      </x:c>
      <x:c r="H48" s="51" t="str">
        <x:v>INS-377</x:v>
      </x:c>
      <x:c r="I48" s="51" t="str">
        <x:v>Approximately $12.5–$12.6 trillion average daily U.S. exposures in 2025</x:v>
      </x:c>
      <x:c r="J48" s="51" t="str">
        <x:v>Cash and agreed rate</x:v>
      </x:c>
      <x:c r="K48" s="51" t="str">
        <x:v>Secured short-term funding</x:v>
      </x:c>
      <x:c r="L48" s="51" t="str">
        <x:v>Repo transforms securities inventories into cash funding</x:v>
      </x:c>
      <x:c r="M48" s="51" t="str">
        <x:v>E1</x:v>
      </x:c>
      <x:c r="N48" s="51" t="str">
        <x:v>Very high</x:v>
      </x:c>
      <x:c r="O48" s="51" t="str">
        <x:v>SRC-770; SRC-773</x:v>
      </x:c>
      <x:c r="P48" s="51" t="str">
        <x:v>The U.S. repo market is a multi-trillion-dollar daily funding market.</x:v>
      </x:c>
      <x:c r="Q48" s="51" t="str">
        <x:v>Unsecured lending or permanent sale of economic exposure.</x:v>
      </x:c>
      <x:c r="R48" s="51" t="str">
        <x:v>Legal form and accounting can differ from economic substance.</x:v>
      </x:c>
      <x:c r="S48" s="51" t="str">
        <x:v>Active</x:v>
      </x:c>
    </x:row>
    <x:row r="49">
      <x:c r="A49" s="51" t="str">
        <x:v>V17REPO-002</x:v>
      </x:c>
      <x:c r="B49" s="51" t="str">
        <x:v>Repo, reverse repo and secured wholesale funding</x:v>
      </x:c>
      <x:c r="C49" s="51" t="str">
        <x:v>Repo cash borrowers</x:v>
      </x:c>
      <x:c r="D49" s="51" t="str">
        <x:v>Repo cash lenders</x:v>
      </x:c>
      <x:c r="E49" s="51" t="str">
        <x:v>Borrower → lender</x:v>
      </x:c>
      <x:c r="F49" s="51" t="str">
        <x:v>Repo opening leg</x:v>
      </x:c>
      <x:c r="G49" s="51" t="str">
        <x:v>Securities transfer and repurchase promise</x:v>
      </x:c>
      <x:c r="H49" s="51" t="str">
        <x:v>INS-377</x:v>
      </x:c>
      <x:c r="I49" s="51" t="str">
        <x:v>Trade-specific</x:v>
      </x:c>
      <x:c r="J49" s="51" t="str">
        <x:v>Treasury or other eligible securities</x:v>
      </x:c>
      <x:c r="K49" s="51" t="str">
        <x:v>Collateral plus contractual repurchase obligation</x:v>
      </x:c>
      <x:c r="L49" s="51" t="str">
        <x:v>The borrower transfers securities while retaining an obligation to repurchase them</x:v>
      </x:c>
      <x:c r="M49" s="51" t="str">
        <x:v>E1</x:v>
      </x:c>
      <x:c r="N49" s="51" t="str">
        <x:v>Very high</x:v>
      </x:c>
      <x:c r="O49" s="51" t="str">
        <x:v>SRC-770; SRC-788</x:v>
      </x:c>
      <x:c r="P49" s="51" t="str">
        <x:v>Repo involves temporary exchange of cash for securities and later repurchase.</x:v>
      </x:c>
      <x:c r="Q49" s="51" t="str">
        <x:v>Permanent beneficial sale in ordinary economic analysis.</x:v>
      </x:c>
      <x:c r="R49" s="51" t="str">
        <x:v>Default and legal documentation determine title consequences.</x:v>
      </x:c>
      <x:c r="S49" s="51" t="str">
        <x:v>Active</x:v>
      </x:c>
    </x:row>
    <x:row r="50">
      <x:c r="A50" s="51" t="str">
        <x:v>V17REPO-003</x:v>
      </x:c>
      <x:c r="B50" s="51" t="str">
        <x:v>Repo, reverse repo and secured wholesale funding</x:v>
      </x:c>
      <x:c r="C50" s="51" t="str">
        <x:v>Treasury collateral</x:v>
      </x:c>
      <x:c r="D50" s="51" t="str">
        <x:v>Repo cash lenders</x:v>
      </x:c>
      <x:c r="E50" s="51" t="str">
        <x:v>Collateral → lender protection</x:v>
      </x:c>
      <x:c r="F50" s="51" t="str">
        <x:v>Repo term</x:v>
      </x:c>
      <x:c r="G50" s="51" t="str">
        <x:v>Haircut-adjusted security value</x:v>
      </x:c>
      <x:c r="H50" s="51" t="str">
        <x:v>INS-377; INS-378</x:v>
      </x:c>
      <x:c r="I50" s="51" t="str">
        <x:v>Trade-specific</x:v>
      </x:c>
      <x:c r="J50" s="51" t="str">
        <x:v>Marketable government securities</x:v>
      </x:c>
      <x:c r="K50" s="51" t="str">
        <x:v>Secured recovery resource</x:v>
      </x:c>
      <x:c r="L50" s="51" t="str">
        <x:v>Collateral and haircuts reduce lender exposure while encumbering the borrower's assets</x:v>
      </x:c>
      <x:c r="M50" s="51" t="str">
        <x:v>E1</x:v>
      </x:c>
      <x:c r="N50" s="51" t="str">
        <x:v>High</x:v>
      </x:c>
      <x:c r="O50" s="51" t="str">
        <x:v>SRC-771; SRC-788</x:v>
      </x:c>
      <x:c r="P50" s="51" t="str">
        <x:v>Treasuries are a dominant repo collateral class.</x:v>
      </x:c>
      <x:c r="Q50" s="51" t="str">
        <x:v>Zero market risk, zero operational risk or guaranteed liquidation value.</x:v>
      </x:c>
      <x:c r="R50" s="51" t="str">
        <x:v>Price moves and settlement timing still matter.</x:v>
      </x:c>
      <x:c r="S50" s="51" t="str">
        <x:v>Active</x:v>
      </x:c>
    </x:row>
    <x:row r="51">
      <x:c r="A51" s="51" t="str">
        <x:v>V17REPO-004</x:v>
      </x:c>
      <x:c r="B51" s="51" t="str">
        <x:v>Repo, reverse repo and secured wholesale funding</x:v>
      </x:c>
      <x:c r="C51" s="51" t="str">
        <x:v>Office of Financial Research</x:v>
      </x:c>
      <x:c r="D51" s="51" t="str">
        <x:v>Repo cash lenders</x:v>
      </x:c>
      <x:c r="E51" s="51" t="str">
        <x:v>Public data office → market participants</x:v>
      </x:c>
      <x:c r="F51" s="51" t="str">
        <x:v>2025–2026</x:v>
      </x:c>
      <x:c r="G51" s="51" t="str">
        <x:v>Repo data collection and publication</x:v>
      </x:c>
      <x:c r="H51" s="51" t="str">
        <x:v>INS-377</x:v>
      </x:c>
      <x:c r="I51" s="51" t="str">
        <x:v>Market-wide</x:v>
      </x:c>
      <x:c r="J51" s="51" t="str">
        <x:v>Transaction-level reporting</x:v>
      </x:c>
      <x:c r="K51" s="51" t="str">
        <x:v>Market size, counterparty and venue transparency</x:v>
      </x:c>
      <x:c r="L51" s="51" t="str">
        <x:v>Public data converts opaque bilateral funding into observable systemic exposures</x:v>
      </x:c>
      <x:c r="M51" s="51" t="str">
        <x:v>E1</x:v>
      </x:c>
      <x:c r="N51" s="51" t="str">
        <x:v>Very high</x:v>
      </x:c>
      <x:c r="O51" s="51" t="str">
        <x:v>SRC-770; SRC-771; SRC-772; SRC-773; SRC-799</x:v>
      </x:c>
      <x:c r="P51" s="51" t="str">
        <x:v>OFR reports the size and participant structure of U.S. repo markets.</x:v>
      </x:c>
      <x:c r="Q51" s="51" t="str">
        <x:v>Complete visibility into all contractual terms or real-time regulator control.</x:v>
      </x:c>
      <x:c r="R51" s="51" t="str">
        <x:v>Data coverage and netting conventions remain important.</x:v>
      </x:c>
      <x:c r="S51" s="51" t="str">
        <x:v>Active</x:v>
      </x:c>
    </x:row>
    <x:row r="52">
      <x:c r="A52" s="51" t="str">
        <x:v>V17REPO-005</x:v>
      </x:c>
      <x:c r="B52" s="51" t="str">
        <x:v>Repo, reverse repo and secured wholesale funding</x:v>
      </x:c>
      <x:c r="C52" s="51" t="str">
        <x:v>Government-sponsored enterprises</x:v>
      </x:c>
      <x:c r="D52" s="51" t="str">
        <x:v>Repo cash borrowers</x:v>
      </x:c>
      <x:c r="E52" s="51" t="str">
        <x:v>Institution → repo market</x:v>
      </x:c>
      <x:c r="F52" s="51" t="str">
        <x:v>2025–2026</x:v>
      </x:c>
      <x:c r="G52" s="51" t="str">
        <x:v>Cash lending or borrowing by segment</x:v>
      </x:c>
      <x:c r="H52" s="51" t="str">
        <x:v>INS-377</x:v>
      </x:c>
      <x:c r="I52" s="51" t="str">
        <x:v>Large market participant category</x:v>
      </x:c>
      <x:c r="J52" s="51" t="str">
        <x:v>Cash balances or securities holdings</x:v>
      </x:c>
      <x:c r="K52" s="51" t="str">
        <x:v>Short-term funding position</x:v>
      </x:c>
      <x:c r="L52" s="51" t="str">
        <x:v>GSEs connect public-purpose balance sheets to private Treasury funding markets</x:v>
      </x:c>
      <x:c r="M52" s="51" t="str">
        <x:v>E1</x:v>
      </x:c>
      <x:c r="N52" s="51" t="str">
        <x:v>High</x:v>
      </x:c>
      <x:c r="O52" s="51" t="str">
        <x:v>SRC-773</x:v>
      </x:c>
      <x:c r="P52" s="51" t="str">
        <x:v>OFR identifies GSEs as important repo-market participants.</x:v>
      </x:c>
      <x:c r="Q52" s="51" t="str">
        <x:v>Uniform net lender status in every segment or government guarantee of counterparties.</x:v>
      </x:c>
      <x:c r="R52" s="51" t="str">
        <x:v>Position varies by market and date.</x:v>
      </x:c>
      <x:c r="S52" s="51" t="str">
        <x:v>Active</x:v>
      </x:c>
    </x:row>
    <x:row r="53">
      <x:c r="A53" s="51" t="str">
        <x:v>V17REPO-006</x:v>
      </x:c>
      <x:c r="B53" s="51" t="str">
        <x:v>Repo, reverse repo and secured wholesale funding</x:v>
      </x:c>
      <x:c r="C53" s="51" t="str">
        <x:v>Hedge funds</x:v>
      </x:c>
      <x:c r="D53" s="51" t="str">
        <x:v>Repo cash borrowers</x:v>
      </x:c>
      <x:c r="E53" s="51" t="str">
        <x:v>Leveraged investor → funding market</x:v>
      </x:c>
      <x:c r="F53" s="51" t="str">
        <x:v>2025–2026</x:v>
      </x:c>
      <x:c r="G53" s="51" t="str">
        <x:v>Treasury-financing demand</x:v>
      </x:c>
      <x:c r="H53" s="51" t="str">
        <x:v>INS-377; INS-380</x:v>
      </x:c>
      <x:c r="I53" s="51" t="str">
        <x:v>Major sponsored-repo borrower category</x:v>
      </x:c>
      <x:c r="J53" s="51" t="str">
        <x:v>Treasury positions and collateral</x:v>
      </x:c>
      <x:c r="K53" s="51" t="str">
        <x:v>Short-term leverage</x:v>
      </x:c>
      <x:c r="L53" s="51" t="str">
        <x:v>Repo allows hedge funds to finance large securities positions with relatively small equity</x:v>
      </x:c>
      <x:c r="M53" s="51" t="str">
        <x:v>E1</x:v>
      </x:c>
      <x:c r="N53" s="51" t="str">
        <x:v>High</x:v>
      </x:c>
      <x:c r="O53" s="51" t="str">
        <x:v>SRC-774; SRC-773</x:v>
      </x:c>
      <x:c r="P53" s="51" t="str">
        <x:v>OFR reports that the majority of sponsored repo activity involves hedge funds as sponsored members.</x:v>
      </x:c>
      <x:c r="Q53" s="51" t="str">
        <x:v>Identical strategy or destabilising intent across all hedge funds.</x:v>
      </x:c>
      <x:c r="R53" s="51" t="str">
        <x:v>Risk depends on leverage, basis trades and liquidity.</x:v>
      </x:c>
      <x:c r="S53" s="51" t="str">
        <x:v>Active</x:v>
      </x:c>
    </x:row>
    <x:row r="54">
      <x:c r="A54" s="51" t="str">
        <x:v>V17RES-001</x:v>
      </x:c>
      <x:c r="B54" s="51" t="str">
        <x:v>G-SIB loss absorption, bail-in and resolution funding</x:v>
      </x:c>
      <x:c r="C54" s="51" t="str">
        <x:v>Financial Stability Board</x:v>
      </x:c>
      <x:c r="D54" s="51" t="str">
        <x:v>Resolution authorities</x:v>
      </x:c>
      <x:c r="E54" s="51" t="str">
        <x:v>Global standard setter → national authorities</x:v>
      </x:c>
      <x:c r="F54" s="51" t="str">
        <x:v>Ongoing</x:v>
      </x:c>
      <x:c r="G54" s="51" t="str">
        <x:v>Key Attributes, TLAC and resolution guidance</x:v>
      </x:c>
      <x:c r="H54" s="51" t="str">
        <x:v>INS-370; INS-371</x:v>
      </x:c>
      <x:c r="I54" s="51" t="str">
        <x:v>29 G-SIBs on 2025 list</x:v>
      </x:c>
      <x:c r="J54" s="51" t="str">
        <x:v>Global resolution standards and peer coordination</x:v>
      </x:c>
      <x:c r="K54" s="51" t="str">
        <x:v>Domestic bail-in, transfer and funding frameworks</x:v>
      </x:c>
      <x:c r="L54" s="51" t="str">
        <x:v>International standards coordinate national preparation for systemic-bank failure</x:v>
      </x:c>
      <x:c r="M54" s="51" t="str">
        <x:v>E1</x:v>
      </x:c>
      <x:c r="N54" s="51" t="str">
        <x:v>Very high</x:v>
      </x:c>
      <x:c r="O54" s="51" t="str">
        <x:v>SRC-750; SRC-751; SRC-752; SRC-797</x:v>
      </x:c>
      <x:c r="P54" s="51" t="str">
        <x:v>The FSB identifies G-SIBs and sets resolution and TLAC standards.</x:v>
      </x:c>
      <x:c r="Q54" s="51" t="str">
        <x:v>Direct execution of bank resolution or automatic legal uniformity.</x:v>
      </x:c>
      <x:c r="R54" s="51" t="str">
        <x:v>National law and cross-border cooperation determine implementation.</x:v>
      </x:c>
      <x:c r="S54" s="51" t="str">
        <x:v>Active</x:v>
      </x:c>
    </x:row>
    <x:row r="55">
      <x:c r="A55" s="51" t="str">
        <x:v>V17RES-002</x:v>
      </x:c>
      <x:c r="B55" s="51" t="str">
        <x:v>G-SIB loss absorption, bail-in and resolution funding</x:v>
      </x:c>
      <x:c r="C55" s="51" t="str">
        <x:v>Global systemically important banks</x:v>
      </x:c>
      <x:c r="D55" s="51" t="str">
        <x:v>TLAC debt holders</x:v>
      </x:c>
      <x:c r="E55" s="51" t="str">
        <x:v>Bank → creditor</x:v>
      </x:c>
      <x:c r="F55" s="51" t="str">
        <x:v>Ongoing</x:v>
      </x:c>
      <x:c r="G55" s="51" t="str">
        <x:v>Eligible loss-absorbing liability issuance</x:v>
      </x:c>
      <x:c r="H55" s="51" t="str">
        <x:v>INS-370</x:v>
      </x:c>
      <x:c r="I55" s="51" t="str">
        <x:v>Firm-specific minimums</x:v>
      </x:c>
      <x:c r="J55" s="51" t="str">
        <x:v>Debt funding and contractual claims</x:v>
      </x:c>
      <x:c r="K55" s="51" t="str">
        <x:v>Bail-in-eligible loss-absorbing capacity</x:v>
      </x:c>
      <x:c r="L55" s="51" t="str">
        <x:v>G-SIBs issue liabilities designed to be written down or converted in resolution</x:v>
      </x:c>
      <x:c r="M55" s="51" t="str">
        <x:v>E1</x:v>
      </x:c>
      <x:c r="N55" s="51" t="str">
        <x:v>High</x:v>
      </x:c>
      <x:c r="O55" s="51" t="str">
        <x:v>SRC-750; SRC-752; SRC-796</x:v>
      </x:c>
      <x:c r="P55" s="51" t="str">
        <x:v>G-SIBs must meet TLAC alongside capital requirements.</x:v>
      </x:c>
      <x:c r="Q55" s="51" t="str">
        <x:v>Losslessness, deposit insurance or identical instruments across banks.</x:v>
      </x:c>
      <x:c r="R55" s="51" t="str">
        <x:v>Eligibility and position in the resolution entity matter.</x:v>
      </x:c>
      <x:c r="S55" s="51" t="str">
        <x:v>Active</x:v>
      </x:c>
    </x:row>
    <x:row r="56">
      <x:c r="A56" s="51" t="str">
        <x:v>V17RES-003</x:v>
      </x:c>
      <x:c r="B56" s="51" t="str">
        <x:v>G-SIB loss absorption, bail-in and resolution funding</x:v>
      </x:c>
      <x:c r="C56" s="51" t="str">
        <x:v>Resolution authorities</x:v>
      </x:c>
      <x:c r="D56" s="51" t="str">
        <x:v>TLAC debt holders</x:v>
      </x:c>
      <x:c r="E56" s="51" t="str">
        <x:v>Authority → eligible creditors</x:v>
      </x:c>
      <x:c r="F56" s="51" t="str">
        <x:v>Resolution event</x:v>
      </x:c>
      <x:c r="G56" s="51" t="str">
        <x:v>Write-down or conversion</x:v>
      </x:c>
      <x:c r="H56" s="51" t="str">
        <x:v>INS-371</x:v>
      </x:c>
      <x:c r="I56" s="51" t="str">
        <x:v>Firm-specific</x:v>
      </x:c>
      <x:c r="J56" s="51" t="str">
        <x:v>Eligible liabilities and statutory powers</x:v>
      </x:c>
      <x:c r="K56" s="51" t="str">
        <x:v>Loss absorption and recapitalisation</x:v>
      </x:c>
      <x:c r="L56" s="51" t="str">
        <x:v>Bail-in converts creditor claims into absorbed loss or new equity to restore capital</x:v>
      </x:c>
      <x:c r="M56" s="51" t="str">
        <x:v>E1</x:v>
      </x:c>
      <x:c r="N56" s="51" t="str">
        <x:v>High</x:v>
      </x:c>
      <x:c r="O56" s="51" t="str">
        <x:v>SRC-751; SRC-752</x:v>
      </x:c>
      <x:c r="P56" s="51" t="str">
        <x:v>TLAC is intended to support write-down and recapitalisation in resolution.</x:v>
      </x:c>
      <x:c r="Q56" s="51" t="str">
        <x:v>Automatic conversion in ordinary distress or use of insured deposits.</x:v>
      </x:c>
      <x:c r="R56" s="51" t="str">
        <x:v>National execution and securities-law issues remain important.</x:v>
      </x:c>
      <x:c r="S56" s="51" t="str">
        <x:v>Active contingency</x:v>
      </x:c>
    </x:row>
    <x:row r="57">
      <x:c r="A57" s="51" t="str">
        <x:v>V17RES-004</x:v>
      </x:c>
      <x:c r="B57" s="51" t="str">
        <x:v>G-SIB loss absorption, bail-in and resolution funding</x:v>
      </x:c>
      <x:c r="C57" s="51" t="str">
        <x:v>TLAC debt holders</x:v>
      </x:c>
      <x:c r="D57" s="51" t="str">
        <x:v>Bail-in equity holders</x:v>
      </x:c>
      <x:c r="E57" s="51" t="str">
        <x:v>Creditor → post-resolution owner</x:v>
      </x:c>
      <x:c r="F57" s="51" t="str">
        <x:v>Resolution event</x:v>
      </x:c>
      <x:c r="G57" s="51" t="str">
        <x:v>Debt-to-equity conversion</x:v>
      </x:c>
      <x:c r="H57" s="51" t="str">
        <x:v>INS-371</x:v>
      </x:c>
      <x:c r="I57" s="51" t="str">
        <x:v>Resolution-specific</x:v>
      </x:c>
      <x:c r="J57" s="51" t="str">
        <x:v>Written-down debt claim</x:v>
      </x:c>
      <x:c r="K57" s="51" t="str">
        <x:v>New or interim equity interest</x:v>
      </x:c>
      <x:c r="L57" s="51" t="str">
        <x:v>Bail-in can transfer ownership from pre-failure shareholders to creditors</x:v>
      </x:c>
      <x:c r="M57" s="51" t="str">
        <x:v>S1</x:v>
      </x:c>
      <x:c r="N57" s="51" t="str">
        <x:v>High</x:v>
      </x:c>
      <x:c r="O57" s="51" t="str">
        <x:v>SRC-751; SRC-752</x:v>
      </x:c>
      <x:c r="P57" s="51" t="str">
        <x:v>Bail-in frameworks contemplate conversion of eligible liabilities into equity.</x:v>
      </x:c>
      <x:c r="Q57" s="51" t="str">
        <x:v>Guaranteed recovery value or identical mechanism in every jurisdiction.</x:v>
      </x:c>
      <x:c r="R57" s="51" t="str">
        <x:v>Open-bank and closed-bank execution differ.</x:v>
      </x:c>
      <x:c r="S57" s="51" t="str">
        <x:v>Active contingency</x:v>
      </x:c>
    </x:row>
    <x:row r="58">
      <x:c r="A58" s="51" t="str">
        <x:v>V17RES-005</x:v>
      </x:c>
      <x:c r="B58" s="51" t="str">
        <x:v>G-SIB loss absorption, bail-in and resolution funding</x:v>
      </x:c>
      <x:c r="C58" s="51" t="str">
        <x:v>Resolution authorities</x:v>
      </x:c>
      <x:c r="D58" s="51" t="str">
        <x:v>Global systemically important banks</x:v>
      </x:c>
      <x:c r="E58" s="51" t="str">
        <x:v>Authority → systemic bank</x:v>
      </x:c>
      <x:c r="F58" s="51" t="str">
        <x:v>Pre-failure and resolution</x:v>
      </x:c>
      <x:c r="G58" s="51" t="str">
        <x:v>Resolution planning and transfer tools</x:v>
      </x:c>
      <x:c r="H58" s="51" t="str">
        <x:v>INS-369; INS-371</x:v>
      </x:c>
      <x:c r="I58" s="51" t="str">
        <x:v>Firm-specific</x:v>
      </x:c>
      <x:c r="J58" s="51" t="str">
        <x:v>Plans, valuations, operational continuity and funding arrangements</x:v>
      </x:c>
      <x:c r="K58" s="51" t="str">
        <x:v>Executable resolution strategy</x:v>
      </x:c>
      <x:c r="L58" s="51" t="str">
        <x:v>Resolution planning attempts to preserve critical functions while allocating losses to private stakeholders</x:v>
      </x:c>
      <x:c r="M58" s="51" t="str">
        <x:v>E1</x:v>
      </x:c>
      <x:c r="N58" s="51" t="str">
        <x:v>High</x:v>
      </x:c>
      <x:c r="O58" s="51" t="str">
        <x:v>SRC-749; SRC-751; SRC-753</x:v>
      </x:c>
      <x:c r="P58" s="51" t="str">
        <x:v>Authorities require resolution planning and continue work on cross-border bail-in and funding.</x:v>
      </x:c>
      <x:c r="Q58" s="51" t="str">
        <x:v>Certainty that failure can be resolved without public liquidity or disruption.</x:v>
      </x:c>
      <x:c r="R58" s="51" t="str">
        <x:v>Temporary public backstop funding may still be needed under strict conditions.</x:v>
      </x:c>
      <x:c r="S58" s="51" t="str">
        <x:v>Implementation</x:v>
      </x:c>
    </x:row>
    <x:row r="59">
      <x:c r="A59" s="51" t="str">
        <x:v>V17RISK-001</x:v>
      </x:c>
      <x:c r="B59" s="51" t="str">
        <x:v>Bank asset valuation, collateral and liquidity stress</x:v>
      </x:c>
      <x:c r="C59" s="51" t="str">
        <x:v>Bank loans and securities</x:v>
      </x:c>
      <x:c r="D59" s="51" t="str">
        <x:v>Commercial banks</x:v>
      </x:c>
      <x:c r="E59" s="51" t="str">
        <x:v>Asset portfolio → bank</x:v>
      </x:c>
      <x:c r="F59" s="51" t="str">
        <x:v>Ongoing</x:v>
      </x:c>
      <x:c r="G59" s="51" t="str">
        <x:v>Interest-rate and credit valuation</x:v>
      </x:c>
      <x:c r="H59" s="51" t="str">
        <x:v>INS-386</x:v>
      </x:c>
      <x:c r="I59" s="51" t="str">
        <x:v>$481 billion aggregate unrealised securities losses at year-end 2024</x:v>
      </x:c>
      <x:c r="J59" s="51" t="str">
        <x:v>Market-rate changes and asset duration</x:v>
      </x:c>
      <x:c r="K59" s="51" t="str">
        <x:v>Unrealised or realised bank loss</x:v>
      </x:c>
      <x:c r="L59" s="51" t="str">
        <x:v>Long-duration securities can preserve contractual cash flows while reducing market value and sale liquidity</x:v>
      </x:c>
      <x:c r="M59" s="51" t="str">
        <x:v>E1</x:v>
      </x:c>
      <x:c r="N59" s="51" t="str">
        <x:v>High</x:v>
      </x:c>
      <x:c r="O59" s="51" t="str">
        <x:v>SRC-789</x:v>
      </x:c>
      <x:c r="P59" s="51" t="str">
        <x:v>OFR measured elevated unrealised securities losses at FDIC-insured depositories.</x:v>
      </x:c>
      <x:c r="Q59" s="51" t="str">
        <x:v>Immediate insolvency or equal losses at every bank.</x:v>
      </x:c>
      <x:c r="R59" s="51" t="str">
        <x:v>Accounting classification, hedging and funding stability matter.</x:v>
      </x:c>
      <x:c r="S59" s="51" t="str">
        <x:v>Current risk</x:v>
      </x:c>
    </x:row>
    <x:row r="60">
      <x:c r="A60" s="51" t="str">
        <x:v>V17RISK-002</x:v>
      </x:c>
      <x:c r="B60" s="51" t="str">
        <x:v>Bank asset valuation, collateral and liquidity stress</x:v>
      </x:c>
      <x:c r="C60" s="51" t="str">
        <x:v>Commercial banks</x:v>
      </x:c>
      <x:c r="D60" s="51" t="str">
        <x:v>Discount Window</x:v>
      </x:c>
      <x:c r="E60" s="51" t="str">
        <x:v>Bank → collateral facility</x:v>
      </x:c>
      <x:c r="F60" s="51" t="str">
        <x:v>Stress period</x:v>
      </x:c>
      <x:c r="G60" s="51" t="str">
        <x:v>Pledge of loans and securities</x:v>
      </x:c>
      <x:c r="H60" s="51" t="str">
        <x:v>INS-372; INS-386</x:v>
      </x:c>
      <x:c r="I60" s="51" t="str">
        <x:v>Bank-specific</x:v>
      </x:c>
      <x:c r="J60" s="51" t="str">
        <x:v>Illiquid or depreciated bank assets</x:v>
      </x:c>
      <x:c r="K60" s="51" t="str">
        <x:v>Liquidity at haircut-adjusted lending value</x:v>
      </x:c>
      <x:c r="L60" s="51" t="str">
        <x:v>Collateral facilities can prevent forced sale of assets at depressed market prices</x:v>
      </x:c>
      <x:c r="M60" s="51" t="str">
        <x:v>S1</x:v>
      </x:c>
      <x:c r="N60" s="51" t="str">
        <x:v>High</x:v>
      </x:c>
      <x:c r="O60" s="51" t="str">
        <x:v>SRC-763; SRC-789</x:v>
      </x:c>
      <x:c r="P60" s="51" t="str">
        <x:v>The discount window accepts broad collateral at assigned lending values.</x:v>
      </x:c>
      <x:c r="Q60" s="51" t="str">
        <x:v>Removal of underlying credit or duration loss.</x:v>
      </x:c>
      <x:c r="R60" s="51" t="str">
        <x:v>Liquidity assistance does not restore economic asset value.</x:v>
      </x:c>
      <x:c r="S60" s="51" t="str">
        <x:v>Active contingency</x:v>
      </x:c>
    </x:row>
    <x:row r="61">
      <x:c r="A61" s="51" t="str">
        <x:v>V17SL-001</x:v>
      </x:c>
      <x:c r="B61" s="51" t="str">
        <x:v>Securities lending, temporary title and market inventory</x:v>
      </x:c>
      <x:c r="C61" s="51" t="str">
        <x:v>Securities lenders</x:v>
      </x:c>
      <x:c r="D61" s="51" t="str">
        <x:v>Securities borrowers</x:v>
      </x:c>
      <x:c r="E61" s="51" t="str">
        <x:v>Lender → borrower</x:v>
      </x:c>
      <x:c r="F61" s="51" t="str">
        <x:v>Loan term</x:v>
      </x:c>
      <x:c r="G61" s="51" t="str">
        <x:v>Temporary securities transfer</x:v>
      </x:c>
      <x:c r="H61" s="51" t="str">
        <x:v>INS-384</x:v>
      </x:c>
      <x:c r="I61" s="51" t="str">
        <x:v>Loan-specific</x:v>
      </x:c>
      <x:c r="J61" s="51" t="str">
        <x:v>Securities plus recall terms</x:v>
      </x:c>
      <x:c r="K61" s="51" t="str">
        <x:v>Temporary possession and use</x:v>
      </x:c>
      <x:c r="L61" s="51" t="str">
        <x:v>Securities lending separates beneficial investment exposure from temporary market use of the asset</x:v>
      </x:c>
      <x:c r="M61" s="51" t="str">
        <x:v>E1</x:v>
      </x:c>
      <x:c r="N61" s="51" t="str">
        <x:v>High</x:v>
      </x:c>
      <x:c r="O61" s="51" t="str">
        <x:v>SRC-775</x:v>
      </x:c>
      <x:c r="P61" s="51" t="str">
        <x:v>Securities borrowing is used for dealer inventory and market activity.</x:v>
      </x:c>
      <x:c r="Q61" s="51" t="str">
        <x:v>Permanent sale of beneficial ownership or transfer of all economic rights.</x:v>
      </x:c>
      <x:c r="R61" s="51" t="str">
        <x:v>Manufactured payments, voting and recalls depend on contract terms.</x:v>
      </x:c>
      <x:c r="S61" s="51" t="str">
        <x:v>Active</x:v>
      </x:c>
    </x:row>
    <x:row r="62">
      <x:c r="A62" s="51" t="str">
        <x:v>V17SL-002</x:v>
      </x:c>
      <x:c r="B62" s="51" t="str">
        <x:v>Securities lending, temporary title and market inventory</x:v>
      </x:c>
      <x:c r="C62" s="51" t="str">
        <x:v>Securities borrowers</x:v>
      </x:c>
      <x:c r="D62" s="51" t="str">
        <x:v>Securities lenders</x:v>
      </x:c>
      <x:c r="E62" s="51" t="str">
        <x:v>Borrower → lender</x:v>
      </x:c>
      <x:c r="F62" s="51" t="str">
        <x:v>Loan term</x:v>
      </x:c>
      <x:c r="G62" s="51" t="str">
        <x:v>Collateral and lending fee</x:v>
      </x:c>
      <x:c r="H62" s="51" t="str">
        <x:v>INS-384</x:v>
      </x:c>
      <x:c r="I62" s="51" t="str">
        <x:v>Loan-specific</x:v>
      </x:c>
      <x:c r="J62" s="51" t="str">
        <x:v>Cash or securities collateral plus fee</x:v>
      </x:c>
      <x:c r="K62" s="51" t="str">
        <x:v>Credit protection and lending income</x:v>
      </x:c>
      <x:c r="L62" s="51" t="str">
        <x:v>Collateral and fees compensate the lender for temporary loss of possession and counterparty risk</x:v>
      </x:c>
      <x:c r="M62" s="51" t="str">
        <x:v>E1</x:v>
      </x:c>
      <x:c r="N62" s="51" t="str">
        <x:v>High</x:v>
      </x:c>
      <x:c r="O62" s="51" t="str">
        <x:v>SRC-775</x:v>
      </x:c>
      <x:c r="P62" s="51" t="str">
        <x:v>Securities lending involves collateralised temporary borrowing.</x:v>
      </x:c>
      <x:c r="Q62" s="51" t="str">
        <x:v>Zero counterparty risk or guaranteed collateral sufficiency.</x:v>
      </x:c>
      <x:c r="R62" s="51" t="str">
        <x:v>Mark-to-market and recall risk remain.</x:v>
      </x:c>
      <x:c r="S62" s="51" t="str">
        <x:v>Active</x:v>
      </x:c>
    </x:row>
    <x:row r="63">
      <x:c r="A63" s="51" t="str">
        <x:v>V17SL-003</x:v>
      </x:c>
      <x:c r="B63" s="51" t="str">
        <x:v>Securities lending, temporary title and market inventory</x:v>
      </x:c>
      <x:c r="C63" s="51" t="str">
        <x:v>Prime brokers</x:v>
      </x:c>
      <x:c r="D63" s="51" t="str">
        <x:v>Hedge funds</x:v>
      </x:c>
      <x:c r="E63" s="51" t="str">
        <x:v>Intermediary → fund</x:v>
      </x:c>
      <x:c r="F63" s="51" t="str">
        <x:v>Ongoing</x:v>
      </x:c>
      <x:c r="G63" s="51" t="str">
        <x:v>Financing and securities-borrow access</x:v>
      </x:c>
      <x:c r="H63" s="51" t="str">
        <x:v>INS-384</x:v>
      </x:c>
      <x:c r="I63" s="51" t="str">
        <x:v>Client-specific</x:v>
      </x:c>
      <x:c r="J63" s="51" t="str">
        <x:v>Prime-broker balance sheet and lender network</x:v>
      </x:c>
      <x:c r="K63" s="51" t="str">
        <x:v>Borrowed securities and leveraged market access</x:v>
      </x:c>
      <x:c r="L63" s="51" t="str">
        <x:v>Prime brokers convert institutional custody and lender networks into tradable inventory for hedge funds</x:v>
      </x:c>
      <x:c r="M63" s="51" t="str">
        <x:v>S1</x:v>
      </x:c>
      <x:c r="N63" s="51" t="str">
        <x:v>High</x:v>
      </x:c>
      <x:c r="O63" s="51" t="str">
        <x:v>SRC-775</x:v>
      </x:c>
      <x:c r="P63" s="51" t="str">
        <x:v>Prime brokers provide securities lending and financing services to investment funds.</x:v>
      </x:c>
      <x:c r="Q63" s="51" t="str">
        <x:v>Control of every fund position or guaranteed recall availability.</x:v>
      </x:c>
      <x:c r="R63" s="51" t="str">
        <x:v>Inventory and terms change with market conditions.</x:v>
      </x:c>
      <x:c r="S63" s="51" t="str">
        <x:v>Active</x:v>
      </x:c>
    </x:row>
    <x:row r="64">
      <x:c r="A64" s="51" t="str">
        <x:v>V17SL-004</x:v>
      </x:c>
      <x:c r="B64" s="51" t="str">
        <x:v>Securities lending, temporary title and market inventory</x:v>
      </x:c>
      <x:c r="C64" s="51" t="str">
        <x:v>Securities lenders</x:v>
      </x:c>
      <x:c r="D64" s="51" t="str">
        <x:v>Securities borrowers</x:v>
      </x:c>
      <x:c r="E64" s="51" t="str">
        <x:v>Lender recall → borrower</x:v>
      </x:c>
      <x:c r="F64" s="51" t="str">
        <x:v>On demand or contract event</x:v>
      </x:c>
      <x:c r="G64" s="51" t="str">
        <x:v>Security recall</x:v>
      </x:c>
      <x:c r="H64" s="51" t="str">
        <x:v>INS-384</x:v>
      </x:c>
      <x:c r="I64" s="51" t="str">
        <x:v>Security-specific</x:v>
      </x:c>
      <x:c r="J64" s="51" t="str">
        <x:v>Contractual recall right</x:v>
      </x:c>
      <x:c r="K64" s="51" t="str">
        <x:v>Return of lent security</x:v>
      </x:c>
      <x:c r="L64" s="51" t="str">
        <x:v>Recall rights preserve the lender's ability to regain possession for sale, voting or settlement</x:v>
      </x:c>
      <x:c r="M64" s="51" t="str">
        <x:v>E1</x:v>
      </x:c>
      <x:c r="N64" s="51" t="str">
        <x:v>High</x:v>
      </x:c>
      <x:c r="O64" s="51" t="str">
        <x:v>SRC-775</x:v>
      </x:c>
      <x:c r="P64" s="51" t="str">
        <x:v>OFR notes securities-lending contracts often allow lender recall.</x:v>
      </x:c>
      <x:c r="Q64" s="51" t="str">
        <x:v>Immediate return without settlement risk in every condition.</x:v>
      </x:c>
      <x:c r="R64" s="51" t="str">
        <x:v>Borrowers may need to source replacement securities.</x:v>
      </x:c>
      <x:c r="S64" s="51" t="str">
        <x:v>Active</x:v>
      </x:c>
    </x:row>
    <x:row r="65">
      <x:c r="A65" s="51" t="str">
        <x:v>V17TRI-001</x:v>
      </x:c>
      <x:c r="B65" s="51" t="str">
        <x:v>Tri-party repo and collateral-management concentration</x:v>
      </x:c>
      <x:c r="C65" s="51" t="str">
        <x:v>Bank of New York Mellon</x:v>
      </x:c>
      <x:c r="D65" s="51" t="str">
        <x:v>Tri-party repo market</x:v>
      </x:c>
      <x:c r="E65" s="51" t="str">
        <x:v>Clearing bank → venue</x:v>
      </x:c>
      <x:c r="F65" s="51" t="str">
        <x:v>Current 2026</x:v>
      </x:c>
      <x:c r="G65" s="51" t="str">
        <x:v>Settlement, custody and collateral management</x:v>
      </x:c>
      <x:c r="H65" s="51" t="str">
        <x:v>INS-378; INS-385</x:v>
      </x:c>
      <x:c r="I65" s="51" t="str">
        <x:v>Multi-trillion-dollar infrastructure</x:v>
      </x:c>
      <x:c r="J65" s="51" t="str">
        <x:v>Accounts, securities prices and settlement systems</x:v>
      </x:c>
      <x:c r="K65" s="51" t="str">
        <x:v>Operational completion of repo transactions</x:v>
      </x:c>
      <x:c r="L65" s="51" t="str">
        <x:v>A single collateral agent can become critical infrastructure for a large funding market</x:v>
      </x:c>
      <x:c r="M65" s="51" t="str">
        <x:v>E1</x:v>
      </x:c>
      <x:c r="N65" s="51" t="str">
        <x:v>Very high</x:v>
      </x:c>
      <x:c r="O65" s="51" t="str">
        <x:v>SRC-783; SRC-785; SRC-787</x:v>
      </x:c>
      <x:c r="P65" s="51" t="str">
        <x:v>Federal Reserve sources identify BNY as the tri-party repo clearing and collateral-management bank.</x:v>
      </x:c>
      <x:c r="Q65" s="51" t="str">
        <x:v>Beneficial ownership of all repo collateral or credit guarantee of all trades.</x:v>
      </x:c>
      <x:c r="R65" s="51" t="str">
        <x:v>BNY provides infrastructure while counterparties retain contract risk.</x:v>
      </x:c>
      <x:c r="S65" s="51" t="str">
        <x:v>Active</x:v>
      </x:c>
    </x:row>
    <x:row r="66">
      <x:c r="A66" s="51" t="str">
        <x:v>V17TRI-002</x:v>
      </x:c>
      <x:c r="B66" s="51" t="str">
        <x:v>Tri-party repo and collateral-management concentration</x:v>
      </x:c>
      <x:c r="C66" s="51" t="str">
        <x:v>Collateral management agents</x:v>
      </x:c>
      <x:c r="D66" s="51" t="str">
        <x:v>Repo cash lenders</x:v>
      </x:c>
      <x:c r="E66" s="51" t="str">
        <x:v>Agent → lender</x:v>
      </x:c>
      <x:c r="F66" s="51" t="str">
        <x:v>Repo lifecycle</x:v>
      </x:c>
      <x:c r="G66" s="51" t="str">
        <x:v>Collateral valuation, allocation and substitution</x:v>
      </x:c>
      <x:c r="H66" s="51" t="str">
        <x:v>INS-378; INS-385</x:v>
      </x:c>
      <x:c r="I66" s="51" t="str">
        <x:v>Trade-specific</x:v>
      </x:c>
      <x:c r="J66" s="51" t="str">
        <x:v>Security data, haircuts and account instructions</x:v>
      </x:c>
      <x:c r="K66" s="51" t="str">
        <x:v>Protected collateral position</x:v>
      </x:c>
      <x:c r="L66" s="51" t="str">
        <x:v>Collateral agents convert legal eligibility and market values into operationally usable secured positions</x:v>
      </x:c>
      <x:c r="M66" s="51" t="str">
        <x:v>E1</x:v>
      </x:c>
      <x:c r="N66" s="51" t="str">
        <x:v>High</x:v>
      </x:c>
      <x:c r="O66" s="51" t="str">
        <x:v>SRC-786; SRC-788</x:v>
      </x:c>
      <x:c r="P66" s="51" t="str">
        <x:v>Collateral platforms value, allocate and optimise securities across transactions.</x:v>
      </x:c>
      <x:c r="Q66" s="51" t="str">
        <x:v>Guarantee of borrower performance or elimination of wrong-way risk.</x:v>
      </x:c>
      <x:c r="R66" s="51" t="str">
        <x:v>Agent processes depend on accurate data and legal arrangements.</x:v>
      </x:c>
      <x:c r="S66" s="51" t="str">
        <x:v>Active</x:v>
      </x:c>
    </x:row>
    <x:row r="67">
      <x:c r="A67" s="51" t="str">
        <x:v>V17TRI-003</x:v>
      </x:c>
      <x:c r="B67" s="51" t="str">
        <x:v>Tri-party repo and collateral-management concentration</x:v>
      </x:c>
      <x:c r="C67" s="51" t="str">
        <x:v>Repo cash borrowers</x:v>
      </x:c>
      <x:c r="D67" s="51" t="str">
        <x:v>Bank of New York Mellon</x:v>
      </x:c>
      <x:c r="E67" s="51" t="str">
        <x:v>Dealer → clearing bank</x:v>
      </x:c>
      <x:c r="F67" s="51" t="str">
        <x:v>Trade lifecycle</x:v>
      </x:c>
      <x:c r="G67" s="51" t="str">
        <x:v>Collateral delivery and settlement instruction</x:v>
      </x:c>
      <x:c r="H67" s="51" t="str">
        <x:v>INS-378; INS-385</x:v>
      </x:c>
      <x:c r="I67" s="51" t="str">
        <x:v>Account-specific</x:v>
      </x:c>
      <x:c r="J67" s="51" t="str">
        <x:v>Securities inventory and repo obligations</x:v>
      </x:c>
      <x:c r="K67" s="51" t="str">
        <x:v>Allocated collateral and cash settlement</x:v>
      </x:c>
      <x:c r="L67" s="51" t="str">
        <x:v>Dealers rely on custody infrastructure to transform inventories into secured funding</x:v>
      </x:c>
      <x:c r="M67" s="51" t="str">
        <x:v>E1</x:v>
      </x:c>
      <x:c r="N67" s="51" t="str">
        <x:v>High</x:v>
      </x:c>
      <x:c r="O67" s="51" t="str">
        <x:v>SRC-783; SRC-785</x:v>
      </x:c>
      <x:c r="P67" s="51" t="str">
        <x:v>BNY provides tri-party settlement and collateral services.</x:v>
      </x:c>
      <x:c r="Q67" s="51" t="str">
        <x:v>BNY acting as the economic lender in every trade.</x:v>
      </x:c>
      <x:c r="R67" s="51" t="str">
        <x:v>The cash lender and borrower remain principal counterparties.</x:v>
      </x:c>
      <x:c r="S67" s="51" t="str">
        <x:v>Active</x:v>
      </x:c>
    </x:row>
  </x:sheetData>
  <x:mergeCells>
    <x:mergeCell ref="A1:S1"/>
    <x:mergeCell ref="A2:S2"/>
  </x:mergeCells>
  <x:conditionalFormatting sqref="M5:M67">
    <x:cfRule type="expression" dxfId="6" priority="1">
      <x:formula>M5="E1"</x:formula>
    </x:cfRule>
    <x:cfRule type="expression" dxfId="7" priority="2">
      <x:formula>M5="E2"</x:formula>
    </x:cfRule>
    <x:cfRule type="expression" dxfId="8" priority="3">
      <x:formula>M5="S1"</x:formula>
    </x:cfRule>
    <x:cfRule type="expression" dxfId="9" priority="4">
      <x:formula>M5="A1"</x:formula>
    </x:cfRule>
    <x:cfRule type="expression" dxfId="10" priority="5">
      <x:formula>M5="U1"</x:formula>
    </x:cfRule>
    <x:cfRule type="expression" dxfId="11" priority="6">
      <x:formula>M5="N1"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11877936ee45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Bank Deposit Creation, Settlement and Maturity Transformation</x:v>
      </x:c>
    </x:row>
    <x:row r="2">
      <x:c r="A2" s="12" t="str">
        <x:v>Deposits are bank liabilities; reserve settlement, liquidity and asset valuation determine convertibility.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V17BANK-001</x:v>
      </x:c>
      <x:c r="B5" s="51" t="str">
        <x:v>Bank deposit creation, settlement and maturity transformation</x:v>
      </x:c>
      <x:c r="C5" s="51" t="str">
        <x:v>Commercial banks</x:v>
      </x:c>
      <x:c r="D5" s="51" t="str">
        <x:v>Bank loans and securities</x:v>
      </x:c>
      <x:c r="E5" s="51" t="str">
        <x:v>Ongoing</x:v>
      </x:c>
      <x:c r="F5" s="51" t="str">
        <x:v>Loan origination or nonbank asset purchase</x:v>
      </x:c>
      <x:c r="G5" s="51" t="str">
        <x:v>INS-359; INS-360</x:v>
      </x:c>
      <x:c r="H5" s="51" t="str">
        <x:v>Bank-specific</x:v>
      </x:c>
      <x:c r="I5" s="51" t="str">
        <x:v>Banks create earning assets subject to capital, liquidity and risk constraints</x:v>
      </x:c>
      <x:c r="J5" s="51" t="str">
        <x:v>E1</x:v>
      </x:c>
      <x:c r="K5" s="51" t="str">
        <x:v>SRC-736; SRC-737; SRC-738</x:v>
      </x:c>
      <x:c r="L5" s="51" t="str">
        <x:v>Commercial banks extend loans and purchase assets as part of balance-sheet activity.</x:v>
      </x:c>
      <x:c r="M5" s="51" t="str">
        <x:v>Unlimited lending capacity or absence of funding and capital constraints.</x:v>
      </x:c>
      <x:c r="N5" s="51" t="str">
        <x:v>Active</x:v>
      </x:c>
    </x:row>
    <x:row r="6">
      <x:c r="A6" s="51" t="str">
        <x:v>V17BANK-002</x:v>
      </x:c>
      <x:c r="B6" s="51" t="str">
        <x:v>Bank deposit creation, settlement and maturity transformation</x:v>
      </x:c>
      <x:c r="C6" s="51" t="str">
        <x:v>Commercial banks</x:v>
      </x:c>
      <x:c r="D6" s="51" t="str">
        <x:v>Bank deposits</x:v>
      </x:c>
      <x:c r="E6" s="51" t="str">
        <x:v>At loan or asset purchase</x:v>
      </x:c>
      <x:c r="F6" s="51" t="str">
        <x:v>Deposit creation</x:v>
      </x:c>
      <x:c r="G6" s="51" t="str">
        <x:v>INS-359</x:v>
      </x:c>
      <x:c r="H6" s="51" t="str">
        <x:v>Transaction-specific</x:v>
      </x:c>
      <x:c r="I6" s="51" t="str">
        <x:v>Bank lending or asset purchases from nonbanks can create matching commercial-bank deposits</x:v>
      </x:c>
      <x:c r="J6" s="51" t="str">
        <x:v>E1</x:v>
      </x:c>
      <x:c r="K6" s="51" t="str">
        <x:v>SRC-736; SRC-737</x:v>
      </x:c>
      <x:c r="L6" s="51" t="str">
        <x:v>Official central-bank sources explain that bank lending creates deposit liabilities.</x:v>
      </x:c>
      <x:c r="M6" s="51" t="str">
        <x:v>Creation of central-bank reserves or permanent retention of the deposit at the same bank.</x:v>
      </x:c>
      <x:c r="N6" s="51" t="str">
        <x:v>Active</x:v>
      </x:c>
    </x:row>
    <x:row r="7">
      <x:c r="A7" s="51" t="str">
        <x:v>V17BANK-003</x:v>
      </x:c>
      <x:c r="B7" s="51" t="str">
        <x:v>Bank deposit creation, settlement and maturity transformation</x:v>
      </x:c>
      <x:c r="C7" s="51" t="str">
        <x:v>Bank deposits</x:v>
      </x:c>
      <x:c r="D7" s="51" t="str">
        <x:v>Bank depositors</x:v>
      </x:c>
      <x:c r="E7" s="51" t="str">
        <x:v>Ongoing</x:v>
      </x:c>
      <x:c r="F7" s="51" t="str">
        <x:v>Deposit account balance</x:v>
      </x:c>
      <x:c r="G7" s="51" t="str">
        <x:v>INS-359; INS-360</x:v>
      </x:c>
      <x:c r="H7" s="51" t="str">
        <x:v>Account-specific</x:v>
      </x:c>
      <x:c r="I7" s="51" t="str">
        <x:v>Commercial-bank money is a claim on a bank accepted at par in ordinary payments</x:v>
      </x:c>
      <x:c r="J7" s="51" t="str">
        <x:v>E1</x:v>
      </x:c>
      <x:c r="K7" s="51" t="str">
        <x:v>SRC-736; SRC-738; SRC-739</x:v>
      </x:c>
      <x:c r="L7" s="51" t="str">
        <x:v>Deposits are liabilities of commercial banks and function as money.</x:v>
      </x:c>
      <x:c r="M7" s="51" t="str">
        <x:v>Segregated ownership of specific vault cash or central-bank reserves.</x:v>
      </x:c>
      <x:c r="N7" s="51" t="str">
        <x:v>Active</x:v>
      </x:c>
    </x:row>
    <x:row r="8">
      <x:c r="A8" s="51" t="str">
        <x:v>V17BANK-004</x:v>
      </x:c>
      <x:c r="B8" s="51" t="str">
        <x:v>Bank deposit creation, settlement and maturity transformation</x:v>
      </x:c>
      <x:c r="C8" s="51" t="str">
        <x:v>Bank depositors</x:v>
      </x:c>
      <x:c r="D8" s="51" t="str">
        <x:v>Commercial banks</x:v>
      </x:c>
      <x:c r="E8" s="51" t="str">
        <x:v>Ongoing</x:v>
      </x:c>
      <x:c r="F8" s="51" t="str">
        <x:v>Funding and withdrawal option</x:v>
      </x:c>
      <x:c r="G8" s="51" t="str">
        <x:v>INS-360</x:v>
      </x:c>
      <x:c r="H8" s="51" t="str">
        <x:v>Approximately $17.9 trillion U.S. commercial-bank deposits in July 2026 H.8</x:v>
      </x:c>
      <x:c r="I8" s="51" t="str">
        <x:v>Deposits provide low-cost funding while remaining payable on demand or short notice</x:v>
      </x:c>
      <x:c r="J8" s="51" t="str">
        <x:v>E1</x:v>
      </x:c>
      <x:c r="K8" s="51" t="str">
        <x:v>SRC-738</x:v>
      </x:c>
      <x:c r="L8" s="51" t="str">
        <x:v>Deposits are a major commercial-bank liability.</x:v>
      </x:c>
      <x:c r="M8" s="51" t="str">
        <x:v>Stable funding in every stress or ownership of bank assets.</x:v>
      </x:c>
      <x:c r="N8" s="51" t="str">
        <x:v>Active</x:v>
      </x:c>
    </x:row>
    <x:row r="9">
      <x:c r="A9" s="51" t="str">
        <x:v>V17BANK-005</x:v>
      </x:c>
      <x:c r="B9" s="51" t="str">
        <x:v>Bank deposit creation, settlement and maturity transformation</x:v>
      </x:c>
      <x:c r="C9" s="51" t="str">
        <x:v>Federal Reserve Banks</x:v>
      </x:c>
      <x:c r="D9" s="51" t="str">
        <x:v>Central bank reserves</x:v>
      </x:c>
      <x:c r="E9" s="51" t="str">
        <x:v>Ongoing</x:v>
      </x:c>
      <x:c r="F9" s="51" t="str">
        <x:v>Reserve-balance issuance and settlement</x:v>
      </x:c>
      <x:c r="G9" s="51" t="str">
        <x:v>INS-372; INS-373; INS-374</x:v>
      </x:c>
      <x:c r="H9" s="51" t="str">
        <x:v>System-wide</x:v>
      </x:c>
      <x:c r="I9" s="51" t="str">
        <x:v>Central-bank liabilities provide the final settlement asset for commercial banks</x:v>
      </x:c>
      <x:c r="J9" s="51" t="str">
        <x:v>E1</x:v>
      </x:c>
      <x:c r="K9" s="51" t="str">
        <x:v>SRC-758; SRC-760; SRC-792</x:v>
      </x:c>
      <x:c r="L9" s="51" t="str">
        <x:v>Federal Reserve Banks issue reserve balances used by depository institutions.</x:v>
      </x:c>
      <x:c r="M9" s="51" t="str">
        <x:v>Direct public deposit accounts for all households or elimination of commercial-bank credit risk.</x:v>
      </x:c>
      <x:c r="N9" s="51" t="str">
        <x:v>Active</x:v>
      </x:c>
    </x:row>
    <x:row r="10">
      <x:c r="A10" s="51" t="str">
        <x:v>V17BANK-006</x:v>
      </x:c>
      <x:c r="B10" s="51" t="str">
        <x:v>Bank deposit creation, settlement and maturity transformation</x:v>
      </x:c>
      <x:c r="C10" s="51" t="str">
        <x:v>Commercial banks</x:v>
      </x:c>
      <x:c r="D10" s="51" t="str">
        <x:v>Central bank reserves</x:v>
      </x:c>
      <x:c r="E10" s="51" t="str">
        <x:v>Ongoing</x:v>
      </x:c>
      <x:c r="F10" s="51" t="str">
        <x:v>Interbank settlement and liquidity buffer</x:v>
      </x:c>
      <x:c r="G10" s="51" t="str">
        <x:v>INS-360; INS-372</x:v>
      </x:c>
      <x:c r="H10" s="51" t="str">
        <x:v>Bank-specific</x:v>
      </x:c>
      <x:c r="I10" s="51" t="str">
        <x:v>When deposits move across banks, reserves or correspondent balances settle the interbank obligation</x:v>
      </x:c>
      <x:c r="J10" s="51" t="str">
        <x:v>E1</x:v>
      </x:c>
      <x:c r="K10" s="51" t="str">
        <x:v>SRC-737; SRC-760; SRC-792</x:v>
      </x:c>
      <x:c r="L10" s="51" t="str">
        <x:v>Interbank payments ultimately settle through central-bank or correspondent balances.</x:v>
      </x:c>
      <x:c r="M10" s="51" t="str">
        <x:v>A fixed reserve ratio mechanically determining all lending.</x:v>
      </x:c>
      <x:c r="N10" s="51" t="str">
        <x:v>Active</x:v>
      </x:c>
    </x:row>
    <x:row r="11">
      <x:c r="A11" s="51" t="str">
        <x:v>V17BANK-007</x:v>
      </x:c>
      <x:c r="B11" s="51" t="str">
        <x:v>Bank deposit creation, settlement and maturity transformation</x:v>
      </x:c>
      <x:c r="C11" s="51" t="str">
        <x:v>Commercial banks</x:v>
      </x:c>
      <x:c r="D11" s="51" t="str">
        <x:v>High-quality liquid assets</x:v>
      </x:c>
      <x:c r="E11" s="51" t="str">
        <x:v>Ongoing</x:v>
      </x:c>
      <x:c r="F11" s="51" t="str">
        <x:v>Liquidity portfolio</x:v>
      </x:c>
      <x:c r="G11" s="51" t="str">
        <x:v>INS-361</x:v>
      </x:c>
      <x:c r="H11" s="51" t="str">
        <x:v>Bank-specific</x:v>
      </x:c>
      <x:c r="I11" s="51" t="str">
        <x:v>Banks hold liquid assets to meet withdrawals and regulatory outflows</x:v>
      </x:c>
      <x:c r="J11" s="51" t="str">
        <x:v>E1</x:v>
      </x:c>
      <x:c r="K11" s="51" t="str">
        <x:v>SRC-754; SRC-755; SRC-757</x:v>
      </x:c>
      <x:c r="L11" s="51" t="str">
        <x:v>The LCR requires adequate unencumbered HQLA for a defined stress period.</x:v>
      </x:c>
      <x:c r="M11" s="51" t="str">
        <x:v>No liquidity stress or zero price risk in all HQLA.</x:v>
      </x:c>
      <x:c r="N11" s="51" t="str">
        <x:v>Active</x:v>
      </x:c>
    </x:row>
    <x:row r="12">
      <x:c r="A12" s="51" t="str">
        <x:v>V17BANK-008</x:v>
      </x:c>
      <x:c r="B12" s="51" t="str">
        <x:v>Bank deposit creation, settlement and maturity transformation</x:v>
      </x:c>
      <x:c r="C12" s="51" t="str">
        <x:v>Bank loans and securities</x:v>
      </x:c>
      <x:c r="D12" s="51" t="str">
        <x:v>Bank deposits</x:v>
      </x:c>
      <x:c r="E12" s="51" t="str">
        <x:v>Ongoing</x:v>
      </x:c>
      <x:c r="F12" s="51" t="str">
        <x:v>Maturity transformation</x:v>
      </x:c>
      <x:c r="G12" s="51" t="str">
        <x:v>INS-360; INS-361; INS-362</x:v>
      </x:c>
      <x:c r="H12" s="51" t="str">
        <x:v>Bank-specific</x:v>
      </x:c>
      <x:c r="I12" s="51" t="str">
        <x:v>Banks fund credit and securities with liabilities that can reprice or run faster than assets mature</x:v>
      </x:c>
      <x:c r="J12" s="51" t="str">
        <x:v>S1</x:v>
      </x:c>
      <x:c r="K12" s="51" t="str">
        <x:v>SRC-738; SRC-755; SRC-756</x:v>
      </x:c>
      <x:c r="L12" s="51" t="str">
        <x:v>Bank balance sheets combine loans and securities with deposits and other funding.</x:v>
      </x:c>
      <x:c r="M12" s="51" t="str">
        <x:v>That every bank has the same duration mismatch or is insolvent.</x:v>
      </x:c>
      <x:c r="N12" s="51" t="str">
        <x:v>Active</x:v>
      </x:c>
    </x:row>
    <x:row r="13">
      <x:c r="A13" s="51" t="str">
        <x:v>V17RISK-001</x:v>
      </x:c>
      <x:c r="B13" s="51" t="str">
        <x:v>Bank asset valuation, collateral and liquidity stress</x:v>
      </x:c>
      <x:c r="C13" s="51" t="str">
        <x:v>Bank loans and securities</x:v>
      </x:c>
      <x:c r="D13" s="51" t="str">
        <x:v>Commercial banks</x:v>
      </x:c>
      <x:c r="E13" s="51" t="str">
        <x:v>Ongoing</x:v>
      </x:c>
      <x:c r="F13" s="51" t="str">
        <x:v>Interest-rate and credit valuation</x:v>
      </x:c>
      <x:c r="G13" s="51" t="str">
        <x:v>INS-386</x:v>
      </x:c>
      <x:c r="H13" s="51" t="str">
        <x:v>$481 billion aggregate unrealised securities losses at year-end 2024</x:v>
      </x:c>
      <x:c r="I13" s="51" t="str">
        <x:v>Long-duration securities can preserve contractual cash flows while reducing market value and sale liquidity</x:v>
      </x:c>
      <x:c r="J13" s="51" t="str">
        <x:v>E1</x:v>
      </x:c>
      <x:c r="K13" s="51" t="str">
        <x:v>SRC-789</x:v>
      </x:c>
      <x:c r="L13" s="51" t="str">
        <x:v>OFR measured elevated unrealised securities losses at FDIC-insured depositories.</x:v>
      </x:c>
      <x:c r="M13" s="51" t="str">
        <x:v>Immediate insolvency or equal losses at every bank.</x:v>
      </x:c>
      <x:c r="N13" s="51" t="str">
        <x:v>Current risk</x:v>
      </x:c>
    </x:row>
    <x:row r="14">
      <x:c r="A14" s="51" t="str">
        <x:v>V17RISK-002</x:v>
      </x:c>
      <x:c r="B14" s="51" t="str">
        <x:v>Bank asset valuation, collateral and liquidity stress</x:v>
      </x:c>
      <x:c r="C14" s="51" t="str">
        <x:v>Commercial banks</x:v>
      </x:c>
      <x:c r="D14" s="51" t="str">
        <x:v>Discount Window</x:v>
      </x:c>
      <x:c r="E14" s="51" t="str">
        <x:v>Stress period</x:v>
      </x:c>
      <x:c r="F14" s="51" t="str">
        <x:v>Pledge of loans and securities</x:v>
      </x:c>
      <x:c r="G14" s="51" t="str">
        <x:v>INS-372; INS-386</x:v>
      </x:c>
      <x:c r="H14" s="51" t="str">
        <x:v>Bank-specific</x:v>
      </x:c>
      <x:c r="I14" s="51" t="str">
        <x:v>Collateral facilities can prevent forced sale of assets at depressed market prices</x:v>
      </x:c>
      <x:c r="J14" s="51" t="str">
        <x:v>S1</x:v>
      </x:c>
      <x:c r="K14" s="51" t="str">
        <x:v>SRC-763; SRC-789</x:v>
      </x:c>
      <x:c r="L14" s="51" t="str">
        <x:v>The discount window accepts broad collateral at assigned lending values.</x:v>
      </x:c>
      <x:c r="M14" s="51" t="str">
        <x:v>Removal of underlying credit or duration loss.</x:v>
      </x:c>
      <x:c r="N14" s="51" t="str">
        <x:v>Active contingency</x:v>
      </x:c>
    </x:row>
  </x:sheetData>
  <x:mergeCells>
    <x:mergeCell ref="A1:N1"/>
    <x:mergeCell ref="A2:N2"/>
  </x:mergeCells>
  <x:conditionalFormatting sqref="J5:J14">
    <x:cfRule type="expression" dxfId="12" priority="1">
      <x:formula>J5="E1"</x:formula>
    </x:cfRule>
    <x:cfRule type="expression" dxfId="13" priority="2">
      <x:formula>J5="E2"</x:formula>
    </x:cfRule>
    <x:cfRule type="expression" dxfId="14" priority="3">
      <x:formula>J5="S1"</x:formula>
    </x:cfRule>
    <x:cfRule type="expression" dxfId="15" priority="4">
      <x:formula>J5="A1"</x:formula>
    </x:cfRule>
    <x:cfRule type="expression" dxfId="16" priority="5">
      <x:formula>J5="U1"</x:formula>
    </x:cfRule>
    <x:cfRule type="expression" dxfId="17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459f92dfee41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Basel Liquidity Coverage and Stable-Funding Constraints</x:v>
      </x:c>
    </x:row>
    <x:row r="2">
      <x:c r="A2" s="12" t="str">
        <x:v>The LCR addresses short stress; the NSFR addresses structural funding. Neither is a solvency guarantee.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V17BAS-001</x:v>
      </x:c>
      <x:c r="B5" s="51" t="str">
        <x:v>Basel liquidity, capital and stable-funding constraints</x:v>
      </x:c>
      <x:c r="C5" s="51" t="str">
        <x:v>Basel Committee on Banking Supervision</x:v>
      </x:c>
      <x:c r="D5" s="51" t="str">
        <x:v>Bank supervisors</x:v>
      </x:c>
      <x:c r="E5" s="51" t="str">
        <x:v>Ongoing</x:v>
      </x:c>
      <x:c r="F5" s="51" t="str">
        <x:v>Basel implementation</x:v>
      </x:c>
      <x:c r="G5" s="51" t="str">
        <x:v>INS-361; INS-362</x:v>
      </x:c>
      <x:c r="H5" s="51" t="str">
        <x:v>Global</x:v>
      </x:c>
      <x:c r="I5" s="51" t="str">
        <x:v>Basel standards gain legal force through national rulemaking and supervision</x:v>
      </x:c>
      <x:c r="J5" s="51" t="str">
        <x:v>E1</x:v>
      </x:c>
      <x:c r="K5" s="51" t="str">
        <x:v>SRC-754; SRC-755; SRC-756</x:v>
      </x:c>
      <x:c r="L5" s="51" t="str">
        <x:v>The Basel Committee publishes the LCR, NSFR and broader Basel framework.</x:v>
      </x:c>
      <x:c r="M5" s="51" t="str">
        <x:v>Direct global legal authority over banks.</x:v>
      </x:c>
      <x:c r="N5" s="51" t="str">
        <x:v>Active</x:v>
      </x:c>
    </x:row>
    <x:row r="6">
      <x:c r="A6" s="51" t="str">
        <x:v>V17BAS-002</x:v>
      </x:c>
      <x:c r="B6" s="51" t="str">
        <x:v>Basel liquidity, capital and stable-funding constraints</x:v>
      </x:c>
      <x:c r="C6" s="51" t="str">
        <x:v>Bank supervisors</x:v>
      </x:c>
      <x:c r="D6" s="51" t="str">
        <x:v>Commercial banks</x:v>
      </x:c>
      <x:c r="E6" s="51" t="str">
        <x:v>Ongoing</x:v>
      </x:c>
      <x:c r="F6" s="51" t="str">
        <x:v>Liquidity Coverage Ratio</x:v>
      </x:c>
      <x:c r="G6" s="51" t="str">
        <x:v>INS-361</x:v>
      </x:c>
      <x:c r="H6" s="51" t="str">
        <x:v>Bank-specific</x:v>
      </x:c>
      <x:c r="I6" s="51" t="str">
        <x:v>The LCR converts modeled cash outflows into a minimum liquid-asset requirement</x:v>
      </x:c>
      <x:c r="J6" s="51" t="str">
        <x:v>E1</x:v>
      </x:c>
      <x:c r="K6" s="51" t="str">
        <x:v>SRC-755; SRC-757</x:v>
      </x:c>
      <x:c r="L6" s="51" t="str">
        <x:v>Banks subject to the LCR must maintain qualifying liquid assets against stress outflows.</x:v>
      </x:c>
      <x:c r="M6" s="51" t="str">
        <x:v>Guarantee that a bank can survive every run.</x:v>
      </x:c>
      <x:c r="N6" s="51" t="str">
        <x:v>Active</x:v>
      </x:c>
    </x:row>
    <x:row r="7">
      <x:c r="A7" s="51" t="str">
        <x:v>V17BAS-003</x:v>
      </x:c>
      <x:c r="B7" s="51" t="str">
        <x:v>Basel liquidity, capital and stable-funding constraints</x:v>
      </x:c>
      <x:c r="C7" s="51" t="str">
        <x:v>Bank supervisors</x:v>
      </x:c>
      <x:c r="D7" s="51" t="str">
        <x:v>Commercial banks</x:v>
      </x:c>
      <x:c r="E7" s="51" t="str">
        <x:v>Ongoing</x:v>
      </x:c>
      <x:c r="F7" s="51" t="str">
        <x:v>Net Stable Funding Ratio</x:v>
      </x:c>
      <x:c r="G7" s="51" t="str">
        <x:v>INS-362</x:v>
      </x:c>
      <x:c r="H7" s="51" t="str">
        <x:v>Bank-specific</x:v>
      </x:c>
      <x:c r="I7" s="51" t="str">
        <x:v>The NSFR converts illiquid asset composition into longer-term funding requirements</x:v>
      </x:c>
      <x:c r="J7" s="51" t="str">
        <x:v>E1</x:v>
      </x:c>
      <x:c r="K7" s="51" t="str">
        <x:v>SRC-756; SRC-757</x:v>
      </x:c>
      <x:c r="L7" s="51" t="str">
        <x:v>The NSFR promotes a stable funding profile relative to asset composition.</x:v>
      </x:c>
      <x:c r="M7" s="51" t="str">
        <x:v>Elimination of maturity transformation or market funding.</x:v>
      </x:c>
      <x:c r="N7" s="51" t="str">
        <x:v>Active</x:v>
      </x:c>
    </x:row>
  </x:sheetData>
  <x:mergeCells>
    <x:mergeCell ref="A1:N1"/>
    <x:mergeCell ref="A2:N2"/>
  </x:mergeCells>
  <x:conditionalFormatting sqref="J5:J7">
    <x:cfRule type="expression" dxfId="18" priority="1">
      <x:formula>J5="E1"</x:formula>
    </x:cfRule>
    <x:cfRule type="expression" dxfId="19" priority="2">
      <x:formula>J5="E2"</x:formula>
    </x:cfRule>
    <x:cfRule type="expression" dxfId="20" priority="3">
      <x:formula>J5="S1"</x:formula>
    </x:cfRule>
    <x:cfRule type="expression" dxfId="21" priority="4">
      <x:formula>J5="A1"</x:formula>
    </x:cfRule>
    <x:cfRule type="expression" dxfId="22" priority="5">
      <x:formula>J5="U1"</x:formula>
    </x:cfRule>
    <x:cfRule type="expression" dxfId="23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10d5b45da5466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FDIC Insurance, DIF Funding and Depositor Protection</x:v>
      </x:c>
    </x:row>
    <x:row r="2">
      <x:c r="A2" s="12" t="str">
        <x:v>Insurance coverage, receivership priority, shareholder loss and creditor recovery remain separate.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V17FDIC-001</x:v>
      </x:c>
      <x:c r="B5" s="51" t="str">
        <x:v>Deposit insurance, creditor hierarchy and failed-bank resolution</x:v>
      </x:c>
      <x:c r="C5" s="51" t="str">
        <x:v>FDIC-insured depository institutions</x:v>
      </x:c>
      <x:c r="D5" s="51" t="str">
        <x:v>Deposit Insurance Fund</x:v>
      </x:c>
      <x:c r="E5" s="51" t="str">
        <x:v>Quarterly</x:v>
      </x:c>
      <x:c r="F5" s="51" t="str">
        <x:v>Risk-based assessment</x:v>
      </x:c>
      <x:c r="G5" s="51" t="str">
        <x:v>INS-365</x:v>
      </x:c>
      <x:c r="H5" s="51" t="str">
        <x:v>Industry-wide</x:v>
      </x:c>
      <x:c r="I5" s="51" t="str">
        <x:v>Private banking institutions collectively fund the deposit-insurance and resolution pool</x:v>
      </x:c>
      <x:c r="J5" s="51" t="str">
        <x:v>E1</x:v>
      </x:c>
      <x:c r="K5" s="51" t="str">
        <x:v>SRC-748; SRC-793</x:v>
      </x:c>
      <x:c r="L5" s="51" t="str">
        <x:v>The DIF is funded by assessments on insured institutions and investment income.</x:v>
      </x:c>
      <x:c r="M5" s="51" t="str">
        <x:v>A direct annual taxpayer appropriation or equal assessment burden.</x:v>
      </x:c>
      <x:c r="N5" s="51" t="str">
        <x:v>Active</x:v>
      </x:c>
    </x:row>
    <x:row r="6">
      <x:c r="A6" s="51" t="str">
        <x:v>V17FDIC-002</x:v>
      </x:c>
      <x:c r="B6" s="51" t="str">
        <x:v>Deposit insurance, creditor hierarchy and failed-bank resolution</x:v>
      </x:c>
      <x:c r="C6" s="51" t="str">
        <x:v>Deposit Insurance Fund</x:v>
      </x:c>
      <x:c r="D6" s="51" t="str">
        <x:v>Insured depositors</x:v>
      </x:c>
      <x:c r="E6" s="51" t="str">
        <x:v>After insured bank failure</x:v>
      </x:c>
      <x:c r="F6" s="51" t="str">
        <x:v>Insured-deposit payment or transfer</x:v>
      </x:c>
      <x:c r="G6" s="51" t="str">
        <x:v>INS-363; INS-364</x:v>
      </x:c>
      <x:c r="H6" s="51" t="str">
        <x:v>Up to applicable statutory coverage</x:v>
      </x:c>
      <x:c r="I6" s="51" t="str">
        <x:v>Deposit insurance converts an eligible bank liability into a claim backed by the insurance system</x:v>
      </x:c>
      <x:c r="J6" s="51" t="str">
        <x:v>E1</x:v>
      </x:c>
      <x:c r="K6" s="51" t="str">
        <x:v>SRC-739; SRC-740; SRC-748; SRC-794</x:v>
      </x:c>
      <x:c r="L6" s="51" t="str">
        <x:v>FDIC insurance protects eligible deposits up to statutory limits.</x:v>
      </x:c>
      <x:c r="M6" s="51" t="str">
        <x:v>Protection of bank equity, bonds, mutual funds or all uninsured balances.</x:v>
      </x:c>
      <x:c r="N6" s="51" t="str">
        <x:v>Active</x:v>
      </x:c>
    </x:row>
    <x:row r="7">
      <x:c r="A7" s="51" t="str">
        <x:v>V17FDIC-003</x:v>
      </x:c>
      <x:c r="B7" s="51" t="str">
        <x:v>Deposit insurance, creditor hierarchy and failed-bank resolution</x:v>
      </x:c>
      <x:c r="C7" s="51" t="str">
        <x:v>Uninsured depositors</x:v>
      </x:c>
      <x:c r="D7" s="51" t="str">
        <x:v>Failed bank receiverships</x:v>
      </x:c>
      <x:c r="E7" s="51" t="str">
        <x:v>After failure</x:v>
      </x:c>
      <x:c r="F7" s="51" t="str">
        <x:v>Uninsured deposit claim</x:v>
      </x:c>
      <x:c r="G7" s="51" t="str">
        <x:v>INS-368</x:v>
      </x:c>
      <x:c r="H7" s="51" t="str">
        <x:v>Recovery-specific</x:v>
      </x:c>
      <x:c r="I7" s="51" t="str">
        <x:v>Uninsured deposits move from par bank money to a priority claim on recovered assets</x:v>
      </x:c>
      <x:c r="J7" s="51" t="str">
        <x:v>E1</x:v>
      </x:c>
      <x:c r="K7" s="51" t="str">
        <x:v>SRC-746; SRC-794</x:v>
      </x:c>
      <x:c r="L7" s="51" t="str">
        <x:v>Uninsured depositors rank ahead of general unsecured creditors under FDIC receivership priority.</x:v>
      </x:c>
      <x:c r="M7" s="51" t="str">
        <x:v>Immediate full recovery or equivalence to insured deposits.</x:v>
      </x:c>
      <x:c r="N7" s="51" t="str">
        <x:v>Active contingency</x:v>
      </x:c>
    </x:row>
    <x:row r="8">
      <x:c r="A8" s="51" t="str">
        <x:v>V17FDIC-004</x:v>
      </x:c>
      <x:c r="B8" s="51" t="str">
        <x:v>Deposit insurance, creditor hierarchy and failed-bank resolution</x:v>
      </x:c>
      <x:c r="C8" s="51" t="str">
        <x:v>Bank shareholders</x:v>
      </x:c>
      <x:c r="D8" s="51" t="str">
        <x:v>Failed bank receiverships</x:v>
      </x:c>
      <x:c r="E8" s="51" t="str">
        <x:v>After failure</x:v>
      </x:c>
      <x:c r="F8" s="51" t="str">
        <x:v>Equity loss</x:v>
      </x:c>
      <x:c r="G8" s="51" t="str">
        <x:v>INS-368</x:v>
      </x:c>
      <x:c r="H8" s="51" t="str">
        <x:v>Residual</x:v>
      </x:c>
      <x:c r="I8" s="51" t="str">
        <x:v>Shareholder capital absorbs losses before protected depositors receive support</x:v>
      </x:c>
      <x:c r="J8" s="51" t="str">
        <x:v>E1</x:v>
      </x:c>
      <x:c r="K8" s="51" t="str">
        <x:v>SRC-746; SRC-794</x:v>
      </x:c>
      <x:c r="L8" s="51" t="str">
        <x:v>Shareholders rank after depositors and general creditors in receivership.</x:v>
      </x:c>
      <x:c r="M8" s="51" t="str">
        <x:v>Guaranteed zero recovery in every failure.</x:v>
      </x:c>
      <x:c r="N8" s="51" t="str">
        <x:v>Active contingency</x:v>
      </x:c>
    </x:row>
    <x:row r="9">
      <x:c r="A9" s="51" t="str">
        <x:v>V17FDIC-005</x:v>
      </x:c>
      <x:c r="B9" s="51" t="str">
        <x:v>Deposit insurance, creditor hierarchy and failed-bank resolution</x:v>
      </x:c>
      <x:c r="C9" s="51" t="str">
        <x:v>Bank unsecured creditors</x:v>
      </x:c>
      <x:c r="D9" s="51" t="str">
        <x:v>Failed bank receiverships</x:v>
      </x:c>
      <x:c r="E9" s="51" t="str">
        <x:v>After failure</x:v>
      </x:c>
      <x:c r="F9" s="51" t="str">
        <x:v>General unsecured claim</x:v>
      </x:c>
      <x:c r="G9" s="51" t="str">
        <x:v>INS-368</x:v>
      </x:c>
      <x:c r="H9" s="51" t="str">
        <x:v>Recovery-specific</x:v>
      </x:c>
      <x:c r="I9" s="51" t="str">
        <x:v>Resolution hierarchy allocates losses beyond insured depositors to other creditors</x:v>
      </x:c>
      <x:c r="J9" s="51" t="str">
        <x:v>E1</x:v>
      </x:c>
      <x:c r="K9" s="51" t="str">
        <x:v>SRC-746; SRC-794</x:v>
      </x:c>
      <x:c r="L9" s="51" t="str">
        <x:v>General unsecured creditors rank below deposit liabilities.</x:v>
      </x:c>
      <x:c r="M9" s="51" t="str">
        <x:v>Equal treatment with insured deposits or immediate recovery.</x:v>
      </x:c>
      <x:c r="N9" s="51" t="str">
        <x:v>Active contingency</x:v>
      </x:c>
    </x:row>
    <x:row r="10">
      <x:c r="A10" s="51" t="str">
        <x:v>V17FDIC-006</x:v>
      </x:c>
      <x:c r="B10" s="51" t="str">
        <x:v>Deposit insurance, creditor hierarchy and failed-bank resolution</x:v>
      </x:c>
      <x:c r="C10" s="51" t="str">
        <x:v>Federal Deposit Insurance Corporation</x:v>
      </x:c>
      <x:c r="D10" s="51" t="str">
        <x:v>Failed bank receiverships</x:v>
      </x:c>
      <x:c r="E10" s="51" t="str">
        <x:v>Failure-specific</x:v>
      </x:c>
      <x:c r="F10" s="51" t="str">
        <x:v>Receivership appointment and administration</x:v>
      </x:c>
      <x:c r="G10" s="51" t="str">
        <x:v>INS-366; INS-368</x:v>
      </x:c>
      <x:c r="H10" s="51" t="str">
        <x:v>Two bank failures in 2025 and two listed in 2026 as of verification</x:v>
      </x:c>
      <x:c r="I10" s="51" t="str">
        <x:v>The FDIC converts a closed insured bank into a statutory receivership estate</x:v>
      </x:c>
      <x:c r="J10" s="51" t="str">
        <x:v>E1</x:v>
      </x:c>
      <x:c r="K10" s="51" t="str">
        <x:v>SRC-741; SRC-742; SRC-743; SRC-744</x:v>
      </x:c>
      <x:c r="L10" s="51" t="str">
        <x:v>The FDIC acts as receiver for failed insured depository institutions.</x:v>
      </x:c>
      <x:c r="M10" s="51" t="str">
        <x:v>Ownership of the bank before failure or protection of every creditor.</x:v>
      </x:c>
      <x:c r="N10" s="51" t="str">
        <x:v>Active</x:v>
      </x:c>
    </x:row>
    <x:row r="11">
      <x:c r="A11" s="51" t="str">
        <x:v>V17FDIC-007</x:v>
      </x:c>
      <x:c r="B11" s="51" t="str">
        <x:v>Deposit insurance, creditor hierarchy and failed-bank resolution</x:v>
      </x:c>
      <x:c r="C11" s="51" t="str">
        <x:v>Federal Deposit Insurance Corporation</x:v>
      </x:c>
      <x:c r="D11" s="51" t="str">
        <x:v>Acquiring banks</x:v>
      </x:c>
      <x:c r="E11" s="51" t="str">
        <x:v>Failure-specific</x:v>
      </x:c>
      <x:c r="F11" s="51" t="str">
        <x:v>Purchase-and-assumption transaction</x:v>
      </x:c>
      <x:c r="G11" s="51" t="str">
        <x:v>INS-366; INS-367</x:v>
      </x:c>
      <x:c r="H11" s="51" t="str">
        <x:v>Bid-specific</x:v>
      </x:c>
      <x:c r="I11" s="51" t="str">
        <x:v>A purchase-and-assumption transaction preserves deposit access and transfers assets to a new owner</x:v>
      </x:c>
      <x:c r="J11" s="51" t="str">
        <x:v>E1</x:v>
      </x:c>
      <x:c r="K11" s="51" t="str">
        <x:v>SRC-744; SRC-745</x:v>
      </x:c>
      <x:c r="L11" s="51" t="str">
        <x:v>FDIC resolution methods include purchase-and-assumption transactions.</x:v>
      </x:c>
      <x:c r="M11" s="51" t="str">
        <x:v>Transfer of every liability or absence of loss to the DIF.</x:v>
      </x:c>
      <x:c r="N11" s="51" t="str">
        <x:v>Active</x:v>
      </x:c>
    </x:row>
    <x:row r="12">
      <x:c r="A12" s="51" t="str">
        <x:v>V17FDIC-008</x:v>
      </x:c>
      <x:c r="B12" s="51" t="str">
        <x:v>Deposit insurance, creditor hierarchy and failed-bank resolution</x:v>
      </x:c>
      <x:c r="C12" s="51" t="str">
        <x:v>Federal Deposit Insurance Corporation</x:v>
      </x:c>
      <x:c r="D12" s="51" t="str">
        <x:v>Bridge banks</x:v>
      </x:c>
      <x:c r="E12" s="51" t="str">
        <x:v>Failure-specific</x:v>
      </x:c>
      <x:c r="F12" s="51" t="str">
        <x:v>Bridge-bank charter and transfer</x:v>
      </x:c>
      <x:c r="G12" s="51" t="str">
        <x:v>INS-367</x:v>
      </x:c>
      <x:c r="H12" s="51" t="str">
        <x:v>Failure-specific</x:v>
      </x:c>
      <x:c r="I12" s="51" t="str">
        <x:v>A bridge bank separates service continuity from final ownership</x:v>
      </x:c>
      <x:c r="J12" s="51" t="str">
        <x:v>E1</x:v>
      </x:c>
      <x:c r="K12" s="51" t="str">
        <x:v>SRC-744; SRC-753; SRC-794</x:v>
      </x:c>
      <x:c r="L12" s="51" t="str">
        <x:v>Bridge banks are temporary resolution tools for preserving operations.</x:v>
      </x:c>
      <x:c r="M12" s="51" t="str">
        <x:v>Permanent public ownership or guaranteed sale price.</x:v>
      </x:c>
      <x:c r="N12" s="51" t="str">
        <x:v>Active contingency</x:v>
      </x:c>
    </x:row>
    <x:row r="13">
      <x:c r="A13" s="51" t="str">
        <x:v>V17FDIC-009</x:v>
      </x:c>
      <x:c r="B13" s="51" t="str">
        <x:v>Deposit insurance, creditor hierarchy and failed-bank resolution</x:v>
      </x:c>
      <x:c r="C13" s="51" t="str">
        <x:v>Travis Hill</x:v>
      </x:c>
      <x:c r="D13" s="51" t="str">
        <x:v>Federal Deposit Insurance Corporation</x:v>
      </x:c>
      <x:c r="E13" s="51" t="str">
        <x:v>Current 2026</x:v>
      </x:c>
      <x:c r="F13" s="51" t="str">
        <x:v>Board leadership</x:v>
      </x:c>
      <x:c r="G13" s="51" t="str">
        <x:v>INS-364; INS-366; INS-369</x:v>
      </x:c>
      <x:c r="H13" s="51" t="str">
        <x:v>Five-year term began January 2, 2026</x:v>
      </x:c>
      <x:c r="I13" s="51" t="str">
        <x:v>Chairman authority shapes FDIC policy while receivership and insurance functions remain statutory</x:v>
      </x:c>
      <x:c r="J13" s="51" t="str">
        <x:v>E1</x:v>
      </x:c>
      <x:c r="K13" s="51" t="str">
        <x:v>SRC-747</x:v>
      </x:c>
      <x:c r="L13" s="51" t="str">
        <x:v>Travis Hill is the 23rd FDIC Chairman.</x:v>
      </x:c>
      <x:c r="M13" s="51" t="str">
        <x:v>Unilateral authority over every bank closure or payout.</x:v>
      </x:c>
      <x:c r="N13" s="51" t="str">
        <x:v>Active</x:v>
      </x:c>
    </x:row>
    <x:row r="14">
      <x:c r="A14" s="51" t="str">
        <x:v>V17FDIC-010</x:v>
      </x:c>
      <x:c r="B14" s="51" t="str">
        <x:v>Deposit insurance, creditor hierarchy and failed-bank resolution</x:v>
      </x:c>
      <x:c r="C14" s="51" t="str">
        <x:v>Federal Deposit Insurance Corporation</x:v>
      </x:c>
      <x:c r="D14" s="51" t="str">
        <x:v>Deposit Insurance Fund</x:v>
      </x:c>
      <x:c r="E14" s="51" t="str">
        <x:v>Ongoing</x:v>
      </x:c>
      <x:c r="F14" s="51" t="str">
        <x:v>Fund management and designated reserve ratio</x:v>
      </x:c>
      <x:c r="G14" s="51" t="str">
        <x:v>INS-364</x:v>
      </x:c>
      <x:c r="H14" s="51" t="str">
        <x:v>$157.4 billion and 1.43% reserve ratio at Q1 2026</x:v>
      </x:c>
      <x:c r="I14" s="51" t="str">
        <x:v>The FDIC manages a collective reserve against insured-deposit and resolution obligations</x:v>
      </x:c>
      <x:c r="J14" s="51" t="str">
        <x:v>E1</x:v>
      </x:c>
      <x:c r="K14" s="51" t="str">
        <x:v>SRC-740; SRC-748; SRC-793</x:v>
      </x:c>
      <x:c r="L14" s="51" t="str">
        <x:v>The FDIC reports the DIF balance and reserve ratio.</x:v>
      </x:c>
      <x:c r="M14" s="51" t="str">
        <x:v>Cash sufficient to pay every insured deposit simultaneously without borrowing or asset recovery.</x:v>
      </x:c>
      <x:c r="N14" s="51" t="str">
        <x:v>Active</x:v>
      </x:c>
    </x:row>
  </x:sheetData>
  <x:mergeCells>
    <x:mergeCell ref="A1:N1"/>
    <x:mergeCell ref="A2:N2"/>
  </x:mergeCells>
  <x:conditionalFormatting sqref="J5:J14">
    <x:cfRule type="expression" dxfId="24" priority="1">
      <x:formula>J5="E1"</x:formula>
    </x:cfRule>
    <x:cfRule type="expression" dxfId="25" priority="2">
      <x:formula>J5="E2"</x:formula>
    </x:cfRule>
    <x:cfRule type="expression" dxfId="26" priority="3">
      <x:formula>J5="S1"</x:formula>
    </x:cfRule>
    <x:cfRule type="expression" dxfId="27" priority="4">
      <x:formula>J5="A1"</x:formula>
    </x:cfRule>
    <x:cfRule type="expression" dxfId="28" priority="5">
      <x:formula>J5="U1"</x:formula>
    </x:cfRule>
    <x:cfRule type="expression" dxfId="29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a3ab81a95b4c9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Bridge Banks, Purchase-and-Assumption, TLAC and Bail-In</x:v>
      </x:c>
    </x:row>
    <x:row r="2">
      <x:c r="A2" s="12" t="str">
        <x:v>Closure, receivership, transfer, bail-in and final ownership are distinct resolution states.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V17FDIC-001</x:v>
      </x:c>
      <x:c r="B5" s="51" t="str">
        <x:v>Deposit insurance, creditor hierarchy and failed-bank resolution</x:v>
      </x:c>
      <x:c r="C5" s="51" t="str">
        <x:v>FDIC-insured depository institutions</x:v>
      </x:c>
      <x:c r="D5" s="51" t="str">
        <x:v>Deposit Insurance Fund</x:v>
      </x:c>
      <x:c r="E5" s="51" t="str">
        <x:v>Quarterly</x:v>
      </x:c>
      <x:c r="F5" s="51" t="str">
        <x:v>Risk-based assessment</x:v>
      </x:c>
      <x:c r="G5" s="51" t="str">
        <x:v>INS-365</x:v>
      </x:c>
      <x:c r="H5" s="51" t="str">
        <x:v>Industry-wide</x:v>
      </x:c>
      <x:c r="I5" s="51" t="str">
        <x:v>Private banking institutions collectively fund the deposit-insurance and resolution pool</x:v>
      </x:c>
      <x:c r="J5" s="51" t="str">
        <x:v>E1</x:v>
      </x:c>
      <x:c r="K5" s="51" t="str">
        <x:v>SRC-748; SRC-793</x:v>
      </x:c>
      <x:c r="L5" s="51" t="str">
        <x:v>The DIF is funded by assessments on insured institutions and investment income.</x:v>
      </x:c>
      <x:c r="M5" s="51" t="str">
        <x:v>A direct annual taxpayer appropriation or equal assessment burden.</x:v>
      </x:c>
      <x:c r="N5" s="51" t="str">
        <x:v>Active</x:v>
      </x:c>
    </x:row>
    <x:row r="6">
      <x:c r="A6" s="51" t="str">
        <x:v>V17FDIC-002</x:v>
      </x:c>
      <x:c r="B6" s="51" t="str">
        <x:v>Deposit insurance, creditor hierarchy and failed-bank resolution</x:v>
      </x:c>
      <x:c r="C6" s="51" t="str">
        <x:v>Deposit Insurance Fund</x:v>
      </x:c>
      <x:c r="D6" s="51" t="str">
        <x:v>Insured depositors</x:v>
      </x:c>
      <x:c r="E6" s="51" t="str">
        <x:v>After insured bank failure</x:v>
      </x:c>
      <x:c r="F6" s="51" t="str">
        <x:v>Insured-deposit payment or transfer</x:v>
      </x:c>
      <x:c r="G6" s="51" t="str">
        <x:v>INS-363; INS-364</x:v>
      </x:c>
      <x:c r="H6" s="51" t="str">
        <x:v>Up to applicable statutory coverage</x:v>
      </x:c>
      <x:c r="I6" s="51" t="str">
        <x:v>Deposit insurance converts an eligible bank liability into a claim backed by the insurance system</x:v>
      </x:c>
      <x:c r="J6" s="51" t="str">
        <x:v>E1</x:v>
      </x:c>
      <x:c r="K6" s="51" t="str">
        <x:v>SRC-739; SRC-740; SRC-748; SRC-794</x:v>
      </x:c>
      <x:c r="L6" s="51" t="str">
        <x:v>FDIC insurance protects eligible deposits up to statutory limits.</x:v>
      </x:c>
      <x:c r="M6" s="51" t="str">
        <x:v>Protection of bank equity, bonds, mutual funds or all uninsured balances.</x:v>
      </x:c>
      <x:c r="N6" s="51" t="str">
        <x:v>Active</x:v>
      </x:c>
    </x:row>
    <x:row r="7">
      <x:c r="A7" s="51" t="str">
        <x:v>V17FDIC-003</x:v>
      </x:c>
      <x:c r="B7" s="51" t="str">
        <x:v>Deposit insurance, creditor hierarchy and failed-bank resolution</x:v>
      </x:c>
      <x:c r="C7" s="51" t="str">
        <x:v>Uninsured depositors</x:v>
      </x:c>
      <x:c r="D7" s="51" t="str">
        <x:v>Failed bank receiverships</x:v>
      </x:c>
      <x:c r="E7" s="51" t="str">
        <x:v>After failure</x:v>
      </x:c>
      <x:c r="F7" s="51" t="str">
        <x:v>Uninsured deposit claim</x:v>
      </x:c>
      <x:c r="G7" s="51" t="str">
        <x:v>INS-368</x:v>
      </x:c>
      <x:c r="H7" s="51" t="str">
        <x:v>Recovery-specific</x:v>
      </x:c>
      <x:c r="I7" s="51" t="str">
        <x:v>Uninsured deposits move from par bank money to a priority claim on recovered assets</x:v>
      </x:c>
      <x:c r="J7" s="51" t="str">
        <x:v>E1</x:v>
      </x:c>
      <x:c r="K7" s="51" t="str">
        <x:v>SRC-746; SRC-794</x:v>
      </x:c>
      <x:c r="L7" s="51" t="str">
        <x:v>Uninsured depositors rank ahead of general unsecured creditors under FDIC receivership priority.</x:v>
      </x:c>
      <x:c r="M7" s="51" t="str">
        <x:v>Immediate full recovery or equivalence to insured deposits.</x:v>
      </x:c>
      <x:c r="N7" s="51" t="str">
        <x:v>Active contingency</x:v>
      </x:c>
    </x:row>
    <x:row r="8">
      <x:c r="A8" s="51" t="str">
        <x:v>V17FDIC-004</x:v>
      </x:c>
      <x:c r="B8" s="51" t="str">
        <x:v>Deposit insurance, creditor hierarchy and failed-bank resolution</x:v>
      </x:c>
      <x:c r="C8" s="51" t="str">
        <x:v>Bank shareholders</x:v>
      </x:c>
      <x:c r="D8" s="51" t="str">
        <x:v>Failed bank receiverships</x:v>
      </x:c>
      <x:c r="E8" s="51" t="str">
        <x:v>After failure</x:v>
      </x:c>
      <x:c r="F8" s="51" t="str">
        <x:v>Equity loss</x:v>
      </x:c>
      <x:c r="G8" s="51" t="str">
        <x:v>INS-368</x:v>
      </x:c>
      <x:c r="H8" s="51" t="str">
        <x:v>Residual</x:v>
      </x:c>
      <x:c r="I8" s="51" t="str">
        <x:v>Shareholder capital absorbs losses before protected depositors receive support</x:v>
      </x:c>
      <x:c r="J8" s="51" t="str">
        <x:v>E1</x:v>
      </x:c>
      <x:c r="K8" s="51" t="str">
        <x:v>SRC-746; SRC-794</x:v>
      </x:c>
      <x:c r="L8" s="51" t="str">
        <x:v>Shareholders rank after depositors and general creditors in receivership.</x:v>
      </x:c>
      <x:c r="M8" s="51" t="str">
        <x:v>Guaranteed zero recovery in every failure.</x:v>
      </x:c>
      <x:c r="N8" s="51" t="str">
        <x:v>Active contingency</x:v>
      </x:c>
    </x:row>
    <x:row r="9">
      <x:c r="A9" s="51" t="str">
        <x:v>V17FDIC-005</x:v>
      </x:c>
      <x:c r="B9" s="51" t="str">
        <x:v>Deposit insurance, creditor hierarchy and failed-bank resolution</x:v>
      </x:c>
      <x:c r="C9" s="51" t="str">
        <x:v>Bank unsecured creditors</x:v>
      </x:c>
      <x:c r="D9" s="51" t="str">
        <x:v>Failed bank receiverships</x:v>
      </x:c>
      <x:c r="E9" s="51" t="str">
        <x:v>After failure</x:v>
      </x:c>
      <x:c r="F9" s="51" t="str">
        <x:v>General unsecured claim</x:v>
      </x:c>
      <x:c r="G9" s="51" t="str">
        <x:v>INS-368</x:v>
      </x:c>
      <x:c r="H9" s="51" t="str">
        <x:v>Recovery-specific</x:v>
      </x:c>
      <x:c r="I9" s="51" t="str">
        <x:v>Resolution hierarchy allocates losses beyond insured depositors to other creditors</x:v>
      </x:c>
      <x:c r="J9" s="51" t="str">
        <x:v>E1</x:v>
      </x:c>
      <x:c r="K9" s="51" t="str">
        <x:v>SRC-746; SRC-794</x:v>
      </x:c>
      <x:c r="L9" s="51" t="str">
        <x:v>General unsecured creditors rank below deposit liabilities.</x:v>
      </x:c>
      <x:c r="M9" s="51" t="str">
        <x:v>Equal treatment with insured deposits or immediate recovery.</x:v>
      </x:c>
      <x:c r="N9" s="51" t="str">
        <x:v>Active contingency</x:v>
      </x:c>
    </x:row>
    <x:row r="10">
      <x:c r="A10" s="51" t="str">
        <x:v>V17FDIC-006</x:v>
      </x:c>
      <x:c r="B10" s="51" t="str">
        <x:v>Deposit insurance, creditor hierarchy and failed-bank resolution</x:v>
      </x:c>
      <x:c r="C10" s="51" t="str">
        <x:v>Federal Deposit Insurance Corporation</x:v>
      </x:c>
      <x:c r="D10" s="51" t="str">
        <x:v>Failed bank receiverships</x:v>
      </x:c>
      <x:c r="E10" s="51" t="str">
        <x:v>Failure-specific</x:v>
      </x:c>
      <x:c r="F10" s="51" t="str">
        <x:v>Receivership appointment and administration</x:v>
      </x:c>
      <x:c r="G10" s="51" t="str">
        <x:v>INS-366; INS-368</x:v>
      </x:c>
      <x:c r="H10" s="51" t="str">
        <x:v>Two bank failures in 2025 and two listed in 2026 as of verification</x:v>
      </x:c>
      <x:c r="I10" s="51" t="str">
        <x:v>The FDIC converts a closed insured bank into a statutory receivership estate</x:v>
      </x:c>
      <x:c r="J10" s="51" t="str">
        <x:v>E1</x:v>
      </x:c>
      <x:c r="K10" s="51" t="str">
        <x:v>SRC-741; SRC-742; SRC-743; SRC-744</x:v>
      </x:c>
      <x:c r="L10" s="51" t="str">
        <x:v>The FDIC acts as receiver for failed insured depository institutions.</x:v>
      </x:c>
      <x:c r="M10" s="51" t="str">
        <x:v>Ownership of the bank before failure or protection of every creditor.</x:v>
      </x:c>
      <x:c r="N10" s="51" t="str">
        <x:v>Active</x:v>
      </x:c>
    </x:row>
    <x:row r="11">
      <x:c r="A11" s="51" t="str">
        <x:v>V17FDIC-007</x:v>
      </x:c>
      <x:c r="B11" s="51" t="str">
        <x:v>Deposit insurance, creditor hierarchy and failed-bank resolution</x:v>
      </x:c>
      <x:c r="C11" s="51" t="str">
        <x:v>Federal Deposit Insurance Corporation</x:v>
      </x:c>
      <x:c r="D11" s="51" t="str">
        <x:v>Acquiring banks</x:v>
      </x:c>
      <x:c r="E11" s="51" t="str">
        <x:v>Failure-specific</x:v>
      </x:c>
      <x:c r="F11" s="51" t="str">
        <x:v>Purchase-and-assumption transaction</x:v>
      </x:c>
      <x:c r="G11" s="51" t="str">
        <x:v>INS-366; INS-367</x:v>
      </x:c>
      <x:c r="H11" s="51" t="str">
        <x:v>Bid-specific</x:v>
      </x:c>
      <x:c r="I11" s="51" t="str">
        <x:v>A purchase-and-assumption transaction preserves deposit access and transfers assets to a new owner</x:v>
      </x:c>
      <x:c r="J11" s="51" t="str">
        <x:v>E1</x:v>
      </x:c>
      <x:c r="K11" s="51" t="str">
        <x:v>SRC-744; SRC-745</x:v>
      </x:c>
      <x:c r="L11" s="51" t="str">
        <x:v>FDIC resolution methods include purchase-and-assumption transactions.</x:v>
      </x:c>
      <x:c r="M11" s="51" t="str">
        <x:v>Transfer of every liability or absence of loss to the DIF.</x:v>
      </x:c>
      <x:c r="N11" s="51" t="str">
        <x:v>Active</x:v>
      </x:c>
    </x:row>
    <x:row r="12">
      <x:c r="A12" s="51" t="str">
        <x:v>V17FDIC-008</x:v>
      </x:c>
      <x:c r="B12" s="51" t="str">
        <x:v>Deposit insurance, creditor hierarchy and failed-bank resolution</x:v>
      </x:c>
      <x:c r="C12" s="51" t="str">
        <x:v>Federal Deposit Insurance Corporation</x:v>
      </x:c>
      <x:c r="D12" s="51" t="str">
        <x:v>Bridge banks</x:v>
      </x:c>
      <x:c r="E12" s="51" t="str">
        <x:v>Failure-specific</x:v>
      </x:c>
      <x:c r="F12" s="51" t="str">
        <x:v>Bridge-bank charter and transfer</x:v>
      </x:c>
      <x:c r="G12" s="51" t="str">
        <x:v>INS-367</x:v>
      </x:c>
      <x:c r="H12" s="51" t="str">
        <x:v>Failure-specific</x:v>
      </x:c>
      <x:c r="I12" s="51" t="str">
        <x:v>A bridge bank separates service continuity from final ownership</x:v>
      </x:c>
      <x:c r="J12" s="51" t="str">
        <x:v>E1</x:v>
      </x:c>
      <x:c r="K12" s="51" t="str">
        <x:v>SRC-744; SRC-753; SRC-794</x:v>
      </x:c>
      <x:c r="L12" s="51" t="str">
        <x:v>Bridge banks are temporary resolution tools for preserving operations.</x:v>
      </x:c>
      <x:c r="M12" s="51" t="str">
        <x:v>Permanent public ownership or guaranteed sale price.</x:v>
      </x:c>
      <x:c r="N12" s="51" t="str">
        <x:v>Active contingency</x:v>
      </x:c>
    </x:row>
    <x:row r="13">
      <x:c r="A13" s="51" t="str">
        <x:v>V17FDIC-009</x:v>
      </x:c>
      <x:c r="B13" s="51" t="str">
        <x:v>Deposit insurance, creditor hierarchy and failed-bank resolution</x:v>
      </x:c>
      <x:c r="C13" s="51" t="str">
        <x:v>Travis Hill</x:v>
      </x:c>
      <x:c r="D13" s="51" t="str">
        <x:v>Federal Deposit Insurance Corporation</x:v>
      </x:c>
      <x:c r="E13" s="51" t="str">
        <x:v>Current 2026</x:v>
      </x:c>
      <x:c r="F13" s="51" t="str">
        <x:v>Board leadership</x:v>
      </x:c>
      <x:c r="G13" s="51" t="str">
        <x:v>INS-364; INS-366; INS-369</x:v>
      </x:c>
      <x:c r="H13" s="51" t="str">
        <x:v>Five-year term began January 2, 2026</x:v>
      </x:c>
      <x:c r="I13" s="51" t="str">
        <x:v>Chairman authority shapes FDIC policy while receivership and insurance functions remain statutory</x:v>
      </x:c>
      <x:c r="J13" s="51" t="str">
        <x:v>E1</x:v>
      </x:c>
      <x:c r="K13" s="51" t="str">
        <x:v>SRC-747</x:v>
      </x:c>
      <x:c r="L13" s="51" t="str">
        <x:v>Travis Hill is the 23rd FDIC Chairman.</x:v>
      </x:c>
      <x:c r="M13" s="51" t="str">
        <x:v>Unilateral authority over every bank closure or payout.</x:v>
      </x:c>
      <x:c r="N13" s="51" t="str">
        <x:v>Active</x:v>
      </x:c>
    </x:row>
    <x:row r="14">
      <x:c r="A14" s="51" t="str">
        <x:v>V17FDIC-010</x:v>
      </x:c>
      <x:c r="B14" s="51" t="str">
        <x:v>Deposit insurance, creditor hierarchy and failed-bank resolution</x:v>
      </x:c>
      <x:c r="C14" s="51" t="str">
        <x:v>Federal Deposit Insurance Corporation</x:v>
      </x:c>
      <x:c r="D14" s="51" t="str">
        <x:v>Deposit Insurance Fund</x:v>
      </x:c>
      <x:c r="E14" s="51" t="str">
        <x:v>Ongoing</x:v>
      </x:c>
      <x:c r="F14" s="51" t="str">
        <x:v>Fund management and designated reserve ratio</x:v>
      </x:c>
      <x:c r="G14" s="51" t="str">
        <x:v>INS-364</x:v>
      </x:c>
      <x:c r="H14" s="51" t="str">
        <x:v>$157.4 billion and 1.43% reserve ratio at Q1 2026</x:v>
      </x:c>
      <x:c r="I14" s="51" t="str">
        <x:v>The FDIC manages a collective reserve against insured-deposit and resolution obligations</x:v>
      </x:c>
      <x:c r="J14" s="51" t="str">
        <x:v>E1</x:v>
      </x:c>
      <x:c r="K14" s="51" t="str">
        <x:v>SRC-740; SRC-748; SRC-793</x:v>
      </x:c>
      <x:c r="L14" s="51" t="str">
        <x:v>The FDIC reports the DIF balance and reserve ratio.</x:v>
      </x:c>
      <x:c r="M14" s="51" t="str">
        <x:v>Cash sufficient to pay every insured deposit simultaneously without borrowing or asset recovery.</x:v>
      </x:c>
      <x:c r="N14" s="51" t="str">
        <x:v>Active</x:v>
      </x:c>
    </x:row>
    <x:row r="15">
      <x:c r="A15" s="51" t="str">
        <x:v>V17RES-001</x:v>
      </x:c>
      <x:c r="B15" s="51" t="str">
        <x:v>G-SIB loss absorption, bail-in and resolution funding</x:v>
      </x:c>
      <x:c r="C15" s="51" t="str">
        <x:v>Financial Stability Board</x:v>
      </x:c>
      <x:c r="D15" s="51" t="str">
        <x:v>Resolution authorities</x:v>
      </x:c>
      <x:c r="E15" s="51" t="str">
        <x:v>Ongoing</x:v>
      </x:c>
      <x:c r="F15" s="51" t="str">
        <x:v>Key Attributes, TLAC and resolution guidance</x:v>
      </x:c>
      <x:c r="G15" s="51" t="str">
        <x:v>INS-370; INS-371</x:v>
      </x:c>
      <x:c r="H15" s="51" t="str">
        <x:v>29 G-SIBs on 2025 list</x:v>
      </x:c>
      <x:c r="I15" s="51" t="str">
        <x:v>International standards coordinate national preparation for systemic-bank failure</x:v>
      </x:c>
      <x:c r="J15" s="51" t="str">
        <x:v>E1</x:v>
      </x:c>
      <x:c r="K15" s="51" t="str">
        <x:v>SRC-750; SRC-751; SRC-752; SRC-797</x:v>
      </x:c>
      <x:c r="L15" s="51" t="str">
        <x:v>The FSB identifies G-SIBs and sets resolution and TLAC standards.</x:v>
      </x:c>
      <x:c r="M15" s="51" t="str">
        <x:v>Direct execution of bank resolution or automatic legal uniformity.</x:v>
      </x:c>
      <x:c r="N15" s="51" t="str">
        <x:v>Active</x:v>
      </x:c>
    </x:row>
    <x:row r="16">
      <x:c r="A16" s="51" t="str">
        <x:v>V17RES-002</x:v>
      </x:c>
      <x:c r="B16" s="51" t="str">
        <x:v>G-SIB loss absorption, bail-in and resolution funding</x:v>
      </x:c>
      <x:c r="C16" s="51" t="str">
        <x:v>Global systemically important banks</x:v>
      </x:c>
      <x:c r="D16" s="51" t="str">
        <x:v>TLAC debt holders</x:v>
      </x:c>
      <x:c r="E16" s="51" t="str">
        <x:v>Ongoing</x:v>
      </x:c>
      <x:c r="F16" s="51" t="str">
        <x:v>Eligible loss-absorbing liability issuance</x:v>
      </x:c>
      <x:c r="G16" s="51" t="str">
        <x:v>INS-370</x:v>
      </x:c>
      <x:c r="H16" s="51" t="str">
        <x:v>Firm-specific minimums</x:v>
      </x:c>
      <x:c r="I16" s="51" t="str">
        <x:v>G-SIBs issue liabilities designed to be written down or converted in resolution</x:v>
      </x:c>
      <x:c r="J16" s="51" t="str">
        <x:v>E1</x:v>
      </x:c>
      <x:c r="K16" s="51" t="str">
        <x:v>SRC-750; SRC-752; SRC-796</x:v>
      </x:c>
      <x:c r="L16" s="51" t="str">
        <x:v>G-SIBs must meet TLAC alongside capital requirements.</x:v>
      </x:c>
      <x:c r="M16" s="51" t="str">
        <x:v>Losslessness, deposit insurance or identical instruments across banks.</x:v>
      </x:c>
      <x:c r="N16" s="51" t="str">
        <x:v>Active</x:v>
      </x:c>
    </x:row>
    <x:row r="17">
      <x:c r="A17" s="51" t="str">
        <x:v>V17RES-003</x:v>
      </x:c>
      <x:c r="B17" s="51" t="str">
        <x:v>G-SIB loss absorption, bail-in and resolution funding</x:v>
      </x:c>
      <x:c r="C17" s="51" t="str">
        <x:v>Resolution authorities</x:v>
      </x:c>
      <x:c r="D17" s="51" t="str">
        <x:v>TLAC debt holders</x:v>
      </x:c>
      <x:c r="E17" s="51" t="str">
        <x:v>Resolution event</x:v>
      </x:c>
      <x:c r="F17" s="51" t="str">
        <x:v>Write-down or conversion</x:v>
      </x:c>
      <x:c r="G17" s="51" t="str">
        <x:v>INS-371</x:v>
      </x:c>
      <x:c r="H17" s="51" t="str">
        <x:v>Firm-specific</x:v>
      </x:c>
      <x:c r="I17" s="51" t="str">
        <x:v>Bail-in converts creditor claims into absorbed loss or new equity to restore capital</x:v>
      </x:c>
      <x:c r="J17" s="51" t="str">
        <x:v>E1</x:v>
      </x:c>
      <x:c r="K17" s="51" t="str">
        <x:v>SRC-751; SRC-752</x:v>
      </x:c>
      <x:c r="L17" s="51" t="str">
        <x:v>TLAC is intended to support write-down and recapitalisation in resolution.</x:v>
      </x:c>
      <x:c r="M17" s="51" t="str">
        <x:v>Automatic conversion in ordinary distress or use of insured deposits.</x:v>
      </x:c>
      <x:c r="N17" s="51" t="str">
        <x:v>Active contingency</x:v>
      </x:c>
    </x:row>
    <x:row r="18">
      <x:c r="A18" s="51" t="str">
        <x:v>V17RES-004</x:v>
      </x:c>
      <x:c r="B18" s="51" t="str">
        <x:v>G-SIB loss absorption, bail-in and resolution funding</x:v>
      </x:c>
      <x:c r="C18" s="51" t="str">
        <x:v>TLAC debt holders</x:v>
      </x:c>
      <x:c r="D18" s="51" t="str">
        <x:v>Bail-in equity holders</x:v>
      </x:c>
      <x:c r="E18" s="51" t="str">
        <x:v>Resolution event</x:v>
      </x:c>
      <x:c r="F18" s="51" t="str">
        <x:v>Debt-to-equity conversion</x:v>
      </x:c>
      <x:c r="G18" s="51" t="str">
        <x:v>INS-371</x:v>
      </x:c>
      <x:c r="H18" s="51" t="str">
        <x:v>Resolution-specific</x:v>
      </x:c>
      <x:c r="I18" s="51" t="str">
        <x:v>Bail-in can transfer ownership from pre-failure shareholders to creditors</x:v>
      </x:c>
      <x:c r="J18" s="51" t="str">
        <x:v>S1</x:v>
      </x:c>
      <x:c r="K18" s="51" t="str">
        <x:v>SRC-751; SRC-752</x:v>
      </x:c>
      <x:c r="L18" s="51" t="str">
        <x:v>Bail-in frameworks contemplate conversion of eligible liabilities into equity.</x:v>
      </x:c>
      <x:c r="M18" s="51" t="str">
        <x:v>Guaranteed recovery value or identical mechanism in every jurisdiction.</x:v>
      </x:c>
      <x:c r="N18" s="51" t="str">
        <x:v>Active contingency</x:v>
      </x:c>
    </x:row>
    <x:row r="19">
      <x:c r="A19" s="51" t="str">
        <x:v>V17RES-005</x:v>
      </x:c>
      <x:c r="B19" s="51" t="str">
        <x:v>G-SIB loss absorption, bail-in and resolution funding</x:v>
      </x:c>
      <x:c r="C19" s="51" t="str">
        <x:v>Resolution authorities</x:v>
      </x:c>
      <x:c r="D19" s="51" t="str">
        <x:v>Global systemically important banks</x:v>
      </x:c>
      <x:c r="E19" s="51" t="str">
        <x:v>Pre-failure and resolution</x:v>
      </x:c>
      <x:c r="F19" s="51" t="str">
        <x:v>Resolution planning and transfer tools</x:v>
      </x:c>
      <x:c r="G19" s="51" t="str">
        <x:v>INS-369; INS-371</x:v>
      </x:c>
      <x:c r="H19" s="51" t="str">
        <x:v>Firm-specific</x:v>
      </x:c>
      <x:c r="I19" s="51" t="str">
        <x:v>Resolution planning attempts to preserve critical functions while allocating losses to private stakeholders</x:v>
      </x:c>
      <x:c r="J19" s="51" t="str">
        <x:v>E1</x:v>
      </x:c>
      <x:c r="K19" s="51" t="str">
        <x:v>SRC-749; SRC-751; SRC-753</x:v>
      </x:c>
      <x:c r="L19" s="51" t="str">
        <x:v>Authorities require resolution planning and continue work on cross-border bail-in and funding.</x:v>
      </x:c>
      <x:c r="M19" s="51" t="str">
        <x:v>Certainty that failure can be resolved without public liquidity or disruption.</x:v>
      </x:c>
      <x:c r="N19" s="51" t="str">
        <x:v>Implementation</x:v>
      </x:c>
    </x:row>
  </x:sheetData>
  <x:mergeCells>
    <x:mergeCell ref="A1:N1"/>
    <x:mergeCell ref="A2:N2"/>
  </x:mergeCells>
  <x:conditionalFormatting sqref="J5:J19">
    <x:cfRule type="expression" dxfId="30" priority="1">
      <x:formula>J5="E1"</x:formula>
    </x:cfRule>
    <x:cfRule type="expression" dxfId="31" priority="2">
      <x:formula>J5="E2"</x:formula>
    </x:cfRule>
    <x:cfRule type="expression" dxfId="32" priority="3">
      <x:formula>J5="S1"</x:formula>
    </x:cfRule>
    <x:cfRule type="expression" dxfId="33" priority="4">
      <x:formula>J5="A1"</x:formula>
    </x:cfRule>
    <x:cfRule type="expression" dxfId="34" priority="5">
      <x:formula>J5="U1"</x:formula>
    </x:cfRule>
    <x:cfRule type="expression" dxfId="35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747d1e90d04d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Discount Window, Standing Repo, ON RRP and FIMA Repo</x:v>
      </x:c>
    </x:row>
    <x:row r="2">
      <x:c r="A2" s="12" t="str">
        <x:v>Central-bank facilities change liquidity timing and collateral use; they do not erase asset losses.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V17FED-001</x:v>
      </x:c>
      <x:c r="B5" s="51" t="str">
        <x:v>Central-bank liquidity, collateral transformation and rate backstops</x:v>
      </x:c>
      <x:c r="C5" s="51" t="str">
        <x:v>Federal Reserve Banks</x:v>
      </x:c>
      <x:c r="D5" s="51" t="str">
        <x:v>FDIC-insured depository institutions</x:v>
      </x:c>
      <x:c r="E5" s="51" t="str">
        <x:v>Current 2026</x:v>
      </x:c>
      <x:c r="F5" s="51" t="str">
        <x:v>Discount-window lending</x:v>
      </x:c>
      <x:c r="G5" s="51" t="str">
        <x:v>INS-372</x:v>
      </x:c>
      <x:c r="H5" s="51" t="str">
        <x:v>Loan-specific</x:v>
      </x:c>
      <x:c r="I5" s="51" t="str">
        <x:v>The discount window converts bank assets into central-bank liquidity without selling them</x:v>
      </x:c>
      <x:c r="J5" s="51" t="str">
        <x:v>E1</x:v>
      </x:c>
      <x:c r="K5" s="51" t="str">
        <x:v>SRC-759; SRC-763; SRC-792</x:v>
      </x:c>
      <x:c r="L5" s="51" t="str">
        <x:v>Eligible depository institutions can borrow against a broad range of collateral.</x:v>
      </x:c>
      <x:c r="M5" s="51" t="str">
        <x:v>Capital support for an insolvent bank or guaranteed borrowing access.</x:v>
      </x:c>
      <x:c r="N5" s="51" t="str">
        <x:v>Active</x:v>
      </x:c>
    </x:row>
    <x:row r="6">
      <x:c r="A6" s="51" t="str">
        <x:v>V17FED-002</x:v>
      </x:c>
      <x:c r="B6" s="51" t="str">
        <x:v>Central-bank liquidity, collateral transformation and rate backstops</x:v>
      </x:c>
      <x:c r="C6" s="51" t="str">
        <x:v>FDIC-insured depository institutions</x:v>
      </x:c>
      <x:c r="D6" s="51" t="str">
        <x:v>Discount Window</x:v>
      </x:c>
      <x:c r="E6" s="51" t="str">
        <x:v>Liquidity stress or contingency</x:v>
      </x:c>
      <x:c r="F6" s="51" t="str">
        <x:v>Collateral pledge and borrowing request</x:v>
      </x:c>
      <x:c r="G6" s="51" t="str">
        <x:v>INS-372</x:v>
      </x:c>
      <x:c r="H6" s="51" t="str">
        <x:v>Primary credit up to 90 days</x:v>
      </x:c>
      <x:c r="I6" s="51" t="str">
        <x:v>Collateralised central-bank credit separates liquidity need from immediate asset sale</x:v>
      </x:c>
      <x:c r="J6" s="51" t="str">
        <x:v>E1</x:v>
      </x:c>
      <x:c r="K6" s="51" t="str">
        <x:v>SRC-759; SRC-763</x:v>
      </x:c>
      <x:c r="L6" s="51" t="str">
        <x:v>Primary, secondary and seasonal credit are collateralised facilities.</x:v>
      </x:c>
      <x:c r="M6" s="51" t="str">
        <x:v>Validation that the bank is solvent in all circumstances.</x:v>
      </x:c>
      <x:c r="N6" s="51" t="str">
        <x:v>Active</x:v>
      </x:c>
    </x:row>
    <x:row r="7">
      <x:c r="A7" s="51" t="str">
        <x:v>V17FED-003</x:v>
      </x:c>
      <x:c r="B7" s="51" t="str">
        <x:v>Central-bank liquidity, collateral transformation and rate backstops</x:v>
      </x:c>
      <x:c r="C7" s="51" t="str">
        <x:v>Federal Reserve System</x:v>
      </x:c>
      <x:c r="D7" s="51" t="str">
        <x:v>Standing Repo Facility</x:v>
      </x:c>
      <x:c r="E7" s="51" t="str">
        <x:v>Since 2021</x:v>
      </x:c>
      <x:c r="F7" s="51" t="str">
        <x:v>Facility operation and pricing</x:v>
      </x:c>
      <x:c r="G7" s="51" t="str">
        <x:v>INS-373</x:v>
      </x:c>
      <x:c r="H7" s="51" t="str">
        <x:v>Operation-specific</x:v>
      </x:c>
      <x:c r="I7" s="51" t="str">
        <x:v>The central bank establishes a secured funding option intended to cap extreme repo-rate pressure</x:v>
      </x:c>
      <x:c r="J7" s="51" t="str">
        <x:v>E1</x:v>
      </x:c>
      <x:c r="K7" s="51" t="str">
        <x:v>SRC-758; SRC-761; SRC-762</x:v>
      </x:c>
      <x:c r="L7" s="51" t="str">
        <x:v>The Federal Reserve conducts standing repo operations against eligible securities.</x:v>
      </x:c>
      <x:c r="M7" s="51" t="str">
        <x:v>Daily market funding for all institutions or elimination of repo volatility.</x:v>
      </x:c>
      <x:c r="N7" s="51" t="str">
        <x:v>Active</x:v>
      </x:c>
    </x:row>
    <x:row r="8">
      <x:c r="A8" s="51" t="str">
        <x:v>V17FED-004</x:v>
      </x:c>
      <x:c r="B8" s="51" t="str">
        <x:v>Central-bank liquidity, collateral transformation and rate backstops</x:v>
      </x:c>
      <x:c r="C8" s="51" t="str">
        <x:v>Standing Repo Facility</x:v>
      </x:c>
      <x:c r="D8" s="51" t="str">
        <x:v>Primary dealers and standing repo counterparties</x:v>
      </x:c>
      <x:c r="E8" s="51" t="str">
        <x:v>Operation day</x:v>
      </x:c>
      <x:c r="F8" s="51" t="str">
        <x:v>Repo cash against eligible securities</x:v>
      </x:c>
      <x:c r="G8" s="51" t="str">
        <x:v>INS-373</x:v>
      </x:c>
      <x:c r="H8" s="51" t="str">
        <x:v>Limited uptake reported in first half of 2026</x:v>
      </x:c>
      <x:c r="I8" s="51" t="str">
        <x:v>The SRF transforms high-quality securities into overnight central-bank cash</x:v>
      </x:c>
      <x:c r="J8" s="51" t="str">
        <x:v>E1</x:v>
      </x:c>
      <x:c r="K8" s="51" t="str">
        <x:v>SRC-761; SRC-762</x:v>
      </x:c>
      <x:c r="L8" s="51" t="str">
        <x:v>The July 2026 Monetary Policy Report described limited SRF usage.</x:v>
      </x:c>
      <x:c r="M8" s="51" t="str">
        <x:v>No market need or permanent zero usage.</x:v>
      </x:c>
      <x:c r="N8" s="51" t="str">
        <x:v>Active</x:v>
      </x:c>
    </x:row>
    <x:row r="9">
      <x:c r="A9" s="51" t="str">
        <x:v>V17FED-005</x:v>
      </x:c>
      <x:c r="B9" s="51" t="str">
        <x:v>Central-bank liquidity, collateral transformation and rate backstops</x:v>
      </x:c>
      <x:c r="C9" s="51" t="str">
        <x:v>Money market funds</x:v>
      </x:c>
      <x:c r="D9" s="51" t="str">
        <x:v>Overnight Reverse Repurchase Agreement Facility</x:v>
      </x:c>
      <x:c r="E9" s="51" t="str">
        <x:v>Overnight</x:v>
      </x:c>
      <x:c r="F9" s="51" t="str">
        <x:v>Cash investment</x:v>
      </x:c>
      <x:c r="G9" s="51" t="str">
        <x:v>INS-374</x:v>
      </x:c>
      <x:c r="H9" s="51" t="str">
        <x:v>Facility-specific</x:v>
      </x:c>
      <x:c r="I9" s="51" t="str">
        <x:v>The ON RRP facility provides eligible funds with a direct overnight public counterparty</x:v>
      </x:c>
      <x:c r="J9" s="51" t="str">
        <x:v>E1</x:v>
      </x:c>
      <x:c r="K9" s="51" t="str">
        <x:v>SRC-758; SRC-782; SRC-783</x:v>
      </x:c>
      <x:c r="L9" s="51" t="str">
        <x:v>Eligible money funds can place cash at the ON RRP facility.</x:v>
      </x:c>
      <x:c r="M9" s="51" t="str">
        <x:v>FDIC insurance or an ordinary bank deposit.</x:v>
      </x:c>
      <x:c r="N9" s="51" t="str">
        <x:v>Active</x:v>
      </x:c>
    </x:row>
    <x:row r="10">
      <x:c r="A10" s="51" t="str">
        <x:v>V17FED-006</x:v>
      </x:c>
      <x:c r="B10" s="51" t="str">
        <x:v>Central-bank liquidity, collateral transformation and rate backstops</x:v>
      </x:c>
      <x:c r="C10" s="51" t="str">
        <x:v>Federal Reserve System</x:v>
      </x:c>
      <x:c r="D10" s="51" t="str">
        <x:v>FIMA Repo Facility</x:v>
      </x:c>
      <x:c r="E10" s="51" t="str">
        <x:v>Current 2026</x:v>
      </x:c>
      <x:c r="F10" s="51" t="str">
        <x:v>Standing foreign repo facility</x:v>
      </x:c>
      <x:c r="G10" s="51" t="str">
        <x:v>INS-375</x:v>
      </x:c>
      <x:c r="H10" s="51" t="str">
        <x:v>Facility-specific</x:v>
      </x:c>
      <x:c r="I10" s="51" t="str">
        <x:v>FIMA repo lets foreign official institutions obtain dollars without selling Treasury holdings</x:v>
      </x:c>
      <x:c r="J10" s="51" t="str">
        <x:v>E1</x:v>
      </x:c>
      <x:c r="K10" s="51" t="str">
        <x:v>SRC-758</x:v>
      </x:c>
      <x:c r="L10" s="51" t="str">
        <x:v>The Federal Reserve maintains a FIMA repo facility.</x:v>
      </x:c>
      <x:c r="M10" s="51" t="str">
        <x:v>Open access for private foreign entities or exchange-rate insurance.</x:v>
      </x:c>
      <x:c r="N10" s="51" t="str">
        <x:v>Active</x:v>
      </x:c>
    </x:row>
    <x:row r="11">
      <x:c r="A11" s="51" t="str">
        <x:v>V17FED-007</x:v>
      </x:c>
      <x:c r="B11" s="51" t="str">
        <x:v>Central-bank liquidity, collateral transformation and rate backstops</x:v>
      </x:c>
      <x:c r="C11" s="51" t="str">
        <x:v>Foreign official institutions</x:v>
      </x:c>
      <x:c r="D11" s="51" t="str">
        <x:v>FIMA Repo Facility</x:v>
      </x:c>
      <x:c r="E11" s="51" t="str">
        <x:v>Liquidity need</x:v>
      </x:c>
      <x:c r="F11" s="51" t="str">
        <x:v>Treasury collateral pledge</x:v>
      </x:c>
      <x:c r="G11" s="51" t="str">
        <x:v>INS-375</x:v>
      </x:c>
      <x:c r="H11" s="51" t="str">
        <x:v>Facility-specific</x:v>
      </x:c>
      <x:c r="I11" s="51" t="str">
        <x:v>Official reserves become collateral for dollar funding instead of forced market sale</x:v>
      </x:c>
      <x:c r="J11" s="51" t="str">
        <x:v>E1</x:v>
      </x:c>
      <x:c r="K11" s="51" t="str">
        <x:v>SRC-758</x:v>
      </x:c>
      <x:c r="L11" s="51" t="str">
        <x:v>The facility is designed for foreign and international monetary authorities.</x:v>
      </x:c>
      <x:c r="M11" s="51" t="str">
        <x:v>Transfer of Treasury ownership or permanent financing.</x:v>
      </x:c>
      <x:c r="N11" s="51" t="str">
        <x:v>Active</x:v>
      </x:c>
    </x:row>
  </x:sheetData>
  <x:mergeCells>
    <x:mergeCell ref="A1:N1"/>
    <x:mergeCell ref="A2:N2"/>
  </x:mergeCells>
  <x:conditionalFormatting sqref="J5:J11">
    <x:cfRule type="expression" dxfId="36" priority="1">
      <x:formula>J5="E1"</x:formula>
    </x:cfRule>
    <x:cfRule type="expression" dxfId="37" priority="2">
      <x:formula>J5="E2"</x:formula>
    </x:cfRule>
    <x:cfRule type="expression" dxfId="38" priority="3">
      <x:formula>J5="S1"</x:formula>
    </x:cfRule>
    <x:cfRule type="expression" dxfId="39" priority="4">
      <x:formula>J5="A1"</x:formula>
    </x:cfRule>
    <x:cfRule type="expression" dxfId="40" priority="5">
      <x:formula>J5="U1"</x:formula>
    </x:cfRule>
    <x:cfRule type="expression" dxfId="41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f9dc6d9e30498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Federal Home Loan Bank Advances and Asset Encumbrance</x:v>
      </x:c>
    </x:row>
    <x:row r="2">
      <x:c r="A2" s="12" t="str">
        <x:v>FHLBank advances are secured wholesale liabilities, not equity or deposit insurance.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V17FHLB-001</x:v>
      </x:c>
      <x:c r="B5" s="51" t="str">
        <x:v>Federal Home Loan Bank secured liquidity</x:v>
      </x:c>
      <x:c r="C5" s="51" t="str">
        <x:v>Federal Home Loan Banks</x:v>
      </x:c>
      <x:c r="D5" s="51" t="str">
        <x:v>FHLBank member institutions</x:v>
      </x:c>
      <x:c r="E5" s="51" t="str">
        <x:v>Ongoing</x:v>
      </x:c>
      <x:c r="F5" s="51" t="str">
        <x:v>Secured advance</x:v>
      </x:c>
      <x:c r="G5" s="51" t="str">
        <x:v>INS-376</x:v>
      </x:c>
      <x:c r="H5" s="51" t="str">
        <x:v>$676 billion advances outstanding at year-end 2025</x:v>
      </x:c>
      <x:c r="I5" s="51" t="str">
        <x:v>The FHLBank System converts eligible collateral into term funding for member institutions</x:v>
      </x:c>
      <x:c r="J5" s="51" t="str">
        <x:v>E1</x:v>
      </x:c>
      <x:c r="K5" s="51" t="str">
        <x:v>SRC-764; SRC-765</x:v>
      </x:c>
      <x:c r="L5" s="51" t="str">
        <x:v>The system reported $676 billion in advances and approximately 6,300 members.</x:v>
      </x:c>
      <x:c r="M5" s="51" t="str">
        <x:v>Equity investment in the member or unconditional emergency support.</x:v>
      </x:c>
      <x:c r="N5" s="51" t="str">
        <x:v>Active</x:v>
      </x:c>
    </x:row>
    <x:row r="6">
      <x:c r="A6" s="51" t="str">
        <x:v>V17FHLB-002</x:v>
      </x:c>
      <x:c r="B6" s="51" t="str">
        <x:v>Federal Home Loan Bank secured liquidity</x:v>
      </x:c>
      <x:c r="C6" s="51" t="str">
        <x:v>FHLBank member institutions</x:v>
      </x:c>
      <x:c r="D6" s="51" t="str">
        <x:v>Federal Home Loan Banks</x:v>
      </x:c>
      <x:c r="E6" s="51" t="str">
        <x:v>Advance term</x:v>
      </x:c>
      <x:c r="F6" s="51" t="str">
        <x:v>Collateral pledge and repayment obligation</x:v>
      </x:c>
      <x:c r="G6" s="51" t="str">
        <x:v>INS-376</x:v>
      </x:c>
      <x:c r="H6" s="51" t="str">
        <x:v>Member-specific</x:v>
      </x:c>
      <x:c r="I6" s="51" t="str">
        <x:v>Members exchange asset encumbrance and interest payments for wholesale liquidity</x:v>
      </x:c>
      <x:c r="J6" s="51" t="str">
        <x:v>E1</x:v>
      </x:c>
      <x:c r="K6" s="51" t="str">
        <x:v>SRC-764; SRC-765</x:v>
      </x:c>
      <x:c r="L6" s="51" t="str">
        <x:v>FHLBank advances are collateralised loans to members.</x:v>
      </x:c>
      <x:c r="M6" s="51" t="str">
        <x:v>Sale of the underlying assets or deposit insurance.</x:v>
      </x:c>
      <x:c r="N6" s="51" t="str">
        <x:v>Active</x:v>
      </x:c>
    </x:row>
    <x:row r="7">
      <x:c r="A7" s="51" t="str">
        <x:v>V17FHLB-003</x:v>
      </x:c>
      <x:c r="B7" s="51" t="str">
        <x:v>Federal Home Loan Bank secured liquidity</x:v>
      </x:c>
      <x:c r="C7" s="51" t="str">
        <x:v>FHLBank advances</x:v>
      </x:c>
      <x:c r="D7" s="51" t="str">
        <x:v>Commercial banks</x:v>
      </x:c>
      <x:c r="E7" s="51" t="str">
        <x:v>Ongoing</x:v>
      </x:c>
      <x:c r="F7" s="51" t="str">
        <x:v>Wholesale liability</x:v>
      </x:c>
      <x:c r="G7" s="51" t="str">
        <x:v>INS-376</x:v>
      </x:c>
      <x:c r="H7" s="51" t="str">
        <x:v>Bank-specific</x:v>
      </x:c>
      <x:c r="I7" s="51" t="str">
        <x:v>FHLBank advances can replace deposit outflows or market funding with secured borrowing</x:v>
      </x:c>
      <x:c r="J7" s="51" t="str">
        <x:v>S1</x:v>
      </x:c>
      <x:c r="K7" s="51" t="str">
        <x:v>SRC-764; SRC-765</x:v>
      </x:c>
      <x:c r="L7" s="51" t="str">
        <x:v>Commercial banks are major FHLBank members and use advances for liquidity.</x:v>
      </x:c>
      <x:c r="M7" s="51" t="str">
        <x:v>Permanent solvency support or absence of subordination effects on other creditors.</x:v>
      </x:c>
      <x:c r="N7" s="51" t="str">
        <x:v>Active</x:v>
      </x:c>
    </x:row>
  </x:sheetData>
  <x:mergeCells>
    <x:mergeCell ref="A1:N1"/>
    <x:mergeCell ref="A2:N2"/>
  </x:mergeCells>
  <x:conditionalFormatting sqref="J5:J7">
    <x:cfRule type="expression" dxfId="42" priority="1">
      <x:formula>J5="E1"</x:formula>
    </x:cfRule>
    <x:cfRule type="expression" dxfId="43" priority="2">
      <x:formula>J5="E2"</x:formula>
    </x:cfRule>
    <x:cfRule type="expression" dxfId="44" priority="3">
      <x:formula>J5="S1"</x:formula>
    </x:cfRule>
    <x:cfRule type="expression" dxfId="45" priority="4">
      <x:formula>J5="A1"</x:formula>
    </x:cfRule>
    <x:cfRule type="expression" dxfId="46" priority="5">
      <x:formula>J5="U1"</x:formula>
    </x:cfRule>
    <x:cfRule type="expression" dxfId="47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e629e49e5d4f6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Repo, Reverse Repo, Haircuts, Cross-Border Funding and Leverage</x:v>
      </x:c>
    </x:row>
    <x:row r="2">
      <x:c r="A2" s="12" t="str">
        <x:v>Repo is economically secured borrowing; legal title, beneficial exposure and default rights require contract-level evidence.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V17REPO-001</x:v>
      </x:c>
      <x:c r="B5" s="51" t="str">
        <x:v>Repo, reverse repo and secured wholesale funding</x:v>
      </x:c>
      <x:c r="C5" s="51" t="str">
        <x:v>Repo cash lenders</x:v>
      </x:c>
      <x:c r="D5" s="51" t="str">
        <x:v>Repo cash borrowers</x:v>
      </x:c>
      <x:c r="E5" s="51" t="str">
        <x:v>Repo term</x:v>
      </x:c>
      <x:c r="F5" s="51" t="str">
        <x:v>Cash against securities</x:v>
      </x:c>
      <x:c r="G5" s="51" t="str">
        <x:v>INS-377</x:v>
      </x:c>
      <x:c r="H5" s="51" t="str">
        <x:v>Approximately $12.5–$12.6 trillion average daily U.S. exposures in 2025</x:v>
      </x:c>
      <x:c r="I5" s="51" t="str">
        <x:v>Repo transforms securities inventories into cash funding</x:v>
      </x:c>
      <x:c r="J5" s="51" t="str">
        <x:v>E1</x:v>
      </x:c>
      <x:c r="K5" s="51" t="str">
        <x:v>SRC-770; SRC-773</x:v>
      </x:c>
      <x:c r="L5" s="51" t="str">
        <x:v>The U.S. repo market is a multi-trillion-dollar daily funding market.</x:v>
      </x:c>
      <x:c r="M5" s="51" t="str">
        <x:v>Unsecured lending or permanent sale of economic exposure.</x:v>
      </x:c>
      <x:c r="N5" s="51" t="str">
        <x:v>Active</x:v>
      </x:c>
    </x:row>
    <x:row r="6">
      <x:c r="A6" s="51" t="str">
        <x:v>V17REPO-002</x:v>
      </x:c>
      <x:c r="B6" s="51" t="str">
        <x:v>Repo, reverse repo and secured wholesale funding</x:v>
      </x:c>
      <x:c r="C6" s="51" t="str">
        <x:v>Repo cash borrowers</x:v>
      </x:c>
      <x:c r="D6" s="51" t="str">
        <x:v>Repo cash lenders</x:v>
      </x:c>
      <x:c r="E6" s="51" t="str">
        <x:v>Repo opening leg</x:v>
      </x:c>
      <x:c r="F6" s="51" t="str">
        <x:v>Securities transfer and repurchase promise</x:v>
      </x:c>
      <x:c r="G6" s="51" t="str">
        <x:v>INS-377</x:v>
      </x:c>
      <x:c r="H6" s="51" t="str">
        <x:v>Trade-specific</x:v>
      </x:c>
      <x:c r="I6" s="51" t="str">
        <x:v>The borrower transfers securities while retaining an obligation to repurchase them</x:v>
      </x:c>
      <x:c r="J6" s="51" t="str">
        <x:v>E1</x:v>
      </x:c>
      <x:c r="K6" s="51" t="str">
        <x:v>SRC-770; SRC-788</x:v>
      </x:c>
      <x:c r="L6" s="51" t="str">
        <x:v>Repo involves temporary exchange of cash for securities and later repurchase.</x:v>
      </x:c>
      <x:c r="M6" s="51" t="str">
        <x:v>Permanent beneficial sale in ordinary economic analysis.</x:v>
      </x:c>
      <x:c r="N6" s="51" t="str">
        <x:v>Active</x:v>
      </x:c>
    </x:row>
    <x:row r="7">
      <x:c r="A7" s="51" t="str">
        <x:v>V17REPO-003</x:v>
      </x:c>
      <x:c r="B7" s="51" t="str">
        <x:v>Repo, reverse repo and secured wholesale funding</x:v>
      </x:c>
      <x:c r="C7" s="51" t="str">
        <x:v>Treasury collateral</x:v>
      </x:c>
      <x:c r="D7" s="51" t="str">
        <x:v>Repo cash lenders</x:v>
      </x:c>
      <x:c r="E7" s="51" t="str">
        <x:v>Repo term</x:v>
      </x:c>
      <x:c r="F7" s="51" t="str">
        <x:v>Haircut-adjusted security value</x:v>
      </x:c>
      <x:c r="G7" s="51" t="str">
        <x:v>INS-377; INS-378</x:v>
      </x:c>
      <x:c r="H7" s="51" t="str">
        <x:v>Trade-specific</x:v>
      </x:c>
      <x:c r="I7" s="51" t="str">
        <x:v>Collateral and haircuts reduce lender exposure while encumbering the borrower's assets</x:v>
      </x:c>
      <x:c r="J7" s="51" t="str">
        <x:v>E1</x:v>
      </x:c>
      <x:c r="K7" s="51" t="str">
        <x:v>SRC-771; SRC-788</x:v>
      </x:c>
      <x:c r="L7" s="51" t="str">
        <x:v>Treasuries are a dominant repo collateral class.</x:v>
      </x:c>
      <x:c r="M7" s="51" t="str">
        <x:v>Zero market risk, zero operational risk or guaranteed liquidation value.</x:v>
      </x:c>
      <x:c r="N7" s="51" t="str">
        <x:v>Active</x:v>
      </x:c>
    </x:row>
    <x:row r="8">
      <x:c r="A8" s="51" t="str">
        <x:v>V17REPO-004</x:v>
      </x:c>
      <x:c r="B8" s="51" t="str">
        <x:v>Repo, reverse repo and secured wholesale funding</x:v>
      </x:c>
      <x:c r="C8" s="51" t="str">
        <x:v>Office of Financial Research</x:v>
      </x:c>
      <x:c r="D8" s="51" t="str">
        <x:v>Repo cash lenders</x:v>
      </x:c>
      <x:c r="E8" s="51" t="str">
        <x:v>2025–2026</x:v>
      </x:c>
      <x:c r="F8" s="51" t="str">
        <x:v>Repo data collection and publication</x:v>
      </x:c>
      <x:c r="G8" s="51" t="str">
        <x:v>INS-377</x:v>
      </x:c>
      <x:c r="H8" s="51" t="str">
        <x:v>Market-wide</x:v>
      </x:c>
      <x:c r="I8" s="51" t="str">
        <x:v>Public data converts opaque bilateral funding into observable systemic exposures</x:v>
      </x:c>
      <x:c r="J8" s="51" t="str">
        <x:v>E1</x:v>
      </x:c>
      <x:c r="K8" s="51" t="str">
        <x:v>SRC-770; SRC-771; SRC-772; SRC-773; SRC-799</x:v>
      </x:c>
      <x:c r="L8" s="51" t="str">
        <x:v>OFR reports the size and participant structure of U.S. repo markets.</x:v>
      </x:c>
      <x:c r="M8" s="51" t="str">
        <x:v>Complete visibility into all contractual terms or real-time regulator control.</x:v>
      </x:c>
      <x:c r="N8" s="51" t="str">
        <x:v>Active</x:v>
      </x:c>
    </x:row>
    <x:row r="9">
      <x:c r="A9" s="51" t="str">
        <x:v>V17REPO-005</x:v>
      </x:c>
      <x:c r="B9" s="51" t="str">
        <x:v>Repo, reverse repo and secured wholesale funding</x:v>
      </x:c>
      <x:c r="C9" s="51" t="str">
        <x:v>Government-sponsored enterprises</x:v>
      </x:c>
      <x:c r="D9" s="51" t="str">
        <x:v>Repo cash borrowers</x:v>
      </x:c>
      <x:c r="E9" s="51" t="str">
        <x:v>2025–2026</x:v>
      </x:c>
      <x:c r="F9" s="51" t="str">
        <x:v>Cash lending or borrowing by segment</x:v>
      </x:c>
      <x:c r="G9" s="51" t="str">
        <x:v>INS-377</x:v>
      </x:c>
      <x:c r="H9" s="51" t="str">
        <x:v>Large market participant category</x:v>
      </x:c>
      <x:c r="I9" s="51" t="str">
        <x:v>GSEs connect public-purpose balance sheets to private Treasury funding markets</x:v>
      </x:c>
      <x:c r="J9" s="51" t="str">
        <x:v>E1</x:v>
      </x:c>
      <x:c r="K9" s="51" t="str">
        <x:v>SRC-773</x:v>
      </x:c>
      <x:c r="L9" s="51" t="str">
        <x:v>OFR identifies GSEs as important repo-market participants.</x:v>
      </x:c>
      <x:c r="M9" s="51" t="str">
        <x:v>Uniform net lender status in every segment or government guarantee of counterparties.</x:v>
      </x:c>
      <x:c r="N9" s="51" t="str">
        <x:v>Active</x:v>
      </x:c>
    </x:row>
    <x:row r="10">
      <x:c r="A10" s="51" t="str">
        <x:v>V17REPO-006</x:v>
      </x:c>
      <x:c r="B10" s="51" t="str">
        <x:v>Repo, reverse repo and secured wholesale funding</x:v>
      </x:c>
      <x:c r="C10" s="51" t="str">
        <x:v>Hedge funds</x:v>
      </x:c>
      <x:c r="D10" s="51" t="str">
        <x:v>Repo cash borrowers</x:v>
      </x:c>
      <x:c r="E10" s="51" t="str">
        <x:v>2025–2026</x:v>
      </x:c>
      <x:c r="F10" s="51" t="str">
        <x:v>Treasury-financing demand</x:v>
      </x:c>
      <x:c r="G10" s="51" t="str">
        <x:v>INS-377; INS-380</x:v>
      </x:c>
      <x:c r="H10" s="51" t="str">
        <x:v>Major sponsored-repo borrower category</x:v>
      </x:c>
      <x:c r="I10" s="51" t="str">
        <x:v>Repo allows hedge funds to finance large securities positions with relatively small equity</x:v>
      </x:c>
      <x:c r="J10" s="51" t="str">
        <x:v>E1</x:v>
      </x:c>
      <x:c r="K10" s="51" t="str">
        <x:v>SRC-774; SRC-773</x:v>
      </x:c>
      <x:c r="L10" s="51" t="str">
        <x:v>OFR reports that the majority of sponsored repo activity involves hedge funds as sponsored members.</x:v>
      </x:c>
      <x:c r="M10" s="51" t="str">
        <x:v>Identical strategy or destabilising intent across all hedge funds.</x:v>
      </x:c>
      <x:c r="N10" s="51" t="str">
        <x:v>Active</x:v>
      </x:c>
    </x:row>
  </x:sheetData>
  <x:mergeCells>
    <x:mergeCell ref="A1:N1"/>
    <x:mergeCell ref="A2:N2"/>
  </x:mergeCells>
  <x:conditionalFormatting sqref="J5:J10">
    <x:cfRule type="expression" dxfId="48" priority="1">
      <x:formula>J5="E1"</x:formula>
    </x:cfRule>
    <x:cfRule type="expression" dxfId="49" priority="2">
      <x:formula>J5="E2"</x:formula>
    </x:cfRule>
    <x:cfRule type="expression" dxfId="50" priority="3">
      <x:formula>J5="S1"</x:formula>
    </x:cfRule>
    <x:cfRule type="expression" dxfId="51" priority="4">
      <x:formula>J5="A1"</x:formula>
    </x:cfRule>
    <x:cfRule type="expression" dxfId="52" priority="5">
      <x:formula>J5="U1"</x:formula>
    </x:cfRule>
    <x:cfRule type="expression" dxfId="53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16b4141da148a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Money-Fund Shares, Rule 2a-7, Repo Lending and Redemptions</x:v>
      </x:c>
    </x:row>
    <x:row r="2">
      <x:c r="A2" s="12" t="str">
        <x:v>Money-fund shares are investment claims, not FDIC-insured bank deposits.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V17MMF-001</x:v>
      </x:c>
      <x:c r="B5" s="51" t="str">
        <x:v>Money market funds and cash-management substitution</x:v>
      </x:c>
      <x:c r="C5" s="51" t="str">
        <x:v>Money market fund investors</x:v>
      </x:c>
      <x:c r="D5" s="51" t="str">
        <x:v>Money market funds</x:v>
      </x:c>
      <x:c r="E5" s="51" t="str">
        <x:v>Subscription</x:v>
      </x:c>
      <x:c r="F5" s="51" t="str">
        <x:v>Purchase of redeemable shares</x:v>
      </x:c>
      <x:c r="G5" s="51" t="str">
        <x:v>INS-382; INS-383</x:v>
      </x:c>
      <x:c r="H5" s="51" t="str">
        <x:v>$7.86 trillion total sector assets on July 22, 2026</x:v>
      </x:c>
      <x:c r="I5" s="51" t="str">
        <x:v>Money funds convert investor cash into pooled short-duration portfolios</x:v>
      </x:c>
      <x:c r="J5" s="51" t="str">
        <x:v>E2</x:v>
      </x:c>
      <x:c r="K5" s="51" t="str">
        <x:v>SRC-768; SRC-769</x:v>
      </x:c>
      <x:c r="L5" s="51" t="str">
        <x:v>ICI reported $7.86 trillion in U.S. money market fund assets.</x:v>
      </x:c>
      <x:c r="M5" s="51" t="str">
        <x:v>Bank deposit, FDIC insurance or guaranteed stable value in every fund.</x:v>
      </x:c>
      <x:c r="N5" s="51" t="str">
        <x:v>Active</x:v>
      </x:c>
    </x:row>
    <x:row r="6">
      <x:c r="A6" s="51" t="str">
        <x:v>V17MMF-002</x:v>
      </x:c>
      <x:c r="B6" s="51" t="str">
        <x:v>Money market funds and cash-management substitution</x:v>
      </x:c>
      <x:c r="C6" s="51" t="str">
        <x:v>Money market funds</x:v>
      </x:c>
      <x:c r="D6" s="51" t="str">
        <x:v>Money market fund investors</x:v>
      </x:c>
      <x:c r="E6" s="51" t="str">
        <x:v>On redemption</x:v>
      </x:c>
      <x:c r="F6" s="51" t="str">
        <x:v>Cash payment at fund NAV</x:v>
      </x:c>
      <x:c r="G6" s="51" t="str">
        <x:v>INS-382; INS-383</x:v>
      </x:c>
      <x:c r="H6" s="51" t="str">
        <x:v>Share-specific</x:v>
      </x:c>
      <x:c r="I6" s="51" t="str">
        <x:v>Redeemable fund shares provide cash-like liquidity backed by market assets rather than bank deposits</x:v>
      </x:c>
      <x:c r="J6" s="51" t="str">
        <x:v>E1</x:v>
      </x:c>
      <x:c r="K6" s="51" t="str">
        <x:v>SRC-768</x:v>
      </x:c>
      <x:c r="L6" s="51" t="str">
        <x:v>Rule 2a-7 regulates liquidity and redemption features.</x:v>
      </x:c>
      <x:c r="M6" s="51" t="str">
        <x:v>Instant payment under all stress or public guarantee.</x:v>
      </x:c>
      <x:c r="N6" s="51" t="str">
        <x:v>Active</x:v>
      </x:c>
    </x:row>
    <x:row r="7">
      <x:c r="A7" s="51" t="str">
        <x:v>V17MMF-003</x:v>
      </x:c>
      <x:c r="B7" s="51" t="str">
        <x:v>Money market funds and cash-management substitution</x:v>
      </x:c>
      <x:c r="C7" s="51" t="str">
        <x:v>Securities and Exchange Commission</x:v>
      </x:c>
      <x:c r="D7" s="51" t="str">
        <x:v>Money market funds</x:v>
      </x:c>
      <x:c r="E7" s="51" t="str">
        <x:v>Current 2026</x:v>
      </x:c>
      <x:c r="F7" s="51" t="str">
        <x:v>Rule 2a-7 liquidity and fee framework</x:v>
      </x:c>
      <x:c r="G7" s="51" t="str">
        <x:v>INS-382</x:v>
      </x:c>
      <x:c r="H7" s="51" t="str">
        <x:v>25% daily and 50% weekly liquid-asset minimums</x:v>
      </x:c>
      <x:c r="I7" s="51" t="str">
        <x:v>SEC regulation converts redemption risk into portfolio-liquidity requirements</x:v>
      </x:c>
      <x:c r="J7" s="51" t="str">
        <x:v>E1</x:v>
      </x:c>
      <x:c r="K7" s="51" t="str">
        <x:v>SRC-768</x:v>
      </x:c>
      <x:c r="L7" s="51" t="str">
        <x:v>The SEC increased daily and weekly liquid-asset minimums and changed fee rules.</x:v>
      </x:c>
      <x:c r="M7" s="51" t="str">
        <x:v>FDIC protection or prohibition of fund losses.</x:v>
      </x:c>
      <x:c r="N7" s="51" t="str">
        <x:v>Active</x:v>
      </x:c>
    </x:row>
    <x:row r="8">
      <x:c r="A8" s="51" t="str">
        <x:v>V17MMF-004</x:v>
      </x:c>
      <x:c r="B8" s="51" t="str">
        <x:v>Money market funds and cash-management substitution</x:v>
      </x:c>
      <x:c r="C8" s="51" t="str">
        <x:v>Government money market funds</x:v>
      </x:c>
      <x:c r="D8" s="51" t="str">
        <x:v>Repo cash lenders</x:v>
      </x:c>
      <x:c r="E8" s="51" t="str">
        <x:v>Ongoing</x:v>
      </x:c>
      <x:c r="F8" s="51" t="str">
        <x:v>Reverse repo investment</x:v>
      </x:c>
      <x:c r="G8" s="51" t="str">
        <x:v>INS-377; INS-383</x:v>
      </x:c>
      <x:c r="H8" s="51" t="str">
        <x:v>Sector-specific</x:v>
      </x:c>
      <x:c r="I8" s="51" t="str">
        <x:v>Government money funds channel cash into Treasury and agency repo financing</x:v>
      </x:c>
      <x:c r="J8" s="51" t="str">
        <x:v>E1</x:v>
      </x:c>
      <x:c r="K8" s="51" t="str">
        <x:v>SRC-782; SRC-783</x:v>
      </x:c>
      <x:c r="L8" s="51" t="str">
        <x:v>Federal Reserve research documents MMF allocation across ON RRP, tri-party and FICC repo.</x:v>
      </x:c>
      <x:c r="M8" s="51" t="str">
        <x:v>Permanent allocation to one venue or bank-deposit status.</x:v>
      </x:c>
      <x:c r="N8" s="51" t="str">
        <x:v>Active</x:v>
      </x:c>
    </x:row>
    <x:row r="9">
      <x:c r="A9" s="51" t="str">
        <x:v>V17MMF-005</x:v>
      </x:c>
      <x:c r="B9" s="51" t="str">
        <x:v>Money market funds and cash-management substitution</x:v>
      </x:c>
      <x:c r="C9" s="51" t="str">
        <x:v>Money market funds</x:v>
      </x:c>
      <x:c r="D9" s="51" t="str">
        <x:v>US Treasury market</x:v>
      </x:c>
      <x:c r="E9" s="51" t="str">
        <x:v>Ongoing</x:v>
      </x:c>
      <x:c r="F9" s="51" t="str">
        <x:v>Treasury bills, repo and government securities investment</x:v>
      </x:c>
      <x:c r="G9" s="51" t="str">
        <x:v>INS-383</x:v>
      </x:c>
      <x:c r="H9" s="51" t="str">
        <x:v>Multi-trillion-dollar sector</x:v>
      </x:c>
      <x:c r="I9" s="51" t="str">
        <x:v>Money funds connect household and institutional cash to sovereign short-term funding</x:v>
      </x:c>
      <x:c r="J9" s="51" t="str">
        <x:v>E2</x:v>
      </x:c>
      <x:c r="K9" s="51" t="str">
        <x:v>SRC-769; SRC-776; SRC-782</x:v>
      </x:c>
      <x:c r="L9" s="51" t="str">
        <x:v>Money funds hold large short-duration portfolios including government instruments and repo.</x:v>
      </x:c>
      <x:c r="M9" s="51" t="str">
        <x:v>Direct financing of all Treasury issuance or stable holdings in every stress.</x:v>
      </x:c>
      <x:c r="N9" s="51" t="str">
        <x:v>Active</x:v>
      </x:c>
    </x:row>
    <x:row r="10">
      <x:c r="A10" s="51" t="str">
        <x:v>V17MMF-006</x:v>
      </x:c>
      <x:c r="B10" s="51" t="str">
        <x:v>Money market funds and cash-management substitution</x:v>
      </x:c>
      <x:c r="C10" s="51" t="str">
        <x:v>Money market fund sponsors</x:v>
      </x:c>
      <x:c r="D10" s="51" t="str">
        <x:v>Money market funds</x:v>
      </x:c>
      <x:c r="E10" s="51" t="str">
        <x:v>Ongoing</x:v>
      </x:c>
      <x:c r="F10" s="51" t="str">
        <x:v>Management, operations and discretionary support</x:v>
      </x:c>
      <x:c r="G10" s="51" t="str">
        <x:v>INS-382; INS-383</x:v>
      </x:c>
      <x:c r="H10" s="51" t="str">
        <x:v>Fund-complex-specific</x:v>
      </x:c>
      <x:c r="I10" s="51" t="str">
        <x:v>Sponsor reputation and operational capacity support cash-like fund products without creating formal deposit insurance</x:v>
      </x:c>
      <x:c r="J10" s="51" t="str">
        <x:v>S1</x:v>
      </x:c>
      <x:c r="K10" s="51" t="str">
        <x:v>SRC-768</x:v>
      </x:c>
      <x:c r="L10" s="51" t="str">
        <x:v>Fund sponsors manage registered money market funds.</x:v>
      </x:c>
      <x:c r="M10" s="51" t="str">
        <x:v>Legally guaranteed support in every loss event.</x:v>
      </x:c>
      <x:c r="N10" s="51" t="str">
        <x:v>Active</x:v>
      </x:c>
    </x:row>
  </x:sheetData>
  <x:mergeCells>
    <x:mergeCell ref="A1:N1"/>
    <x:mergeCell ref="A2:N2"/>
  </x:mergeCells>
  <x:conditionalFormatting sqref="J5:J10">
    <x:cfRule type="expression" dxfId="54" priority="1">
      <x:formula>J5="E1"</x:formula>
    </x:cfRule>
    <x:cfRule type="expression" dxfId="55" priority="2">
      <x:formula>J5="E2"</x:formula>
    </x:cfRule>
    <x:cfRule type="expression" dxfId="56" priority="3">
      <x:formula>J5="S1"</x:formula>
    </x:cfRule>
    <x:cfRule type="expression" dxfId="57" priority="4">
      <x:formula>J5="A1"</x:formula>
    </x:cfRule>
    <x:cfRule type="expression" dxfId="58" priority="5">
      <x:formula>J5="U1"</x:formula>
    </x:cfRule>
    <x:cfRule type="expression" dxfId="59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0b5b7e2de044d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BNY, Collateral Agents and Tri-Party Market Infrastructure</x:v>
      </x:c>
    </x:row>
    <x:row r="2">
      <x:c r="A2" s="12" t="str">
        <x:v>The collateral agent operates settlement and valuation; the lender and borrower remain economic principals.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V17TRI-001</x:v>
      </x:c>
      <x:c r="B5" s="51" t="str">
        <x:v>Tri-party repo and collateral-management concentration</x:v>
      </x:c>
      <x:c r="C5" s="51" t="str">
        <x:v>Bank of New York Mellon</x:v>
      </x:c>
      <x:c r="D5" s="51" t="str">
        <x:v>Tri-party repo market</x:v>
      </x:c>
      <x:c r="E5" s="51" t="str">
        <x:v>Current 2026</x:v>
      </x:c>
      <x:c r="F5" s="51" t="str">
        <x:v>Settlement, custody and collateral management</x:v>
      </x:c>
      <x:c r="G5" s="51" t="str">
        <x:v>INS-378; INS-385</x:v>
      </x:c>
      <x:c r="H5" s="51" t="str">
        <x:v>Multi-trillion-dollar infrastructure</x:v>
      </x:c>
      <x:c r="I5" s="51" t="str">
        <x:v>A single collateral agent can become critical infrastructure for a large funding market</x:v>
      </x:c>
      <x:c r="J5" s="51" t="str">
        <x:v>E1</x:v>
      </x:c>
      <x:c r="K5" s="51" t="str">
        <x:v>SRC-783; SRC-785; SRC-787</x:v>
      </x:c>
      <x:c r="L5" s="51" t="str">
        <x:v>Federal Reserve sources identify BNY as the tri-party repo clearing and collateral-management bank.</x:v>
      </x:c>
      <x:c r="M5" s="51" t="str">
        <x:v>Beneficial ownership of all repo collateral or credit guarantee of all trades.</x:v>
      </x:c>
      <x:c r="N5" s="51" t="str">
        <x:v>Active</x:v>
      </x:c>
    </x:row>
    <x:row r="6">
      <x:c r="A6" s="51" t="str">
        <x:v>V17TRI-002</x:v>
      </x:c>
      <x:c r="B6" s="51" t="str">
        <x:v>Tri-party repo and collateral-management concentration</x:v>
      </x:c>
      <x:c r="C6" s="51" t="str">
        <x:v>Collateral management agents</x:v>
      </x:c>
      <x:c r="D6" s="51" t="str">
        <x:v>Repo cash lenders</x:v>
      </x:c>
      <x:c r="E6" s="51" t="str">
        <x:v>Repo lifecycle</x:v>
      </x:c>
      <x:c r="F6" s="51" t="str">
        <x:v>Collateral valuation, allocation and substitution</x:v>
      </x:c>
      <x:c r="G6" s="51" t="str">
        <x:v>INS-378; INS-385</x:v>
      </x:c>
      <x:c r="H6" s="51" t="str">
        <x:v>Trade-specific</x:v>
      </x:c>
      <x:c r="I6" s="51" t="str">
        <x:v>Collateral agents convert legal eligibility and market values into operationally usable secured positions</x:v>
      </x:c>
      <x:c r="J6" s="51" t="str">
        <x:v>E1</x:v>
      </x:c>
      <x:c r="K6" s="51" t="str">
        <x:v>SRC-786; SRC-788</x:v>
      </x:c>
      <x:c r="L6" s="51" t="str">
        <x:v>Collateral platforms value, allocate and optimise securities across transactions.</x:v>
      </x:c>
      <x:c r="M6" s="51" t="str">
        <x:v>Guarantee of borrower performance or elimination of wrong-way risk.</x:v>
      </x:c>
      <x:c r="N6" s="51" t="str">
        <x:v>Active</x:v>
      </x:c>
    </x:row>
    <x:row r="7">
      <x:c r="A7" s="51" t="str">
        <x:v>V17TRI-003</x:v>
      </x:c>
      <x:c r="B7" s="51" t="str">
        <x:v>Tri-party repo and collateral-management concentration</x:v>
      </x:c>
      <x:c r="C7" s="51" t="str">
        <x:v>Repo cash borrowers</x:v>
      </x:c>
      <x:c r="D7" s="51" t="str">
        <x:v>Bank of New York Mellon</x:v>
      </x:c>
      <x:c r="E7" s="51" t="str">
        <x:v>Trade lifecycle</x:v>
      </x:c>
      <x:c r="F7" s="51" t="str">
        <x:v>Collateral delivery and settlement instruction</x:v>
      </x:c>
      <x:c r="G7" s="51" t="str">
        <x:v>INS-378; INS-385</x:v>
      </x:c>
      <x:c r="H7" s="51" t="str">
        <x:v>Account-specific</x:v>
      </x:c>
      <x:c r="I7" s="51" t="str">
        <x:v>Dealers rely on custody infrastructure to transform inventories into secured funding</x:v>
      </x:c>
      <x:c r="J7" s="51" t="str">
        <x:v>E1</x:v>
      </x:c>
      <x:c r="K7" s="51" t="str">
        <x:v>SRC-783; SRC-785</x:v>
      </x:c>
      <x:c r="L7" s="51" t="str">
        <x:v>BNY provides tri-party settlement and collateral services.</x:v>
      </x:c>
      <x:c r="M7" s="51" t="str">
        <x:v>BNY acting as the economic lender in every trade.</x:v>
      </x:c>
      <x:c r="N7" s="51" t="str">
        <x:v>Active</x:v>
      </x:c>
    </x:row>
  </x:sheetData>
  <x:mergeCells>
    <x:mergeCell ref="A1:N1"/>
    <x:mergeCell ref="A2:N2"/>
  </x:mergeCells>
  <x:conditionalFormatting sqref="J5:J7">
    <x:cfRule type="expression" dxfId="60" priority="1">
      <x:formula>J5="E1"</x:formula>
    </x:cfRule>
    <x:cfRule type="expression" dxfId="61" priority="2">
      <x:formula>J5="E2"</x:formula>
    </x:cfRule>
    <x:cfRule type="expression" dxfId="62" priority="3">
      <x:formula>J5="S1"</x:formula>
    </x:cfRule>
    <x:cfRule type="expression" dxfId="63" priority="4">
      <x:formula>J5="A1"</x:formula>
    </x:cfRule>
    <x:cfRule type="expression" dxfId="64" priority="5">
      <x:formula>J5="U1"</x:formula>
    </x:cfRule>
    <x:cfRule type="expression" dxfId="65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1e62bcb342477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FICC, Sponsored Repo and Mandatory Treasury Clearing</x:v>
      </x:c>
    </x:row>
    <x:row r="2">
      <x:c r="A2" s="12" t="str">
        <x:v>Netting and novation reduce bilateral obligations while concentrating margin, operational and default risk.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V17FICC-001</x:v>
      </x:c>
      <x:c r="B5" s="51" t="str">
        <x:v>FICC Treasury clearing and sponsored access</x:v>
      </x:c>
      <x:c r="C5" s="51" t="str">
        <x:v>Depository Trust &amp; Clearing Corporation</x:v>
      </x:c>
      <x:c r="D5" s="51" t="str">
        <x:v>Fixed Income Clearing Corporation</x:v>
      </x:c>
      <x:c r="E5" s="51" t="str">
        <x:v>Ongoing</x:v>
      </x:c>
      <x:c r="F5" s="51" t="str">
        <x:v>Ownership and governance</x:v>
      </x:c>
      <x:c r="G5" s="51" t="str">
        <x:v>INS-379</x:v>
      </x:c>
      <x:c r="H5" s="51" t="str">
        <x:v>Wholly owned subsidiary</x:v>
      </x:c>
      <x:c r="I5" s="51" t="str">
        <x:v>Holding-company ownership supports a specialised CCP serving government-securities markets</x:v>
      </x:c>
      <x:c r="J5" s="51" t="str">
        <x:v>E1</x:v>
      </x:c>
      <x:c r="K5" s="51" t="str">
        <x:v>SRC-777</x:v>
      </x:c>
      <x:c r="L5" s="51" t="str">
        <x:v>FICC is a wholly owned subsidiary of DTCC.</x:v>
      </x:c>
      <x:c r="M5" s="51" t="str">
        <x:v>Government ownership or guarantee of FICC obligations.</x:v>
      </x:c>
      <x:c r="N5" s="51" t="str">
        <x:v>Active</x:v>
      </x:c>
    </x:row>
    <x:row r="6">
      <x:c r="A6" s="51" t="str">
        <x:v>V17FICC-002</x:v>
      </x:c>
      <x:c r="B6" s="51" t="str">
        <x:v>FICC Treasury clearing and sponsored access</x:v>
      </x:c>
      <x:c r="C6" s="51" t="str">
        <x:v>Treasury market participants</x:v>
      </x:c>
      <x:c r="D6" s="51" t="str">
        <x:v>Fixed Income Clearing Corporation</x:v>
      </x:c>
      <x:c r="E6" s="51" t="str">
        <x:v>Trade submission</x:v>
      </x:c>
      <x:c r="F6" s="51" t="str">
        <x:v>Central clearing</x:v>
      </x:c>
      <x:c r="G6" s="51" t="str">
        <x:v>INS-379</x:v>
      </x:c>
      <x:c r="H6" s="51" t="str">
        <x:v>Peak $11.8 trillion daily volume on June 30, 2025</x:v>
      </x:c>
      <x:c r="I6" s="51" t="str">
        <x:v>FICC converts many bilateral Treasury transactions into net obligations to a central counterparty</x:v>
      </x:c>
      <x:c r="J6" s="51" t="str">
        <x:v>E1</x:v>
      </x:c>
      <x:c r="K6" s="51" t="str">
        <x:v>SRC-777; SRC-778; SRC-780</x:v>
      </x:c>
      <x:c r="L6" s="51" t="str">
        <x:v>FICC GSD clears government securities and repo transactions at very large scale.</x:v>
      </x:c>
      <x:c r="M6" s="51" t="str">
        <x:v>Elimination of settlement risk or government guarantee.</x:v>
      </x:c>
      <x:c r="N6" s="51" t="str">
        <x:v>Active</x:v>
      </x:c>
    </x:row>
    <x:row r="7">
      <x:c r="A7" s="51" t="str">
        <x:v>V17FICC-003</x:v>
      </x:c>
      <x:c r="B7" s="51" t="str">
        <x:v>FICC Treasury clearing and sponsored access</x:v>
      </x:c>
      <x:c r="C7" s="51" t="str">
        <x:v>Sponsoring clearing members</x:v>
      </x:c>
      <x:c r="D7" s="51" t="str">
        <x:v>Sponsored members</x:v>
      </x:c>
      <x:c r="E7" s="51" t="str">
        <x:v>Ongoing</x:v>
      </x:c>
      <x:c r="F7" s="51" t="str">
        <x:v>Sponsored repo access</x:v>
      </x:c>
      <x:c r="G7" s="51" t="str">
        <x:v>INS-380</x:v>
      </x:c>
      <x:c r="H7" s="51" t="str">
        <x:v>Client-specific</x:v>
      </x:c>
      <x:c r="I7" s="51" t="str">
        <x:v>Sponsorship converts a non-member's repo into a centrally cleared transaction through a member</x:v>
      </x:c>
      <x:c r="J7" s="51" t="str">
        <x:v>E1</x:v>
      </x:c>
      <x:c r="K7" s="51" t="str">
        <x:v>SRC-774; SRC-779; SRC-781</x:v>
      </x:c>
      <x:c r="L7" s="51" t="str">
        <x:v>FICC's sponsored service allows eligible clients to clear through sponsoring members.</x:v>
      </x:c>
      <x:c r="M7" s="51" t="str">
        <x:v>Direct FICC membership or removal of sponsor credit and operational obligations.</x:v>
      </x:c>
      <x:c r="N7" s="51" t="str">
        <x:v>Active</x:v>
      </x:c>
    </x:row>
    <x:row r="8">
      <x:c r="A8" s="51" t="str">
        <x:v>V17FICC-004</x:v>
      </x:c>
      <x:c r="B8" s="51" t="str">
        <x:v>FICC Treasury clearing and sponsored access</x:v>
      </x:c>
      <x:c r="C8" s="51" t="str">
        <x:v>Hedge funds</x:v>
      </x:c>
      <x:c r="D8" s="51" t="str">
        <x:v>Sponsored members</x:v>
      </x:c>
      <x:c r="E8" s="51" t="str">
        <x:v>Current 2026</x:v>
      </x:c>
      <x:c r="F8" s="51" t="str">
        <x:v>Sponsored repo participation</x:v>
      </x:c>
      <x:c r="G8" s="51" t="str">
        <x:v>INS-380</x:v>
      </x:c>
      <x:c r="H8" s="51" t="str">
        <x:v>Majority category in OFR sponsored-repo data</x:v>
      </x:c>
      <x:c r="I8" s="51" t="str">
        <x:v>Sponsored clearing gives leveraged nonbanks access to netting and broader repo counterparties</x:v>
      </x:c>
      <x:c r="J8" s="51" t="str">
        <x:v>E1</x:v>
      </x:c>
      <x:c r="K8" s="51" t="str">
        <x:v>SRC-774</x:v>
      </x:c>
      <x:c r="L8" s="51" t="str">
        <x:v>OFR states that the majority of sponsored repo activity involves hedge funds.</x:v>
      </x:c>
      <x:c r="M8" s="51" t="str">
        <x:v>Uniform leverage or guaranteed financing.</x:v>
      </x:c>
      <x:c r="N8" s="51" t="str">
        <x:v>Active</x:v>
      </x:c>
    </x:row>
    <x:row r="9">
      <x:c r="A9" s="51" t="str">
        <x:v>V17FICC-005</x:v>
      </x:c>
      <x:c r="B9" s="51" t="str">
        <x:v>FICC Treasury clearing and sponsored access</x:v>
      </x:c>
      <x:c r="C9" s="51" t="str">
        <x:v>Securities and Exchange Commission</x:v>
      </x:c>
      <x:c r="D9" s="51" t="str">
        <x:v>Fixed Income Clearing Corporation</x:v>
      </x:c>
      <x:c r="E9" s="51" t="str">
        <x:v>2026–2027</x:v>
      </x:c>
      <x:c r="F9" s="51" t="str">
        <x:v>Treasury clearing compliance framework</x:v>
      </x:c>
      <x:c r="G9" s="51" t="str">
        <x:v>INS-381</x:v>
      </x:c>
      <x:c r="H9" s="51" t="str">
        <x:v>Cash deadline Dec. 31, 2026; repo deadline June 30, 2027</x:v>
      </x:c>
      <x:c r="I9" s="51" t="str">
        <x:v>Regulation can shift bilateral Treasury exposures into central clearing</x:v>
      </x:c>
      <x:c r="J9" s="51" t="str">
        <x:v>E1</x:v>
      </x:c>
      <x:c r="K9" s="51" t="str">
        <x:v>SRC-766; SRC-767</x:v>
      </x:c>
      <x:c r="L9" s="51" t="str">
        <x:v>The SEC extended and maintains mandatory clearing deadlines for eligible cash and repo transactions.</x:v>
      </x:c>
      <x:c r="M9" s="51" t="str">
        <x:v>All Treasury transactions becoming centrally cleared immediately.</x:v>
      </x:c>
      <x:c r="N9" s="51" t="str">
        <x:v>Implementation</x:v>
      </x:c>
    </x:row>
    <x:row r="10">
      <x:c r="A10" s="51" t="str">
        <x:v>V17FICC-006</x:v>
      </x:c>
      <x:c r="B10" s="51" t="str">
        <x:v>FICC Treasury clearing and sponsored access</x:v>
      </x:c>
      <x:c r="C10" s="51" t="str">
        <x:v>Fixed Income Clearing Corporation</x:v>
      </x:c>
      <x:c r="D10" s="51" t="str">
        <x:v>Treasury market participants</x:v>
      </x:c>
      <x:c r="E10" s="51" t="str">
        <x:v>2025–2027</x:v>
      </x:c>
      <x:c r="F10" s="51" t="str">
        <x:v>Netting, margin and settlement services</x:v>
      </x:c>
      <x:c r="G10" s="51" t="str">
        <x:v>INS-379; INS-381</x:v>
      </x:c>
      <x:c r="H10" s="51" t="str">
        <x:v>Market-wide expansion</x:v>
      </x:c>
      <x:c r="I10" s="51" t="str">
        <x:v>Central clearing can reduce bilateral settlement exposures while concentrating margin and default risk</x:v>
      </x:c>
      <x:c r="J10" s="51" t="str">
        <x:v>E1</x:v>
      </x:c>
      <x:c r="K10" s="51" t="str">
        <x:v>SRC-779; SRC-780; SRC-781</x:v>
      </x:c>
      <x:c r="L10" s="51" t="str">
        <x:v>FICC provides comparison, netting, settlement and risk management.</x:v>
      </x:c>
      <x:c r="M10" s="51" t="str">
        <x:v>Reduction of all leverage or liquidity needs.</x:v>
      </x:c>
      <x:c r="N10" s="51" t="str">
        <x:v>Active expansion</x:v>
      </x:c>
    </x:row>
  </x:sheetData>
  <x:mergeCells>
    <x:mergeCell ref="A1:N1"/>
    <x:mergeCell ref="A2:N2"/>
  </x:mergeCells>
  <x:conditionalFormatting sqref="J5:J10">
    <x:cfRule type="expression" dxfId="66" priority="1">
      <x:formula>J5="E1"</x:formula>
    </x:cfRule>
    <x:cfRule type="expression" dxfId="67" priority="2">
      <x:formula>J5="E2"</x:formula>
    </x:cfRule>
    <x:cfRule type="expression" dxfId="68" priority="3">
      <x:formula>J5="S1"</x:formula>
    </x:cfRule>
    <x:cfRule type="expression" dxfId="69" priority="4">
      <x:formula>J5="A1"</x:formula>
    </x:cfRule>
    <x:cfRule type="expression" dxfId="70" priority="5">
      <x:formula>J5="U1"</x:formula>
    </x:cfRule>
    <x:cfRule type="expression" dxfId="71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477856ba36447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1" hidden="0" customWidth="1"/>
    <x:col min="4" max="4" width="41" hidden="0" customWidth="1"/>
    <x:col min="5" max="5" width="21" hidden="0" customWidth="1"/>
    <x:col min="6" max="6" width="44" hidden="0" customWidth="1"/>
    <x:col min="7" max="7" width="21" hidden="0" customWidth="1"/>
    <x:col min="8" max="8" width="31" hidden="0" customWidth="1"/>
    <x:col min="9" max="9" width="70" hidden="0" customWidth="1"/>
    <x:col min="10" max="10" width="14" hidden="0" customWidth="1"/>
    <x:col min="11" max="11" width="38" hidden="0" customWidth="1"/>
    <x:col min="12" max="12" width="71" hidden="0" customWidth="1"/>
    <x:col min="13" max="13" width="71" hidden="0" customWidth="1"/>
    <x:col min="14" max="14" width="32" hidden="0" customWidth="1"/>
  </x:cols>
  <x:sheetData>
    <x:row r="1" ht="31" customHeight="1">
      <x:c r="A1" s="5" t="str">
        <x:v>Securities Lending, Collateral, Recalls and Prime Brokerage</x:v>
      </x:c>
    </x:row>
    <x:row r="2">
      <x:c r="A2" s="12" t="str">
        <x:v>Temporary possession, legal title, beneficial exposure, voting and recall rights must be traced separately.</x:v>
      </x:c>
    </x:row>
    <x:row r="4">
      <x:c r="A4" s="50" t="str">
        <x:v>Relationship ID</x:v>
      </x:c>
      <x:c r="B4" s="50" t="str">
        <x:v>Category</x:v>
      </x:c>
      <x:c r="C4" s="50" t="str">
        <x:v>Actor A</x:v>
      </x:c>
      <x:c r="D4" s="50" t="str">
        <x:v>Actor B</x:v>
      </x:c>
      <x:c r="E4" s="50" t="str">
        <x:v>Date / period</x:v>
      </x:c>
      <x:c r="F4" s="50" t="str">
        <x:v>Edge type</x:v>
      </x:c>
      <x:c r="G4" s="50" t="str">
        <x:v>Instrument ID</x:v>
      </x:c>
      <x:c r="H4" s="50" t="str">
        <x:v>Amount / scale</x:v>
      </x:c>
      <x:c r="I4" s="50" t="str">
        <x:v>Conversion mechanism</x:v>
      </x:c>
      <x:c r="J4" s="50" t="str">
        <x:v>Evidence grade</x:v>
      </x:c>
      <x:c r="K4" s="50" t="str">
        <x:v>Source IDs</x:v>
      </x:c>
      <x:c r="L4" s="50" t="str">
        <x:v>What evidence establishes</x:v>
      </x:c>
      <x:c r="M4" s="50" t="str">
        <x:v>What evidence does not establish</x:v>
      </x:c>
      <x:c r="N4" s="50" t="str">
        <x:v>Status</x:v>
      </x:c>
    </x:row>
    <x:row r="5">
      <x:c r="A5" s="51" t="str">
        <x:v>V17SL-001</x:v>
      </x:c>
      <x:c r="B5" s="51" t="str">
        <x:v>Securities lending, temporary title and market inventory</x:v>
      </x:c>
      <x:c r="C5" s="51" t="str">
        <x:v>Securities lenders</x:v>
      </x:c>
      <x:c r="D5" s="51" t="str">
        <x:v>Securities borrowers</x:v>
      </x:c>
      <x:c r="E5" s="51" t="str">
        <x:v>Loan term</x:v>
      </x:c>
      <x:c r="F5" s="51" t="str">
        <x:v>Temporary securities transfer</x:v>
      </x:c>
      <x:c r="G5" s="51" t="str">
        <x:v>INS-384</x:v>
      </x:c>
      <x:c r="H5" s="51" t="str">
        <x:v>Loan-specific</x:v>
      </x:c>
      <x:c r="I5" s="51" t="str">
        <x:v>Securities lending separates beneficial investment exposure from temporary market use of the asset</x:v>
      </x:c>
      <x:c r="J5" s="51" t="str">
        <x:v>E1</x:v>
      </x:c>
      <x:c r="K5" s="51" t="str">
        <x:v>SRC-775</x:v>
      </x:c>
      <x:c r="L5" s="51" t="str">
        <x:v>Securities borrowing is used for dealer inventory and market activity.</x:v>
      </x:c>
      <x:c r="M5" s="51" t="str">
        <x:v>Permanent sale of beneficial ownership or transfer of all economic rights.</x:v>
      </x:c>
      <x:c r="N5" s="51" t="str">
        <x:v>Active</x:v>
      </x:c>
    </x:row>
    <x:row r="6">
      <x:c r="A6" s="51" t="str">
        <x:v>V17SL-002</x:v>
      </x:c>
      <x:c r="B6" s="51" t="str">
        <x:v>Securities lending, temporary title and market inventory</x:v>
      </x:c>
      <x:c r="C6" s="51" t="str">
        <x:v>Securities borrowers</x:v>
      </x:c>
      <x:c r="D6" s="51" t="str">
        <x:v>Securities lenders</x:v>
      </x:c>
      <x:c r="E6" s="51" t="str">
        <x:v>Loan term</x:v>
      </x:c>
      <x:c r="F6" s="51" t="str">
        <x:v>Collateral and lending fee</x:v>
      </x:c>
      <x:c r="G6" s="51" t="str">
        <x:v>INS-384</x:v>
      </x:c>
      <x:c r="H6" s="51" t="str">
        <x:v>Loan-specific</x:v>
      </x:c>
      <x:c r="I6" s="51" t="str">
        <x:v>Collateral and fees compensate the lender for temporary loss of possession and counterparty risk</x:v>
      </x:c>
      <x:c r="J6" s="51" t="str">
        <x:v>E1</x:v>
      </x:c>
      <x:c r="K6" s="51" t="str">
        <x:v>SRC-775</x:v>
      </x:c>
      <x:c r="L6" s="51" t="str">
        <x:v>Securities lending involves collateralised temporary borrowing.</x:v>
      </x:c>
      <x:c r="M6" s="51" t="str">
        <x:v>Zero counterparty risk or guaranteed collateral sufficiency.</x:v>
      </x:c>
      <x:c r="N6" s="51" t="str">
        <x:v>Active</x:v>
      </x:c>
    </x:row>
    <x:row r="7">
      <x:c r="A7" s="51" t="str">
        <x:v>V17SL-003</x:v>
      </x:c>
      <x:c r="B7" s="51" t="str">
        <x:v>Securities lending, temporary title and market inventory</x:v>
      </x:c>
      <x:c r="C7" s="51" t="str">
        <x:v>Prime brokers</x:v>
      </x:c>
      <x:c r="D7" s="51" t="str">
        <x:v>Hedge funds</x:v>
      </x:c>
      <x:c r="E7" s="51" t="str">
        <x:v>Ongoing</x:v>
      </x:c>
      <x:c r="F7" s="51" t="str">
        <x:v>Financing and securities-borrow access</x:v>
      </x:c>
      <x:c r="G7" s="51" t="str">
        <x:v>INS-384</x:v>
      </x:c>
      <x:c r="H7" s="51" t="str">
        <x:v>Client-specific</x:v>
      </x:c>
      <x:c r="I7" s="51" t="str">
        <x:v>Prime brokers convert institutional custody and lender networks into tradable inventory for hedge funds</x:v>
      </x:c>
      <x:c r="J7" s="51" t="str">
        <x:v>S1</x:v>
      </x:c>
      <x:c r="K7" s="51" t="str">
        <x:v>SRC-775</x:v>
      </x:c>
      <x:c r="L7" s="51" t="str">
        <x:v>Prime brokers provide securities lending and financing services to investment funds.</x:v>
      </x:c>
      <x:c r="M7" s="51" t="str">
        <x:v>Control of every fund position or guaranteed recall availability.</x:v>
      </x:c>
      <x:c r="N7" s="51" t="str">
        <x:v>Active</x:v>
      </x:c>
    </x:row>
    <x:row r="8">
      <x:c r="A8" s="51" t="str">
        <x:v>V17SL-004</x:v>
      </x:c>
      <x:c r="B8" s="51" t="str">
        <x:v>Securities lending, temporary title and market inventory</x:v>
      </x:c>
      <x:c r="C8" s="51" t="str">
        <x:v>Securities lenders</x:v>
      </x:c>
      <x:c r="D8" s="51" t="str">
        <x:v>Securities borrowers</x:v>
      </x:c>
      <x:c r="E8" s="51" t="str">
        <x:v>On demand or contract event</x:v>
      </x:c>
      <x:c r="F8" s="51" t="str">
        <x:v>Security recall</x:v>
      </x:c>
      <x:c r="G8" s="51" t="str">
        <x:v>INS-384</x:v>
      </x:c>
      <x:c r="H8" s="51" t="str">
        <x:v>Security-specific</x:v>
      </x:c>
      <x:c r="I8" s="51" t="str">
        <x:v>Recall rights preserve the lender's ability to regain possession for sale, voting or settlement</x:v>
      </x:c>
      <x:c r="J8" s="51" t="str">
        <x:v>E1</x:v>
      </x:c>
      <x:c r="K8" s="51" t="str">
        <x:v>SRC-775</x:v>
      </x:c>
      <x:c r="L8" s="51" t="str">
        <x:v>OFR notes securities-lending contracts often allow lender recall.</x:v>
      </x:c>
      <x:c r="M8" s="51" t="str">
        <x:v>Immediate return without settlement risk in every condition.</x:v>
      </x:c>
      <x:c r="N8" s="51" t="str">
        <x:v>Active</x:v>
      </x:c>
    </x:row>
  </x:sheetData>
  <x:mergeCells>
    <x:mergeCell ref="A1:N1"/>
    <x:mergeCell ref="A2:N2"/>
  </x:mergeCells>
  <x:conditionalFormatting sqref="J5:J8">
    <x:cfRule type="expression" dxfId="72" priority="1">
      <x:formula>J5="E1"</x:formula>
    </x:cfRule>
    <x:cfRule type="expression" dxfId="73" priority="2">
      <x:formula>J5="E2"</x:formula>
    </x:cfRule>
    <x:cfRule type="expression" dxfId="74" priority="3">
      <x:formula>J5="S1"</x:formula>
    </x:cfRule>
    <x:cfRule type="expression" dxfId="75" priority="4">
      <x:formula>J5="A1"</x:formula>
    </x:cfRule>
    <x:cfRule type="expression" dxfId="76" priority="5">
      <x:formula>J5="U1"</x:formula>
    </x:cfRule>
    <x:cfRule type="expression" dxfId="77" priority="6">
      <x:formula>J5="N1"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2076828f9149b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1" hidden="0" customWidth="1"/>
    <x:col min="3" max="3" width="30" hidden="0" customWidth="1"/>
    <x:col min="4" max="4" width="69" hidden="0" customWidth="1"/>
    <x:col min="5" max="5" width="18" hidden="0" customWidth="1"/>
    <x:col min="6" max="6" width="18" hidden="0" customWidth="1"/>
    <x:col min="7" max="7" width="82" hidden="0" customWidth="1"/>
  </x:cols>
  <x:sheetData>
    <x:row r="1" ht="31" customHeight="1">
      <x:c r="A1" s="5" t="str">
        <x:v>Named Banking, Liquidity and Resolution Institutions</x:v>
      </x:c>
    </x:row>
    <x:row r="2">
      <x:c r="A2" s="12" t="str">
        <x:v>Relationship counts cover the full V17 ledger and are not an institutional-importance ranking.</x:v>
      </x:c>
    </x:row>
    <x:row r="4">
      <x:c r="A4" s="50" t="str">
        <x:v>Institution</x:v>
      </x:c>
      <x:c r="B4" s="50" t="str">
        <x:v>Institution type</x:v>
      </x:c>
      <x:c r="C4" s="50" t="str">
        <x:v>Jurisdiction</x:v>
      </x:c>
      <x:c r="D4" s="50" t="str">
        <x:v>Documented role</x:v>
      </x:c>
      <x:c r="E4" s="50" t="str">
        <x:v>E1 relationships</x:v>
      </x:c>
      <x:c r="F4" s="50" t="str">
        <x:v>Other relationships</x:v>
      </x:c>
      <x:c r="G4" s="50" t="str">
        <x:v>Authority boundary</x:v>
      </x:c>
    </x:row>
    <x:row r="5">
      <x:c r="A5" s="51" t="str">
        <x:v>Bank of New York Mellon</x:v>
      </x:c>
      <x:c r="B5" s="51" t="str">
        <x:v>Global custody and market-infrastructure bank</x:v>
      </x:c>
      <x:c r="C5" s="51" t="str">
        <x:v>United States / international</x:v>
      </x:c>
      <x:c r="D5" s="51" t="str">
        <x:v>Provides tri-party repo, collateral, custody and settlement infrastructure</x:v>
      </x:c>
      <x:c r="E5" s="51" t="n">
        <x:v>2</x:v>
      </x:c>
      <x:c r="F5" s="51" t="n">
        <x:v>0</x:v>
      </x:c>
      <x:c r="G5" s="51" t="str">
        <x:v>Money creation, collateral operations, insurance, supervision, clearing and resolution remain distinct powers.</x:v>
      </x:c>
    </x:row>
    <x:row r="6">
      <x:c r="A6" s="51" t="str">
        <x:v>Basel Committee on Banking Supervision</x:v>
      </x:c>
      <x:c r="B6" s="51" t="str">
        <x:v>International banking standard setter</x:v>
      </x:c>
      <x:c r="C6" s="51" t="str">
        <x:v>International</x:v>
      </x:c>
      <x:c r="D6" s="51" t="str">
        <x:v>Develops prudential capital, liquidity and funding standards</x:v>
      </x:c>
      <x:c r="E6" s="51" t="n">
        <x:v>1</x:v>
      </x:c>
      <x:c r="F6" s="51" t="n">
        <x:v>0</x:v>
      </x:c>
      <x:c r="G6" s="51" t="str">
        <x:v>Money creation, collateral operations, insurance, supervision, clearing and resolution remain distinct powers.</x:v>
      </x:c>
    </x:row>
    <x:row r="7">
      <x:c r="A7" s="51" t="str">
        <x:v>Deposit Insurance Fund</x:v>
      </x:c>
      <x:c r="B7" s="51" t="str">
        <x:v>Public-purpose insurance fund</x:v>
      </x:c>
      <x:c r="C7" s="51" t="str">
        <x:v>United States</x:v>
      </x:c>
      <x:c r="D7" s="51" t="str">
        <x:v>Receives assessments and pays insured-deposit and resolution costs</x:v>
      </x:c>
      <x:c r="E7" s="51" t="n">
        <x:v>5</x:v>
      </x:c>
      <x:c r="F7" s="51" t="n">
        <x:v>1</x:v>
      </x:c>
      <x:c r="G7" s="51" t="str">
        <x:v>Money creation, collateral operations, insurance, supervision, clearing and resolution remain distinct powers.</x:v>
      </x:c>
    </x:row>
    <x:row r="8">
      <x:c r="A8" s="51" t="str">
        <x:v>Depository Trust &amp; Clearing Corporation</x:v>
      </x:c>
      <x:c r="B8" s="51" t="str">
        <x:v>Financial market infrastructure holding company</x:v>
      </x:c>
      <x:c r="C8" s="51" t="str">
        <x:v>United States</x:v>
      </x:c>
      <x:c r="D8" s="51" t="str">
        <x:v>Owns major US clearing, settlement and depository subsidiaries</x:v>
      </x:c>
      <x:c r="E8" s="51" t="n">
        <x:v>2</x:v>
      </x:c>
      <x:c r="F8" s="51" t="n">
        <x:v>0</x:v>
      </x:c>
      <x:c r="G8" s="51" t="str">
        <x:v>Money creation, collateral operations, insurance, supervision, clearing and resolution remain distinct powers.</x:v>
      </x:c>
    </x:row>
    <x:row r="9">
      <x:c r="A9" s="51" t="str">
        <x:v>Federal Deposit Insurance Corporation</x:v>
      </x:c>
      <x:c r="B9" s="51" t="str">
        <x:v>Deposit insurer and resolution authority</x:v>
      </x:c>
      <x:c r="C9" s="51" t="str">
        <x:v>United States</x:v>
      </x:c>
      <x:c r="D9" s="51" t="str">
        <x:v>Insures deposits and resolves failed insured institutions</x:v>
      </x:c>
      <x:c r="E9" s="51" t="n">
        <x:v>6</x:v>
      </x:c>
      <x:c r="F9" s="51" t="n">
        <x:v>1</x:v>
      </x:c>
      <x:c r="G9" s="51" t="str">
        <x:v>Money creation, collateral operations, insurance, supervision, clearing and resolution remain distinct powers.</x:v>
      </x:c>
    </x:row>
    <x:row r="10">
      <x:c r="A10" s="51" t="str">
        <x:v>Federal Home Loan Banks</x:v>
      </x:c>
      <x:c r="B10" s="51" t="str">
        <x:v>Housing government-sponsored bank system</x:v>
      </x:c>
      <x:c r="C10" s="51" t="str">
        <x:v>United States</x:v>
      </x:c>
      <x:c r="D10" s="51" t="str">
        <x:v>Provide collateralised advances and housing programmes to members</x:v>
      </x:c>
      <x:c r="E10" s="51" t="n">
        <x:v>5</x:v>
      </x:c>
      <x:c r="F10" s="51" t="n">
        <x:v>0</x:v>
      </x:c>
      <x:c r="G10" s="51" t="str">
        <x:v>Money creation, collateral operations, insurance, supervision, clearing and resolution remain distinct powers.</x:v>
      </x:c>
    </x:row>
    <x:row r="11">
      <x:c r="A11" s="51" t="str">
        <x:v>Federal Reserve Banks</x:v>
      </x:c>
      <x:c r="B11" s="51" t="str">
        <x:v>Central bank operating institutions</x:v>
      </x:c>
      <x:c r="C11" s="51" t="str">
        <x:v>United States</x:v>
      </x:c>
      <x:c r="D11" s="51" t="str">
        <x:v>Extend collateralised credit and conduct repo operations</x:v>
      </x:c>
      <x:c r="E11" s="51" t="n">
        <x:v>4</x:v>
      </x:c>
      <x:c r="F11" s="51" t="n">
        <x:v>0</x:v>
      </x:c>
      <x:c r="G11" s="51" t="str">
        <x:v>Money creation, collateral operations, insurance, supervision, clearing and resolution remain distinct powers.</x:v>
      </x:c>
    </x:row>
    <x:row r="12">
      <x:c r="A12" s="51" t="str">
        <x:v>Federal Reserve System</x:v>
      </x:c>
      <x:c r="B12" s="51" t="str">
        <x:v>Central bank system</x:v>
      </x:c>
      <x:c r="C12" s="51" t="str">
        <x:v>United States</x:v>
      </x:c>
      <x:c r="D12" s="51" t="str">
        <x:v>Provides monetary policy, payments and lender-of-last-resort facilities</x:v>
      </x:c>
      <x:c r="E12" s="51" t="n">
        <x:v>4</x:v>
      </x:c>
      <x:c r="F12" s="51" t="n">
        <x:v>0</x:v>
      </x:c>
      <x:c r="G12" s="51" t="str">
        <x:v>Money creation, collateral operations, insurance, supervision, clearing and resolution remain distinct powers.</x:v>
      </x:c>
    </x:row>
    <x:row r="13">
      <x:c r="A13" s="51" t="str">
        <x:v>Financial Stability Board</x:v>
      </x:c>
      <x:c r="B13" s="51" t="str">
        <x:v>International financial-stability body</x:v>
      </x:c>
      <x:c r="C13" s="51" t="str">
        <x:v>International</x:v>
      </x:c>
      <x:c r="D13" s="51" t="str">
        <x:v>Coordinates financial-stability standards including CCP resolution</x:v>
      </x:c>
      <x:c r="E13" s="51" t="n">
        <x:v>2</x:v>
      </x:c>
      <x:c r="F13" s="51" t="n">
        <x:v>0</x:v>
      </x:c>
      <x:c r="G13" s="51" t="str">
        <x:v>Money creation, collateral operations, insurance, supervision, clearing and resolution remain distinct powers.</x:v>
      </x:c>
    </x:row>
    <x:row r="14">
      <x:c r="A14" s="51" t="str">
        <x:v>Fixed Income Clearing Corporation</x:v>
      </x:c>
      <x:c r="B14" s="51" t="str">
        <x:v>Central counterparty</x:v>
      </x:c>
      <x:c r="C14" s="51" t="str">
        <x:v>United States</x:v>
      </x:c>
      <x:c r="D14" s="51" t="str">
        <x:v>Clears U.S. government securities and mortgage-backed securities transactions</x:v>
      </x:c>
      <x:c r="E14" s="51" t="n">
        <x:v>4</x:v>
      </x:c>
      <x:c r="F14" s="51" t="n">
        <x:v>0</x:v>
      </x:c>
      <x:c r="G14" s="51" t="str">
        <x:v>Money creation, collateral operations, insurance, supervision, clearing and resolution remain distinct powers.</x:v>
      </x:c>
    </x:row>
    <x:row r="15">
      <x:c r="A15" s="51" t="str">
        <x:v>Office of Financial Research</x:v>
      </x:c>
      <x:c r="B15" s="51" t="str">
        <x:v>Public financial-data and research office</x:v>
      </x:c>
      <x:c r="C15" s="51" t="str">
        <x:v>United States</x:v>
      </x:c>
      <x:c r="D15" s="51" t="str">
        <x:v>Collects and analyses repo, fund and systemic-risk data</x:v>
      </x:c>
      <x:c r="E15" s="51" t="n">
        <x:v>1</x:v>
      </x:c>
      <x:c r="F15" s="51" t="n">
        <x:v>0</x:v>
      </x:c>
      <x:c r="G15" s="51" t="str">
        <x:v>Money creation, collateral operations, insurance, supervision, clearing and resolution remain distinct powers.</x:v>
      </x:c>
    </x:row>
    <x:row r="16">
      <x:c r="A16" s="51" t="str">
        <x:v>Securities and Exchange Commission</x:v>
      </x:c>
      <x:c r="B16" s="51" t="str">
        <x:v>Securities-market regulator</x:v>
      </x:c>
      <x:c r="C16" s="51" t="str">
        <x:v>United States</x:v>
      </x:c>
      <x:c r="D16" s="51" t="str">
        <x:v>Regulates money market funds, broker-dealers and Treasury clearing agencies</x:v>
      </x:c>
      <x:c r="E16" s="51" t="n">
        <x:v>2</x:v>
      </x:c>
      <x:c r="F16" s="51" t="n">
        <x:v>0</x:v>
      </x:c>
      <x:c r="G16" s="51" t="str">
        <x:v>Money creation, collateral operations, insurance, supervision, clearing and resolution remain distinct powers.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f376ca418a546c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1" hidden="0" customWidth="1"/>
    <x:col min="3" max="3" width="50" hidden="0" customWidth="1"/>
    <x:col min="4" max="4" width="53" hidden="0" customWidth="1"/>
    <x:col min="5" max="5" width="64" hidden="0" customWidth="1"/>
    <x:col min="6" max="6" width="54" hidden="0" customWidth="1"/>
    <x:col min="7" max="7" width="61" hidden="0" customWidth="1"/>
    <x:col min="8" max="8" width="28" hidden="0" customWidth="1"/>
  </x:cols>
  <x:sheetData>
    <x:row r="1" ht="31" customHeight="1">
      <x:c r="A1" s="5" t="str">
        <x:v>Banking Balance-Sheet and Money Hierarchy</x:v>
      </x:c>
    </x:row>
    <x:row r="2">
      <x:c r="A2" s="12" t="str">
        <x:v>The stack identifies whose liability each money-like or collateralised instrument actually is.</x:v>
      </x:c>
    </x:row>
    <x:row r="4">
      <x:c r="A4" s="50" t="str">
        <x:v>Layer</x:v>
      </x:c>
      <x:c r="B4" s="50" t="str">
        <x:v>Accounting object</x:v>
      </x:c>
      <x:c r="C4" s="50" t="str">
        <x:v>Economic function</x:v>
      </x:c>
      <x:c r="D4" s="50" t="str">
        <x:v>Immediate risk bearer</x:v>
      </x:c>
      <x:c r="E4" s="50" t="str">
        <x:v>Conversion gate</x:v>
      </x:c>
      <x:c r="F4" s="50" t="str">
        <x:v>Next state</x:v>
      </x:c>
      <x:c r="G4" s="50" t="str">
        <x:v>Failure mode</x:v>
      </x:c>
      <x:c r="H4" s="50" t="str">
        <x:v>V17 rows</x:v>
      </x:c>
    </x:row>
    <x:row r="5">
      <x:c r="A5" s="51" t="str">
        <x:v>Bank loan or security</x:v>
      </x:c>
      <x:c r="B5" s="51" t="str">
        <x:v>Bank asset</x:v>
      </x:c>
      <x:c r="C5" s="51" t="str">
        <x:v>Credit or investment return</x:v>
      </x:c>
      <x:c r="D5" s="51" t="str">
        <x:v>Bank equity and reserves</x:v>
      </x:c>
      <x:c r="E5" s="51" t="str">
        <x:v>Credit decision or asset purchase</x:v>
      </x:c>
      <x:c r="F5" s="51" t="str">
        <x:v>Payment, interest, default or sale</x:v>
      </x:c>
      <x:c r="G5" s="51" t="str">
        <x:v>Asset treated as money itself</x:v>
      </x:c>
      <x:c r="H5" s="51" t="str">
        <x:v>V17BANK; V17RISK</x:v>
      </x:c>
    </x:row>
    <x:row r="6">
      <x:c r="A6" s="51" t="str">
        <x:v>Bank deposit</x:v>
      </x:c>
      <x:c r="B6" s="51" t="str">
        <x:v>Bank liability and depositor asset</x:v>
      </x:c>
      <x:c r="C6" s="51" t="str">
        <x:v>Money and bank funding</x:v>
      </x:c>
      <x:c r="D6" s="51" t="str">
        <x:v>Issuing bank; insurer for eligible failure claim</x:v>
      </x:c>
      <x:c r="E6" s="51" t="str">
        <x:v>Account creation and payment instruction</x:v>
      </x:c>
      <x:c r="F6" s="51" t="str">
        <x:v>Withdrawal, transfer or receivership claim</x:v>
      </x:c>
      <x:c r="G6" s="51" t="str">
        <x:v>Deposit treated as segregated reserve cash</x:v>
      </x:c>
      <x:c r="H6" s="51" t="str">
        <x:v>V17BANK; V17FDIC</x:v>
      </x:c>
    </x:row>
    <x:row r="7">
      <x:c r="A7" s="51" t="str">
        <x:v>Central-bank reserve</x:v>
      </x:c>
      <x:c r="B7" s="51" t="str">
        <x:v>Federal Reserve liability and bank asset</x:v>
      </x:c>
      <x:c r="C7" s="51" t="str">
        <x:v>Interbank settlement</x:v>
      </x:c>
      <x:c r="D7" s="51" t="str">
        <x:v>Central bank</x:v>
      </x:c>
      <x:c r="E7" s="51" t="str">
        <x:v>Eligible account and central-bank operation</x:v>
      </x:c>
      <x:c r="F7" s="51" t="str">
        <x:v>Settlement or conversion to currency</x:v>
      </x:c>
      <x:c r="G7" s="51" t="str">
        <x:v>Public access assumed for all users</x:v>
      </x:c>
      <x:c r="H7" s="51" t="str">
        <x:v>V17BANK; V17FED</x:v>
      </x:c>
    </x:row>
    <x:row r="8">
      <x:c r="A8" s="51" t="str">
        <x:v>HQLA</x:v>
      </x:c>
      <x:c r="B8" s="51" t="str">
        <x:v>Liquid bank asset</x:v>
      </x:c>
      <x:c r="C8" s="51" t="str">
        <x:v>Stress liquidity buffer</x:v>
      </x:c>
      <x:c r="D8" s="51" t="str">
        <x:v>Bank</x:v>
      </x:c>
      <x:c r="E8" s="51" t="str">
        <x:v>Regulatory eligibility and unencumbered status</x:v>
      </x:c>
      <x:c r="F8" s="51" t="str">
        <x:v>Sale, repo or central-bank pledge</x:v>
      </x:c>
      <x:c r="G8" s="51" t="str">
        <x:v>HQLA treated as price-risk free</x:v>
      </x:c>
      <x:c r="H8" s="51" t="str">
        <x:v>V17BAS; V17RISK</x:v>
      </x:c>
    </x:row>
    <x:row r="9">
      <x:c r="A9" s="51" t="str">
        <x:v>Discount-window loan</x:v>
      </x:c>
      <x:c r="B9" s="51" t="str">
        <x:v>Bank liability to Reserve Bank</x:v>
      </x:c>
      <x:c r="C9" s="51" t="str">
        <x:v>Backup liquidity</x:v>
      </x:c>
      <x:c r="D9" s="51" t="str">
        <x:v>Borrowing bank, protected by collateral</x:v>
      </x:c>
      <x:c r="E9" s="51" t="str">
        <x:v>Eligibility, collateral and lending value</x:v>
      </x:c>
      <x:c r="F9" s="51" t="str">
        <x:v>Repayment or enforcement</x:v>
      </x:c>
      <x:c r="G9" s="51" t="str">
        <x:v>Liquidity treated as recapitalisation</x:v>
      </x:c>
      <x:c r="H9" s="51" t="str">
        <x:v>V17FED</x:v>
      </x:c>
    </x:row>
    <x:row r="10">
      <x:c r="A10" s="51" t="str">
        <x:v>FHLBank advance</x:v>
      </x:c>
      <x:c r="B10" s="51" t="str">
        <x:v>Secured bank liability</x:v>
      </x:c>
      <x:c r="C10" s="51" t="str">
        <x:v>Wholesale term funding</x:v>
      </x:c>
      <x:c r="D10" s="51" t="str">
        <x:v>Borrowing member, with pledged collateral</x:v>
      </x:c>
      <x:c r="E10" s="51" t="str">
        <x:v>Membership and collateral</x:v>
      </x:c>
      <x:c r="F10" s="51" t="str">
        <x:v>Repayment or collateral enforcement</x:v>
      </x:c>
      <x:c r="G10" s="51" t="str">
        <x:v>Secured funding treated as unencumbered cash</x:v>
      </x:c>
      <x:c r="H10" s="51" t="str">
        <x:v>V17FHLB</x:v>
      </x:c>
    </x:row>
    <x:row r="11">
      <x:c r="A11" s="51" t="str">
        <x:v>Repo</x:v>
      </x:c>
      <x:c r="B11" s="51" t="str">
        <x:v>Secured financing transaction</x:v>
      </x:c>
      <x:c r="C11" s="51" t="str">
        <x:v>Inventory financing or cash investment</x:v>
      </x:c>
      <x:c r="D11" s="51" t="str">
        <x:v>Borrower and lender under collateral terms</x:v>
      </x:c>
      <x:c r="E11" s="51" t="str">
        <x:v>Security transfer, haircut and repurchase agreement</x:v>
      </x:c>
      <x:c r="F11" s="51" t="str">
        <x:v>Repurchase, rollover or default</x:v>
      </x:c>
      <x:c r="G11" s="51" t="str">
        <x:v>Legal sale treated as permanent economic sale</x:v>
      </x:c>
      <x:c r="H11" s="51" t="str">
        <x:v>V17REPO</x:v>
      </x:c>
    </x:row>
    <x:row r="12">
      <x:c r="A12" s="51" t="str">
        <x:v>Money-fund share</x:v>
      </x:c>
      <x:c r="B12" s="51" t="str">
        <x:v>Investment-company security</x:v>
      </x:c>
      <x:c r="C12" s="51" t="str">
        <x:v>Cash management</x:v>
      </x:c>
      <x:c r="D12" s="51" t="str">
        <x:v>Fund investor through portfolio NAV</x:v>
      </x:c>
      <x:c r="E12" s="51" t="str">
        <x:v>Subscription and Rule 2a-7 portfolio</x:v>
      </x:c>
      <x:c r="F12" s="51" t="str">
        <x:v>Redemption, fee or market loss</x:v>
      </x:c>
      <x:c r="G12" s="51" t="str">
        <x:v>Share treated as insured deposit</x:v>
      </x:c>
      <x:c r="H12" s="51" t="str">
        <x:v>V17MMF</x:v>
      </x:c>
    </x:row>
    <x:row r="13">
      <x:c r="A13" s="51" t="str">
        <x:v>TLAC debt</x:v>
      </x:c>
      <x:c r="B13" s="51" t="str">
        <x:v>Eligible systemic-bank liability</x:v>
      </x:c>
      <x:c r="C13" s="51" t="str">
        <x:v>Funding plus resolution loss absorption</x:v>
      </x:c>
      <x:c r="D13" s="51" t="str">
        <x:v>TLAC investor</x:v>
      </x:c>
      <x:c r="E13" s="51" t="str">
        <x:v>Resolution authority and eligibility</x:v>
      </x:c>
      <x:c r="F13" s="51" t="str">
        <x:v>Write-down or equity conversion</x:v>
      </x:c>
      <x:c r="G13" s="51" t="str">
        <x:v>Debt treated as deposit insurance</x:v>
      </x:c>
      <x:c r="H13" s="51" t="str">
        <x:v>V17RES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f7ca04fcbf464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51" hidden="0" customWidth="1"/>
    <x:col min="4" max="4" width="58" hidden="0" customWidth="1"/>
    <x:col min="5" max="5" width="57" hidden="0" customWidth="1"/>
    <x:col min="6" max="6" width="59" hidden="0" customWidth="1"/>
    <x:col min="7" max="7" width="57" hidden="0" customWidth="1"/>
    <x:col min="8" max="8" width="65" hidden="0" customWidth="1"/>
  </x:cols>
  <x:sheetData>
    <x:row r="1" ht="31" customHeight="1">
      <x:c r="A1" s="5" t="str">
        <x:v>Liquidity, Insurance and Resolution Backstop Matrix</x:v>
      </x:c>
    </x:row>
    <x:row r="2">
      <x:c r="A2" s="12" t="str">
        <x:v>Every backstop has a different eligible user, collateral or claim, loss bearer and solvency effect.</x:v>
      </x:c>
    </x:row>
    <x:row r="4">
      <x:c r="A4" s="50" t="str">
        <x:v>Facility or protection</x:v>
      </x:c>
      <x:c r="B4" s="50" t="str">
        <x:v>Eligible user</x:v>
      </x:c>
      <x:c r="C4" s="50" t="str">
        <x:v>Asset or claim delivered</x:v>
      </x:c>
      <x:c r="D4" s="50" t="str">
        <x:v>Resource supplied</x:v>
      </x:c>
      <x:c r="E4" s="50" t="str">
        <x:v>Provider bears</x:v>
      </x:c>
      <x:c r="F4" s="50" t="str">
        <x:v>Recipient still bears</x:v>
      </x:c>
      <x:c r="G4" s="50" t="str">
        <x:v>Solvency effect</x:v>
      </x:c>
      <x:c r="H4" s="50" t="str">
        <x:v>Key boundary</x:v>
      </x:c>
    </x:row>
    <x:row r="5">
      <x:c r="A5" s="51" t="str">
        <x:v>FDIC deposit insurance</x:v>
      </x:c>
      <x:c r="B5" s="51" t="str">
        <x:v>Eligible depositor</x:v>
      </x:c>
      <x:c r="C5" s="51" t="str">
        <x:v>Insured deposit claim</x:v>
      </x:c>
      <x:c r="D5" s="51" t="str">
        <x:v>Full protected balance up to statutory limit</x:v>
      </x:c>
      <x:c r="E5" s="51" t="str">
        <x:v>Insurance and resolution loss</x:v>
      </x:c>
      <x:c r="F5" s="51" t="str">
        <x:v>Uninsured balances and nondeposit investments</x:v>
      </x:c>
      <x:c r="G5" s="51" t="str">
        <x:v>Protects depositor, not bank equity</x:v>
      </x:c>
      <x:c r="H5" s="51" t="str">
        <x:v>Coverage ≠ all bank liabilities</x:v>
      </x:c>
    </x:row>
    <x:row r="6">
      <x:c r="A6" s="51" t="str">
        <x:v>Discount Window</x:v>
      </x:c>
      <x:c r="B6" s="51" t="str">
        <x:v>Eligible depository institution</x:v>
      </x:c>
      <x:c r="C6" s="51" t="str">
        <x:v>Pledged bank assets</x:v>
      </x:c>
      <x:c r="D6" s="51" t="str">
        <x:v>Reserve loan at lending value</x:v>
      </x:c>
      <x:c r="E6" s="51" t="str">
        <x:v>Collateralised central-bank credit risk</x:v>
      </x:c>
      <x:c r="F6" s="51" t="str">
        <x:v>Asset loss and repayment obligation</x:v>
      </x:c>
      <x:c r="G6" s="51" t="str">
        <x:v>Liquidity only unless combined with recapitalisation</x:v>
      </x:c>
      <x:c r="H6" s="51" t="str">
        <x:v>Loan ≠ capital</x:v>
      </x:c>
    </x:row>
    <x:row r="7">
      <x:c r="A7" s="51" t="str">
        <x:v>Standing Repo Facility</x:v>
      </x:c>
      <x:c r="B7" s="51" t="str">
        <x:v>Primary dealers and eligible counterparties</x:v>
      </x:c>
      <x:c r="C7" s="51" t="str">
        <x:v>Treasury or agency securities</x:v>
      </x:c>
      <x:c r="D7" s="51" t="str">
        <x:v>Overnight reserve liquidity</x:v>
      </x:c>
      <x:c r="E7" s="51" t="str">
        <x:v>Secured repo exposure</x:v>
      </x:c>
      <x:c r="F7" s="51" t="str">
        <x:v>Market and rollover risk</x:v>
      </x:c>
      <x:c r="G7" s="51" t="str">
        <x:v>Rate and liquidity backstop</x:v>
      </x:c>
      <x:c r="H7" s="51" t="str">
        <x:v>Access ≠ guaranteed funding</x:v>
      </x:c>
    </x:row>
    <x:row r="8">
      <x:c r="A8" s="51" t="str">
        <x:v>FHLBank advance</x:v>
      </x:c>
      <x:c r="B8" s="51" t="str">
        <x:v>FHLBank member institution</x:v>
      </x:c>
      <x:c r="C8" s="51" t="str">
        <x:v>Eligible pledged collateral</x:v>
      </x:c>
      <x:c r="D8" s="51" t="str">
        <x:v>Secured wholesale funding</x:v>
      </x:c>
      <x:c r="E8" s="51" t="str">
        <x:v>Collateralised member credit risk</x:v>
      </x:c>
      <x:c r="F8" s="51" t="str">
        <x:v>Repayment, interest and encumbrance</x:v>
      </x:c>
      <x:c r="G8" s="51" t="str">
        <x:v>Liquidity and maturity support</x:v>
      </x:c>
      <x:c r="H8" s="51" t="str">
        <x:v>Advance ≠ equity</x:v>
      </x:c>
    </x:row>
    <x:row r="9">
      <x:c r="A9" s="51" t="str">
        <x:v>Repo market</x:v>
      </x:c>
      <x:c r="B9" s="51" t="str">
        <x:v>Market borrower with acceptable collateral</x:v>
      </x:c>
      <x:c r="C9" s="51" t="str">
        <x:v>Securities plus repurchase promise</x:v>
      </x:c>
      <x:c r="D9" s="51" t="str">
        <x:v>Private short-term cash</x:v>
      </x:c>
      <x:c r="E9" s="51" t="str">
        <x:v>Haircut-adjusted counterparty and collateral risk</x:v>
      </x:c>
      <x:c r="F9" s="51" t="str">
        <x:v>Rollover and margin risk</x:v>
      </x:c>
      <x:c r="G9" s="51" t="str">
        <x:v>Funding, not loss absorption</x:v>
      </x:c>
      <x:c r="H9" s="51" t="str">
        <x:v>Collateral ≠ no risk</x:v>
      </x:c>
    </x:row>
    <x:row r="10">
      <x:c r="A10" s="51" t="str">
        <x:v>ON RRP</x:v>
      </x:c>
      <x:c r="B10" s="51" t="str">
        <x:v>Eligible money funds and counterparties</x:v>
      </x:c>
      <x:c r="C10" s="51" t="str">
        <x:v>Cash</x:v>
      </x:c>
      <x:c r="D10" s="51" t="str">
        <x:v>Overnight Federal Reserve claim</x:v>
      </x:c>
      <x:c r="E10" s="51" t="str">
        <x:v>Central-bank liability</x:v>
      </x:c>
      <x:c r="F10" s="51" t="str">
        <x:v>Fund-share and portfolio risk outside facility</x:v>
      </x:c>
      <x:c r="G10" s="51" t="str">
        <x:v>Cash-investment option</x:v>
      </x:c>
      <x:c r="H10" s="51" t="str">
        <x:v>Facility ≠ FDIC account</x:v>
      </x:c>
    </x:row>
    <x:row r="11">
      <x:c r="A11" s="51" t="str">
        <x:v>FICC central clearing</x:v>
      </x:c>
      <x:c r="B11" s="51" t="str">
        <x:v>Members and sponsored participants</x:v>
      </x:c>
      <x:c r="C11" s="51" t="str">
        <x:v>Treasury trade and collateral</x:v>
      </x:c>
      <x:c r="D11" s="51" t="str">
        <x:v>Novation, netting and settlement</x:v>
      </x:c>
      <x:c r="E11" s="51" t="str">
        <x:v>CCP exposure backed by margin and fund</x:v>
      </x:c>
      <x:c r="F11" s="51" t="str">
        <x:v>Margin, default-fund and sponsor obligations</x:v>
      </x:c>
      <x:c r="G11" s="51" t="str">
        <x:v>Counterparty-risk transformation</x:v>
      </x:c>
      <x:c r="H11" s="51" t="str">
        <x:v>CCP ≠ government guarantee</x:v>
      </x:c>
    </x:row>
    <x:row r="12">
      <x:c r="A12" s="51" t="str">
        <x:v>TLAC bail-in</x:v>
      </x:c>
      <x:c r="B12" s="51" t="str">
        <x:v>Resolution authority acting on G-SIB</x:v>
      </x:c>
      <x:c r="C12" s="51" t="str">
        <x:v>Eligible debt claim</x:v>
      </x:c>
      <x:c r="D12" s="51" t="str">
        <x:v>Loss absorption and recapitalisation</x:v>
      </x:c>
      <x:c r="E12" s="51" t="str">
        <x:v>TLAC creditor loss</x:v>
      </x:c>
      <x:c r="F12" s="51" t="str">
        <x:v>Remaining operational and funding stress</x:v>
      </x:c>
      <x:c r="G12" s="51" t="str">
        <x:v>Can restore capital in resolution</x:v>
      </x:c>
      <x:c r="H12" s="51" t="str">
        <x:v>Bail-in ≠ insured-deposit haircut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6214de6066344d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44" hidden="0" customWidth="1"/>
    <x:col min="4" max="4" width="23" hidden="0" customWidth="1"/>
    <x:col min="5" max="5" width="74" hidden="0" customWidth="1"/>
    <x:col min="6" max="6" width="39" hidden="0" customWidth="1"/>
    <x:col min="7" max="7" width="21" hidden="0" customWidth="1"/>
    <x:col min="8" max="8" width="72" hidden="0" customWidth="1"/>
    <x:col min="9" max="9" width="14" hidden="0" customWidth="1"/>
    <x:col min="10" max="10" width="40" hidden="0" customWidth="1"/>
    <x:col min="11" max="11" width="38" hidden="0" customWidth="1"/>
  </x:cols>
  <x:sheetData>
    <x:row r="1" ht="31" customHeight="1">
      <x:c r="A1" s="5" t="str">
        <x:v>Banking, Repo, Money-Fund and Resolution Instruments — V17</x:v>
      </x:c>
    </x:row>
    <x:row r="2">
      <x:c r="A2" s="12" t="str">
        <x:v>Version 17, verified through 2026-07-27. Deposits, collateral, liquidity, solvency, insurance and final loss remain separate.</x:v>
      </x:c>
    </x:row>
    <x:row r="4">
      <x:c r="A4" s="50" t="str">
        <x:v>Instrument ID</x:v>
      </x:c>
      <x:c r="B4" s="50" t="str">
        <x:v>Instrument / transaction</x:v>
      </x:c>
      <x:c r="C4" s="50" t="str">
        <x:v>Type</x:v>
      </x:c>
      <x:c r="D4" s="50" t="str">
        <x:v>Date / period</x:v>
      </x:c>
      <x:c r="E4" s="50" t="str">
        <x:v>Parties</x:v>
      </x:c>
      <x:c r="F4" s="50" t="str">
        <x:v>Amount</x:v>
      </x:c>
      <x:c r="G4" s="50" t="str">
        <x:v>Currency</x:v>
      </x:c>
      <x:c r="H4" s="50" t="str">
        <x:v>Purpose / scope</x:v>
      </x:c>
      <x:c r="I4" s="50" t="str">
        <x:v>Evidence grade</x:v>
      </x:c>
      <x:c r="J4" s="50" t="str">
        <x:v>Source IDs</x:v>
      </x:c>
      <x:c r="K4" s="50" t="str">
        <x:v>Status</x:v>
      </x:c>
    </x:row>
    <x:row r="5">
      <x:c r="A5" s="51" t="str">
        <x:v>INS-001</x:v>
      </x:c>
      <x:c r="B5" s="51" t="str">
        <x:v>Standing US-dollar central-bank swap lines</x:v>
      </x:c>
      <x:c r="C5" s="51" t="str">
        <x:v>Liquidity facility</x:v>
      </x:c>
      <x:c r="D5" s="51" t="str">
        <x:v>Standing</x:v>
      </x:c>
      <x:c r="E5" s="51" t="str">
        <x:v>Federal Reserve; ECB; Bank of England; Bank of Japan; Bank of Canada; Swiss National Bank</x:v>
      </x:c>
      <x:c r="F5" s="51" t="str">
        <x:v>Variable</x:v>
      </x:c>
      <x:c r="G5" s="51" t="str">
        <x:v>USD</x:v>
      </x:c>
      <x:c r="H5" s="51" t="str">
        <x:v>Provide dollar funding during stress</x:v>
      </x:c>
      <x:c r="I5" s="51" t="str">
        <x:v>E1</x:v>
      </x:c>
      <x:c r="J5" s="51" t="str">
        <x:v>SRC-001; SRC-002</x:v>
      </x:c>
      <x:c r="K5" s="51" t="str">
        <x:v>Active</x:v>
      </x:c>
    </x:row>
    <x:row r="6">
      <x:c r="A6" s="51" t="str">
        <x:v>INS-002</x:v>
      </x:c>
      <x:c r="B6" s="51" t="str">
        <x:v>FX swaps, forwards and currency swaps creating dollar obligations</x:v>
      </x:c>
      <x:c r="C6" s="51" t="str">
        <x:v>Derivative funding structure</x:v>
      </x:c>
      <x:c r="D6" s="51" t="str">
        <x:v>Ongoing</x:v>
      </x:c>
      <x:c r="E6" s="51" t="str">
        <x:v>Global banks, funds and corporations</x:v>
      </x:c>
      <x:c r="F6" s="51" t="str">
        <x:v>Tens of trillions aggregate</x:v>
      </x:c>
      <x:c r="G6" s="51" t="str">
        <x:v>USD</x:v>
      </x:c>
      <x:c r="H6" s="51" t="str">
        <x:v>Short-term dollar funding and hedging</x:v>
      </x:c>
      <x:c r="I6" s="51" t="str">
        <x:v>E1</x:v>
      </x:c>
      <x:c r="J6" s="51" t="str">
        <x:v>SRC-003</x:v>
      </x:c>
      <x:c r="K6" s="51" t="str">
        <x:v>Ongoing</x:v>
      </x:c>
    </x:row>
    <x:row r="7">
      <x:c r="A7" s="51" t="str">
        <x:v>INS-003</x:v>
      </x:c>
      <x:c r="B7" s="51" t="str">
        <x:v>Resource-backed sovereign loans sample</x:v>
      </x:c>
      <x:c r="C7" s="51" t="str">
        <x:v>Loan / collateral structure</x:v>
      </x:c>
      <x:c r="D7" s="51" t="str">
        <x:v>2004–2018</x:v>
      </x:c>
      <x:c r="E7" s="51" t="str">
        <x:v>Borrowing states/SOEs and creditors</x:v>
      </x:c>
      <x:c r="F7" s="51" t="str">
        <x:v>30 identified loans</x:v>
      </x:c>
      <x:c r="G7" s="51" t="str">
        <x:v>Various</x:v>
      </x:c>
      <x:c r="H7" s="51" t="str">
        <x:v>Finance secured or repaid through resources/receivables</x:v>
      </x:c>
      <x:c r="I7" s="51" t="str">
        <x:v>E1</x:v>
      </x:c>
      <x:c r="J7" s="51" t="str">
        <x:v>SRC-008</x:v>
      </x:c>
      <x:c r="K7" s="51" t="str">
        <x:v>Historical sample</x:v>
      </x:c>
    </x:row>
    <x:row r="8">
      <x:c r="A8" s="51" t="str">
        <x:v>INS-004</x:v>
      </x:c>
      <x:c r="B8" s="51" t="str">
        <x:v>Aladdin institutional service relationships</x:v>
      </x:c>
      <x:c r="C8" s="51" t="str">
        <x:v>Technology service</x:v>
      </x:c>
      <x:c r="D8" s="51" t="str">
        <x:v>Ongoing</x:v>
      </x:c>
      <x:c r="E8" s="51" t="str">
        <x:v>BlackRock and institutional clients</x:v>
      </x:c>
      <x:c r="F8" s="51" t="str">
        <x:v>Undisclosed consolidated value</x:v>
      </x:c>
      <x:c r="G8" s="51" t="str">
        <x:v>Various</x:v>
      </x:c>
      <x:c r="H8" s="51" t="str">
        <x:v>Portfolio, risk, trading and operations technology</x:v>
      </x:c>
      <x:c r="I8" s="51" t="str">
        <x:v>E1</x:v>
      </x:c>
      <x:c r="J8" s="51" t="str">
        <x:v>SRC-009</x:v>
      </x:c>
      <x:c r="K8" s="51" t="str">
        <x:v>Active</x:v>
      </x:c>
    </x:row>
    <x:row r="9">
      <x:c r="A9" s="51" t="str">
        <x:v>INS-005</x:v>
      </x:c>
      <x:c r="B9" s="51" t="str">
        <x:v>Aligned Data Centers acquisition</x:v>
      </x:c>
      <x:c r="C9" s="51" t="str">
        <x:v>Acquisition</x:v>
      </x:c>
      <x:c r="D9" s="51" t="str">
        <x:v>Completed 2026-07</x:v>
      </x:c>
      <x:c r="E9" s="51" t="str">
        <x:v>AIP; MGX; BlackRock GIP; sellers including Macquarie-managed funds</x:v>
      </x:c>
      <x:c r="F9" s="51" t="str">
        <x:v>40000000000</x:v>
      </x:c>
      <x:c r="G9" s="51" t="str">
        <x:v>USD</x:v>
      </x:c>
      <x:c r="H9" s="51" t="str">
        <x:v>Acquire 100% equity in data-centre operator</x:v>
      </x:c>
      <x:c r="I9" s="51" t="str">
        <x:v>E1</x:v>
      </x:c>
      <x:c r="J9" s="51" t="str">
        <x:v>SRC-015; SRC-016</x:v>
      </x:c>
      <x:c r="K9" s="51" t="str">
        <x:v>Completed</x:v>
      </x:c>
    </x:row>
    <x:row r="10">
      <x:c r="A10" s="51" t="str">
        <x:v>INS-006</x:v>
      </x:c>
      <x:c r="B10" s="51" t="str">
        <x:v>Aligned additional growth-capital commitment</x:v>
      </x:c>
      <x:c r="C10" s="51" t="str">
        <x:v>Capital commitment</x:v>
      </x:c>
      <x:c r="D10" s="51" t="str">
        <x:v>2026-07</x:v>
      </x:c>
      <x:c r="E10" s="51" t="str">
        <x:v>AIP consortium and Aligned</x:v>
      </x:c>
      <x:c r="F10" s="51" t="str">
        <x:v>5000000000</x:v>
      </x:c>
      <x:c r="G10" s="51" t="str">
        <x:v>USD</x:v>
      </x:c>
      <x:c r="H10" s="51" t="str">
        <x:v>Expand data-centre capacity</x:v>
      </x:c>
      <x:c r="I10" s="51" t="str">
        <x:v>E1</x:v>
      </x:c>
      <x:c r="J10" s="51" t="str">
        <x:v>SRC-015</x:v>
      </x:c>
      <x:c r="K10" s="51" t="str">
        <x:v>Committed</x:v>
      </x:c>
    </x:row>
    <x:row r="11">
      <x:c r="A11" s="51" t="str">
        <x:v>INS-007</x:v>
      </x:c>
      <x:c r="B11" s="51" t="str">
        <x:v>Palantir–Israeli Ministry of Defense strategic partnership</x:v>
      </x:c>
      <x:c r="C11" s="51" t="str">
        <x:v>Technology partnership</x:v>
      </x:c>
      <x:c r="D11" s="51" t="str">
        <x:v>2024–present</x:v>
      </x:c>
      <x:c r="E11" s="51" t="str">
        <x:v>Palantir; Israeli Ministry of Defense</x:v>
      </x:c>
      <x:c r="F11" s="51" t="str">
        <x:v>Undisclosed</x:v>
      </x:c>
      <x:c r="G11" s="51" t="str">
        <x:v>USD / undisclosed</x:v>
      </x:c>
      <x:c r="H11" s="51" t="str">
        <x:v>Supply technology assisting the ongoing war</x:v>
      </x:c>
      <x:c r="I11" s="51" t="str">
        <x:v>E1</x:v>
      </x:c>
      <x:c r="J11" s="51" t="str">
        <x:v>SRC-030</x:v>
      </x:c>
      <x:c r="K11" s="51" t="str">
        <x:v>Active; detailed scope undisclosed</x:v>
      </x:c>
    </x:row>
    <x:row r="12">
      <x:c r="A12" s="51" t="str">
        <x:v>INS-008</x:v>
      </x:c>
      <x:c r="B12" s="51" t="str">
        <x:v>Maven Smart System contract</x:v>
      </x:c>
      <x:c r="C12" s="51" t="str">
        <x:v>Defence contract</x:v>
      </x:c>
      <x:c r="D12" s="51" t="str">
        <x:v>2024</x:v>
      </x:c>
      <x:c r="E12" s="51" t="str">
        <x:v>US DoD/NGA; Palantir</x:v>
      </x:c>
      <x:c r="F12" s="51" t="str">
        <x:v>480000000 ceiling</x:v>
      </x:c>
      <x:c r="G12" s="51" t="str">
        <x:v>USD</x:v>
      </x:c>
      <x:c r="H12" s="51" t="str">
        <x:v>AI-supported military intelligence and workflows</x:v>
      </x:c>
      <x:c r="I12" s="51" t="str">
        <x:v>E1</x:v>
      </x:c>
      <x:c r="J12" s="51" t="str">
        <x:v>SRC-031</x:v>
      </x:c>
      <x:c r="K12" s="51" t="str">
        <x:v>Awarded</x:v>
      </x:c>
    </x:row>
    <x:row r="13">
      <x:c r="A13" s="51" t="str">
        <x:v>INS-009</x:v>
      </x:c>
      <x:c r="B13" s="51" t="str">
        <x:v>Maven contract-ceiling increase</x:v>
      </x:c>
      <x:c r="C13" s="51" t="str">
        <x:v>Defence contract modification</x:v>
      </x:c>
      <x:c r="D13" s="51" t="str">
        <x:v>2025-05</x:v>
      </x:c>
      <x:c r="E13" s="51" t="str">
        <x:v>US DoD/NGA; Palantir</x:v>
      </x:c>
      <x:c r="F13" s="51" t="str">
        <x:v>1300000000 ceiling</x:v>
      </x:c>
      <x:c r="G13" s="51" t="str">
        <x:v>USD</x:v>
      </x:c>
      <x:c r="H13" s="51" t="str">
        <x:v>Expand Maven access through 2029</x:v>
      </x:c>
      <x:c r="I13" s="51" t="str">
        <x:v>E1</x:v>
      </x:c>
      <x:c r="J13" s="51" t="str">
        <x:v>SRC-031</x:v>
      </x:c>
      <x:c r="K13" s="51" t="str">
        <x:v>Active</x:v>
      </x:c>
    </x:row>
    <x:row r="14">
      <x:c r="A14" s="51" t="str">
        <x:v>INS-010</x:v>
      </x:c>
      <x:c r="B14" s="51" t="str">
        <x:v>Maven planned program-of-record designation</x:v>
      </x:c>
      <x:c r="C14" s="51" t="str">
        <x:v>Programme governance</x:v>
      </x:c>
      <x:c r="D14" s="51" t="str">
        <x:v>2026</x:v>
      </x:c>
      <x:c r="E14" s="51" t="str">
        <x:v>US DoD; CDAO; US Army; NGA; Palantir ecosystem</x:v>
      </x:c>
      <x:c r="F14" s="51" t="str">
        <x:v>Not standalone</x:v>
      </x:c>
      <x:c r="G14" s="51" t="str">
        <x:v>USD</x:v>
      </x:c>
      <x:c r="H14" s="51" t="str">
        <x:v>Institutionalise Maven as long-term core programme</x:v>
      </x:c>
      <x:c r="I14" s="51" t="str">
        <x:v>E1</x:v>
      </x:c>
      <x:c r="J14" s="51" t="str">
        <x:v>SRC-031</x:v>
      </x:c>
      <x:c r="K14" s="51" t="str">
        <x:v>Implementation reported</x:v>
      </x:c>
    </x:row>
    <x:row r="15">
      <x:c r="A15" s="51" t="str">
        <x:v>INS-011</x:v>
      </x:c>
      <x:c r="B15" s="51" t="str">
        <x:v>Reported Claude use in Venezuela operation</x:v>
      </x:c>
      <x:c r="C15" s="51" t="str">
        <x:v>Reported AI deployment</x:v>
      </x:c>
      <x:c r="D15" s="51" t="str">
        <x:v>2026-01</x:v>
      </x:c>
      <x:c r="E15" s="51" t="str">
        <x:v>US military; Anthropic; Palantir-related infrastructure; Nicolás Maduro</x:v>
      </x:c>
      <x:c r="F15" s="51" t="str">
        <x:v>Undisclosed</x:v>
      </x:c>
      <x:c r="G15" s="51" t="str">
        <x:v>USD / undisclosed</x:v>
      </x:c>
      <x:c r="H15" s="51" t="str">
        <x:v>Reported model use in military operation</x:v>
      </x:c>
      <x:c r="I15" s="51" t="str">
        <x:v>A1</x:v>
      </x:c>
      <x:c r="J15" s="51" t="str">
        <x:v>SRC-032</x:v>
      </x:c>
      <x:c r="K15" s="51" t="str">
        <x:v>Not independently verified by Reuters</x:v>
      </x:c>
    </x:row>
    <x:row r="16">
      <x:c r="A16" s="51" t="str">
        <x:v>INS-012</x:v>
      </x:c>
      <x:c r="B16" s="51" t="str">
        <x:v>Israel FMS: munitions, guidance kits, fuzes and support</x:v>
      </x:c>
      <x:c r="C16" s="51" t="str">
        <x:v>Possible Foreign Military Sale</x:v>
      </x:c>
      <x:c r="D16" s="51" t="str">
        <x:v>2025-02-07</x:v>
      </x:c>
      <x:c r="E16" s="51" t="str">
        <x:v>United States; Government of Israel</x:v>
      </x:c>
      <x:c r="F16" s="51" t="str">
        <x:v>6750000000</x:v>
      </x:c>
      <x:c r="G16" s="51" t="str">
        <x:v>USD</x:v>
      </x:c>
      <x:c r="H16" s="51" t="str">
        <x:v>Military equipment and support</x:v>
      </x:c>
      <x:c r="I16" s="51" t="str">
        <x:v>E1</x:v>
      </x:c>
      <x:c r="J16" s="51" t="str">
        <x:v>SRC-034</x:v>
      </x:c>
      <x:c r="K16" s="51" t="str">
        <x:v>Notified / possible sale</x:v>
      </x:c>
    </x:row>
    <x:row r="17">
      <x:c r="A17" s="51" t="str">
        <x:v>INS-013</x:v>
      </x:c>
      <x:c r="B17" s="51" t="str">
        <x:v>Israel FMS: munitions and support</x:v>
      </x:c>
      <x:c r="C17" s="51" t="str">
        <x:v>Possible Foreign Military Sale</x:v>
      </x:c>
      <x:c r="D17" s="51" t="str">
        <x:v>2025-02-28</x:v>
      </x:c>
      <x:c r="E17" s="51" t="str">
        <x:v>United States; Government of Israel</x:v>
      </x:c>
      <x:c r="F17" s="51" t="str">
        <x:v>2040000000</x:v>
      </x:c>
      <x:c r="G17" s="51" t="str">
        <x:v>USD</x:v>
      </x:c>
      <x:c r="H17" s="51" t="str">
        <x:v>Military equipment and support</x:v>
      </x:c>
      <x:c r="I17" s="51" t="str">
        <x:v>E1</x:v>
      </x:c>
      <x:c r="J17" s="51" t="str">
        <x:v>SRC-035</x:v>
      </x:c>
      <x:c r="K17" s="51" t="str">
        <x:v>Notified / possible sale</x:v>
      </x:c>
    </x:row>
    <x:row r="18">
      <x:c r="A18" s="51" t="str">
        <x:v>INS-014</x:v>
      </x:c>
      <x:c r="B18" s="51" t="str">
        <x:v>Israel FMS: guidance kits and support</x:v>
      </x:c>
      <x:c r="C18" s="51" t="str">
        <x:v>Possible Foreign Military Sale</x:v>
      </x:c>
      <x:c r="D18" s="51" t="str">
        <x:v>2025-02-28</x:v>
      </x:c>
      <x:c r="E18" s="51" t="str">
        <x:v>United States; Government of Israel</x:v>
      </x:c>
      <x:c r="F18" s="51" t="str">
        <x:v>675700000</x:v>
      </x:c>
      <x:c r="G18" s="51" t="str">
        <x:v>USD</x:v>
      </x:c>
      <x:c r="H18" s="51" t="str">
        <x:v>Military equipment and support</x:v>
      </x:c>
      <x:c r="I18" s="51" t="str">
        <x:v>E1</x:v>
      </x:c>
      <x:c r="J18" s="51" t="str">
        <x:v>SRC-036</x:v>
      </x:c>
      <x:c r="K18" s="51" t="str">
        <x:v>Notified / possible sale</x:v>
      </x:c>
    </x:row>
    <x:row r="19">
      <x:c r="A19" s="51" t="str">
        <x:v>INS-015</x:v>
      </x:c>
      <x:c r="B19" s="51" t="str">
        <x:v>Israel FMS: Hellfire missiles</x:v>
      </x:c>
      <x:c r="C19" s="51" t="str">
        <x:v>Possible Foreign Military Sale</x:v>
      </x:c>
      <x:c r="D19" s="51" t="str">
        <x:v>2025-02-07</x:v>
      </x:c>
      <x:c r="E19" s="51" t="str">
        <x:v>United States; Government of Israel</x:v>
      </x:c>
      <x:c r="F19" s="51" t="str">
        <x:v>660000000</x:v>
      </x:c>
      <x:c r="G19" s="51" t="str">
        <x:v>USD</x:v>
      </x:c>
      <x:c r="H19" s="51" t="str">
        <x:v>Military equipment and support</x:v>
      </x:c>
      <x:c r="I19" s="51" t="str">
        <x:v>E1</x:v>
      </x:c>
      <x:c r="J19" s="51" t="str">
        <x:v>SRC-037</x:v>
      </x:c>
      <x:c r="K19" s="51" t="str">
        <x:v>Notified / possible sale</x:v>
      </x:c>
    </x:row>
    <x:row r="20">
      <x:c r="A20" s="51" t="str">
        <x:v>INS-016</x:v>
      </x:c>
      <x:c r="B20" s="51" t="str">
        <x:v>Israel FMS: guidance kits and support</x:v>
      </x:c>
      <x:c r="C20" s="51" t="str">
        <x:v>Possible Foreign Military Sale</x:v>
      </x:c>
      <x:c r="D20" s="51" t="str">
        <x:v>2025-06-30</x:v>
      </x:c>
      <x:c r="E20" s="51" t="str">
        <x:v>United States; Government of Israel</x:v>
      </x:c>
      <x:c r="F20" s="51" t="str">
        <x:v>510000000</x:v>
      </x:c>
      <x:c r="G20" s="51" t="str">
        <x:v>USD</x:v>
      </x:c>
      <x:c r="H20" s="51" t="str">
        <x:v>Military equipment and support</x:v>
      </x:c>
      <x:c r="I20" s="51" t="str">
        <x:v>E1</x:v>
      </x:c>
      <x:c r="J20" s="51" t="str">
        <x:v>SRC-038</x:v>
      </x:c>
      <x:c r="K20" s="51" t="str">
        <x:v>Notified / possible sale</x:v>
      </x:c>
    </x:row>
    <x:row r="21">
      <x:c r="A21" s="51" t="str">
        <x:v>INS-017</x:v>
      </x:c>
      <x:c r="B21" s="51" t="str">
        <x:v>Israel FMS: AH-64E Apache helicopters</x:v>
      </x:c>
      <x:c r="C21" s="51" t="str">
        <x:v>Possible Foreign Military Sale</x:v>
      </x:c>
      <x:c r="D21" s="51" t="str">
        <x:v>2026-01-30</x:v>
      </x:c>
      <x:c r="E21" s="51" t="str">
        <x:v>United States; Government of Israel</x:v>
      </x:c>
      <x:c r="F21" s="51" t="str">
        <x:v>3800000000</x:v>
      </x:c>
      <x:c r="G21" s="51" t="str">
        <x:v>USD</x:v>
      </x:c>
      <x:c r="H21" s="51" t="str">
        <x:v>Military equipment and support</x:v>
      </x:c>
      <x:c r="I21" s="51" t="str">
        <x:v>E1</x:v>
      </x:c>
      <x:c r="J21" s="51" t="str">
        <x:v>SRC-039</x:v>
      </x:c>
      <x:c r="K21" s="51" t="str">
        <x:v>Notified / possible sale</x:v>
      </x:c>
    </x:row>
    <x:row r="22">
      <x:c r="A22" s="51" t="str">
        <x:v>INS-018</x:v>
      </x:c>
      <x:c r="B22" s="51" t="str">
        <x:v>Israel FMS: Joint Light Tactical Vehicles</x:v>
      </x:c>
      <x:c r="C22" s="51" t="str">
        <x:v>Possible Foreign Military Sale</x:v>
      </x:c>
      <x:c r="D22" s="51" t="str">
        <x:v>2026-01-30</x:v>
      </x:c>
      <x:c r="E22" s="51" t="str">
        <x:v>United States; Government of Israel</x:v>
      </x:c>
      <x:c r="F22" s="51" t="str">
        <x:v>1980000000</x:v>
      </x:c>
      <x:c r="G22" s="51" t="str">
        <x:v>USD</x:v>
      </x:c>
      <x:c r="H22" s="51" t="str">
        <x:v>Military equipment and support</x:v>
      </x:c>
      <x:c r="I22" s="51" t="str">
        <x:v>E1</x:v>
      </x:c>
      <x:c r="J22" s="51" t="str">
        <x:v>SRC-040</x:v>
      </x:c>
      <x:c r="K22" s="51" t="str">
        <x:v>Notified / possible sale</x:v>
      </x:c>
    </x:row>
    <x:row r="23">
      <x:c r="A23" s="51" t="str">
        <x:v>INS-019</x:v>
      </x:c>
      <x:c r="B23" s="51" t="str">
        <x:v>Carbyne Series B</x:v>
      </x:c>
      <x:c r="C23" s="51" t="str">
        <x:v>Venture financing</x:v>
      </x:c>
      <x:c r="D23" s="51" t="str">
        <x:v>2018-08</x:v>
      </x:c>
      <x:c r="E23" s="51" t="str">
        <x:v>Carbyne; Elsted Capital; Founders Fund; other investors</x:v>
      </x:c>
      <x:c r="F23" s="51" t="str">
        <x:v>15000000</x:v>
      </x:c>
      <x:c r="G23" s="51" t="str">
        <x:v>USD</x:v>
      </x:c>
      <x:c r="H23" s="51" t="str">
        <x:v>Expansion and R&amp;D</x:v>
      </x:c>
      <x:c r="I23" s="51" t="str">
        <x:v>E1</x:v>
      </x:c>
      <x:c r="J23" s="51" t="str">
        <x:v>SRC-046; SRC-047</x:v>
      </x:c>
      <x:c r="K23" s="51" t="str">
        <x:v>Closed</x:v>
      </x:c>
    </x:row>
    <x:row r="24">
      <x:c r="A24" s="51" t="str">
        <x:v>INS-020</x:v>
      </x:c>
      <x:c r="B24" s="51" t="str">
        <x:v>Reported Epstein-financed Barak-linked Reporty/Carbyne investment</x:v>
      </x:c>
      <x:c r="C24" s="51" t="str">
        <x:v>Private investment</x:v>
      </x:c>
      <x:c r="D24" s="51" t="str">
        <x:v>2015 reported</x:v>
      </x:c>
      <x:c r="E24" s="51" t="str">
        <x:v>Jeffrey Epstein; Ehud Barak; Reporty/Carbyne</x:v>
      </x:c>
      <x:c r="F24" s="51" t="str">
        <x:v>1000000 reported</x:v>
      </x:c>
      <x:c r="G24" s="51" t="str">
        <x:v>USD</x:v>
      </x:c>
      <x:c r="H24" s="51" t="str">
        <x:v>Indirect investment in emergency/public-safety technology</x:v>
      </x:c>
      <x:c r="I24" s="51" t="str">
        <x:v>E2</x:v>
      </x:c>
      <x:c r="J24" s="51" t="str">
        <x:v>SRC-048</x:v>
      </x:c>
      <x:c r="K24" s="51" t="str">
        <x:v>Reported; seek primary documents</x:v>
      </x:c>
    </x:row>
    <x:row r="25">
      <x:c r="A25" s="51" t="str">
        <x:v>INS-021</x:v>
      </x:c>
      <x:c r="B25" s="51" t="str">
        <x:v>United Democracy Project spending supporting Haley Stevens</x:v>
      </x:c>
      <x:c r="C25" s="51" t="str">
        <x:v>Independent electoral expenditure</x:v>
      </x:c>
      <x:c r="D25" s="51" t="str">
        <x:v>2026 cycle</x:v>
      </x:c>
      <x:c r="E25" s="51" t="str">
        <x:v>UDP/AIPAC network; Haley Stevens race</x:v>
      </x:c>
      <x:c r="F25" s="51" t="str">
        <x:v>~30000000 reported</x:v>
      </x:c>
      <x:c r="G25" s="51" t="str">
        <x:v>USD</x:v>
      </x:c>
      <x:c r="H25" s="51" t="str">
        <x:v>Campaign advertising and support</x:v>
      </x:c>
      <x:c r="I25" s="51" t="str">
        <x:v>E1</x:v>
      </x:c>
      <x:c r="J25" s="51" t="str">
        <x:v>SRC-041; SRC-042</x:v>
      </x:c>
      <x:c r="K25" s="51" t="str">
        <x:v>Ongoing at source date</x:v>
      </x:c>
    </x:row>
    <x:row r="26">
      <x:c r="A26" s="51" t="str">
        <x:v>INS-022</x:v>
      </x:c>
      <x:c r="B26" s="51" t="str">
        <x:v>National Online Identity Authentication Measures</x:v>
      </x:c>
      <x:c r="C26" s="51" t="str">
        <x:v>Administrative regulation</x:v>
      </x:c>
      <x:c r="D26" s="51" t="str">
        <x:v>Effective 2025-07-15</x:v>
      </x:c>
      <x:c r="E26" s="51" t="str">
        <x:v>Chinese ministries/regulators; online services; users</x:v>
      </x:c>
      <x:c r="F26" s="51" t="str">
        <x:v>N/A</x:v>
      </x:c>
      <x:c r="G26" s="51" t="str">
        <x:v>N/A</x:v>
      </x:c>
      <x:c r="H26" s="51" t="str">
        <x:v>State-operated online identity service</x:v>
      </x:c>
      <x:c r="I26" s="51" t="str">
        <x:v>E1</x:v>
      </x:c>
      <x:c r="J26" s="51" t="str">
        <x:v>SRC-027</x:v>
      </x:c>
      <x:c r="K26" s="51" t="str">
        <x:v>Effective</x:v>
      </x:c>
    </x:row>
    <x:row r="27">
      <x:c r="A27" s="51" t="str">
        <x:v>INS-023</x:v>
      </x:c>
      <x:c r="B27" s="51" t="str">
        <x:v>Social-credit system completion guideline</x:v>
      </x:c>
      <x:c r="C27" s="51" t="str">
        <x:v>National policy guideline</x:v>
      </x:c>
      <x:c r="D27" s="51" t="str">
        <x:v>2025-03-31</x:v>
      </x:c>
      <x:c r="E27" s="51" t="str">
        <x:v>State Council; agencies; covered entities</x:v>
      </x:c>
      <x:c r="F27" s="51" t="str">
        <x:v>N/A</x:v>
      </x:c>
      <x:c r="G27" s="51" t="str">
        <x:v>N/A</x:v>
      </x:c>
      <x:c r="H27" s="51" t="str">
        <x:v>Unified rules and coverage across entity types</x:v>
      </x:c>
      <x:c r="I27" s="51" t="str">
        <x:v>E1</x:v>
      </x:c>
      <x:c r="J27" s="51" t="str">
        <x:v>SRC-025</x:v>
      </x:c>
      <x:c r="K27" s="51" t="str">
        <x:v>In implementation</x:v>
      </x:c>
    </x:row>
    <x:row r="28">
      <x:c r="A28" s="51" t="str">
        <x:v>INS-024</x:v>
      </x:c>
      <x:c r="B28" s="51" t="str">
        <x:v>AI Plus action guideline</x:v>
      </x:c>
      <x:c r="C28" s="51" t="str">
        <x:v>National policy guideline</x:v>
      </x:c>
      <x:c r="D28" s="51" t="str">
        <x:v>2025-08</x:v>
      </x:c>
      <x:c r="E28" s="51" t="str">
        <x:v>State Council; public and private sectors</x:v>
      </x:c>
      <x:c r="F28" s="51" t="str">
        <x:v>N/A</x:v>
      </x:c>
      <x:c r="G28" s="51" t="str">
        <x:v>N/A</x:v>
      </x:c>
      <x:c r="H28" s="51" t="str">
        <x:v>Deep AI integration and enhanced public-governance use</x:v>
      </x:c>
      <x:c r="I28" s="51" t="str">
        <x:v>E1</x:v>
      </x:c>
      <x:c r="J28" s="51" t="str">
        <x:v>SRC-026</x:v>
      </x:c>
      <x:c r="K28" s="51" t="str">
        <x:v>In implementation</x:v>
      </x:c>
    </x:row>
    <x:row r="29">
      <x:c r="A29" s="51" t="str">
        <x:v>INS-025</x:v>
      </x:c>
      <x:c r="B29" s="51" t="str">
        <x:v>BFA planned participation in CIPS</x:v>
      </x:c>
      <x:c r="C29" s="51" t="str">
        <x:v>Payment-infrastructure connection</x:v>
      </x:c>
      <x:c r="D29" s="51" t="str">
        <x:v>Reported 2026-07</x:v>
      </x:c>
      <x:c r="E29" s="51" t="str">
        <x:v>Banco de Fomento Angola; CIPS</x:v>
      </x:c>
      <x:c r="F29" s="51" t="str">
        <x:v>Undisclosed</x:v>
      </x:c>
      <x:c r="G29" s="51" t="str">
        <x:v>RMB</x:v>
      </x:c>
      <x:c r="H29" s="51" t="str">
        <x:v>Direct/improved yuan settlement capacity</x:v>
      </x:c>
      <x:c r="I29" s="51" t="str">
        <x:v>E2</x:v>
      </x:c>
      <x:c r="J29" s="51" t="str">
        <x:v>SRC-023</x:v>
      </x:c>
      <x:c r="K29" s="51" t="str">
        <x:v>Planned</x:v>
      </x:c>
    </x:row>
    <x:row r="30">
      <x:c r="A30" s="51" t="str">
        <x:v>INS-026</x:v>
      </x:c>
      <x:c r="B30" s="51" t="str">
        <x:v>Big Three voting-choice programmes</x:v>
      </x:c>
      <x:c r="C30" s="51" t="str">
        <x:v>Governance delegation / client choice</x:v>
      </x:c>
      <x:c r="D30" s="51" t="str">
        <x:v>Ongoing 2026</x:v>
      </x:c>
      <x:c r="E30" s="51" t="str">
        <x:v>BlackRock; Vanguard; State Street; eligible clients</x:v>
      </x:c>
      <x:c r="F30" s="51" t="str">
        <x:v>N/A</x:v>
      </x:c>
      <x:c r="G30" s="51" t="str">
        <x:v>N/A</x:v>
      </x:c>
      <x:c r="H30" s="51" t="str">
        <x:v>Allow varying client direction over proxy voting</x:v>
      </x:c>
      <x:c r="I30" s="51" t="str">
        <x:v>E1</x:v>
      </x:c>
      <x:c r="J30" s="51" t="str">
        <x:v>SRC-011; SRC-012; SRC-013</x:v>
      </x:c>
      <x:c r="K30" s="51" t="str">
        <x:v>Active</x:v>
      </x:c>
    </x:row>
    <x:row r="31">
      <x:c r="A31" s="51" t="str">
        <x:v>INS-027</x:v>
      </x:c>
      <x:c r="B31" s="51" t="str">
        <x:v>World Liberty Financial control and revenue arrangement</x:v>
      </x:c>
      <x:c r="C31" s="51" t="str">
        <x:v>Ownership / revenue-sharing structure</x:v>
      </x:c>
      <x:c r="D31" s="51" t="str">
        <x:v>2024–2025</x:v>
      </x:c>
      <x:c r="E31" s="51" t="str">
        <x:v>Trump family; World Liberty Financial</x:v>
      </x:c>
      <x:c r="F31" s="51" t="str">
        <x:v>60% stake and 75% token-sale net revenue reported</x:v>
      </x:c>
      <x:c r="G31" s="51" t="str">
        <x:v>USD / tokens</x:v>
      </x:c>
      <x:c r="H31" s="51" t="str">
        <x:v>Private control and revenue claim over crypto venture</x:v>
      </x:c>
      <x:c r="I31" s="51" t="str">
        <x:v>E1</x:v>
      </x:c>
      <x:c r="J31" s="51" t="str">
        <x:v>SRC-073; SRC-074</x:v>
      </x:c>
      <x:c r="K31" s="51" t="str">
        <x:v>Reported and operational</x:v>
      </x:c>
    </x:row>
    <x:row r="32">
      <x:c r="A32" s="51" t="str">
        <x:v>INS-028</x:v>
      </x:c>
      <x:c r="B32" s="51" t="str">
        <x:v>MGX investment in Binance settled using USD1</x:v>
      </x:c>
      <x:c r="C32" s="51" t="str">
        <x:v>Crypto investment / settlement</x:v>
      </x:c>
      <x:c r="D32" s="51" t="str">
        <x:v>2025-05</x:v>
      </x:c>
      <x:c r="E32" s="51" t="str">
        <x:v>MGX; Binance; World Liberty Financial</x:v>
      </x:c>
      <x:c r="F32" s="51" t="str">
        <x:v>2000000000</x:v>
      </x:c>
      <x:c r="G32" s="51" t="str">
        <x:v>USD1 / USD</x:v>
      </x:c>
      <x:c r="H32" s="51" t="str">
        <x:v>MGX equity investment settled in Trump-family-linked stablecoin</x:v>
      </x:c>
      <x:c r="I32" s="51" t="str">
        <x:v>E1</x:v>
      </x:c>
      <x:c r="J32" s="51" t="str">
        <x:v>SRC-071</x:v>
      </x:c>
      <x:c r="K32" s="51" t="str">
        <x:v>Announced / transaction use confirmed by participant</x:v>
      </x:c>
    </x:row>
    <x:row r="33">
      <x:c r="A33" s="51" t="str">
        <x:v>INS-029</x:v>
      </x:c>
      <x:c r="B33" s="51" t="str">
        <x:v>Abu Dhabi-linked acquisition of World Liberty stake</x:v>
      </x:c>
      <x:c r="C33" s="51" t="str">
        <x:v>Equity investment</x:v>
      </x:c>
      <x:c r="D33" s="51" t="str">
        <x:v>2025-01</x:v>
      </x:c>
      <x:c r="E33" s="51" t="str">
        <x:v>Abu Dhabi-linked investment vehicle; World Liberty Financial</x:v>
      </x:c>
      <x:c r="F33" s="51" t="str">
        <x:v>500000000 for 49% reported</x:v>
      </x:c>
      <x:c r="G33" s="51" t="str">
        <x:v>USD</x:v>
      </x:c>
      <x:c r="H33" s="51" t="str">
        <x:v>Foreign-linked equity ownership in Trump-family crypto venture</x:v>
      </x:c>
      <x:c r="I33" s="51" t="str">
        <x:v>E2</x:v>
      </x:c>
      <x:c r="J33" s="51" t="str">
        <x:v>SRC-072</x:v>
      </x:c>
      <x:c r="K33" s="51" t="str">
        <x:v>Confirmed to Reuters by company spokesman</x:v>
      </x:c>
    </x:row>
    <x:row r="34">
      <x:c r="A34" s="51" t="str">
        <x:v>INS-030</x:v>
      </x:c>
      <x:c r="B34" s="51" t="str">
        <x:v>Aqua 1 purchase of WLFI governance tokens</x:v>
      </x:c>
      <x:c r="C34" s="51" t="str">
        <x:v>Token investment</x:v>
      </x:c>
      <x:c r="D34" s="51" t="str">
        <x:v>2025-06</x:v>
      </x:c>
      <x:c r="E34" s="51" t="str">
        <x:v>Aqua 1 Foundation; World Liberty Financial</x:v>
      </x:c>
      <x:c r="F34" s="51" t="str">
        <x:v>100000000</x:v>
      </x:c>
      <x:c r="G34" s="51" t="str">
        <x:v>USD</x:v>
      </x:c>
      <x:c r="H34" s="51" t="str">
        <x:v>Governance-token investment and joint project development</x:v>
      </x:c>
      <x:c r="I34" s="51" t="str">
        <x:v>E1</x:v>
      </x:c>
      <x:c r="J34" s="51" t="str">
        <x:v>SRC-075</x:v>
      </x:c>
      <x:c r="K34" s="51" t="str">
        <x:v>Confirmed</x:v>
      </x:c>
    </x:row>
    <x:row r="35">
      <x:c r="A35" s="51" t="str">
        <x:v>INS-031</x:v>
      </x:c>
      <x:c r="B35" s="51" t="str">
        <x:v>Affinity Partners Gulf capital commitments</x:v>
      </x:c>
      <x:c r="C35" s="51" t="str">
        <x:v>Private-equity fund commitments</x:v>
      </x:c>
      <x:c r="D35" s="51" t="str">
        <x:v>2021–2024</x:v>
      </x:c>
      <x:c r="E35" s="51" t="str">
        <x:v>PIF; QIA; Lunate; Affinity Partners</x:v>
      </x:c>
      <x:c r="F35" s="51" t="str">
        <x:v>At least 3500000000 identified</x:v>
      </x:c>
      <x:c r="G35" s="51" t="str">
        <x:v>USD</x:v>
      </x:c>
      <x:c r="H35" s="51" t="str">
        <x:v>Capitalisation of Jared Kushner-owned investment firm</x:v>
      </x:c>
      <x:c r="I35" s="51" t="str">
        <x:v>E1</x:v>
      </x:c>
      <x:c r="J35" s="51" t="str">
        <x:v>SRC-070</x:v>
      </x:c>
      <x:c r="K35" s="51" t="str">
        <x:v>Invested / committed</x:v>
      </x:c>
    </x:row>
    <x:row r="36">
      <x:c r="A36" s="51" t="str">
        <x:v>INS-032</x:v>
      </x:c>
      <x:c r="B36" s="51" t="str">
        <x:v>OpenAI 2026 funding round</x:v>
      </x:c>
      <x:c r="C36" s="51" t="str">
        <x:v>Equity / strategic financing</x:v>
      </x:c>
      <x:c r="D36" s="51" t="str">
        <x:v>2026-02</x:v>
      </x:c>
      <x:c r="E36" s="51" t="str">
        <x:v>Amazon; Nvidia; SoftBank; OpenAI</x:v>
      </x:c>
      <x:c r="F36" s="51" t="str">
        <x:v>110000000000</x:v>
      </x:c>
      <x:c r="G36" s="51" t="str">
        <x:v>USD</x:v>
      </x:c>
      <x:c r="H36" s="51" t="str">
        <x:v>Capital and compute financing for OpenAI</x:v>
      </x:c>
      <x:c r="I36" s="51" t="str">
        <x:v>E1</x:v>
      </x:c>
      <x:c r="J36" s="51" t="str">
        <x:v>SRC-080</x:v>
      </x:c>
      <x:c r="K36" s="51" t="str">
        <x:v>Announced / conditional tranches</x:v>
      </x:c>
    </x:row>
    <x:row r="37">
      <x:c r="A37" s="51" t="str">
        <x:v>INS-033</x:v>
      </x:c>
      <x:c r="B37" s="51" t="str">
        <x:v>Stargate Project commitment</x:v>
      </x:c>
      <x:c r="C37" s="51" t="str">
        <x:v>AI infrastructure joint venture</x:v>
      </x:c>
      <x:c r="D37" s="51" t="str">
        <x:v>2025 onward</x:v>
      </x:c>
      <x:c r="E37" s="51" t="str">
        <x:v>SoftBank; OpenAI; Oracle; MGX; technology partners</x:v>
      </x:c>
      <x:c r="F37" s="51" t="str">
        <x:v>Up to 500000000000 over four years</x:v>
      </x:c>
      <x:c r="G37" s="51" t="str">
        <x:v>USD</x:v>
      </x:c>
      <x:c r="H37" s="51" t="str">
        <x:v>US AI data-centre and power infrastructure</x:v>
      </x:c>
      <x:c r="I37" s="51" t="str">
        <x:v>E1</x:v>
      </x:c>
      <x:c r="J37" s="51" t="str">
        <x:v>SRC-081; SRC-096</x:v>
      </x:c>
      <x:c r="K37" s="51" t="str">
        <x:v>Programme announced; deployment in stages</x:v>
      </x:c>
    </x:row>
    <x:row r="38">
      <x:c r="A38" s="51" t="str">
        <x:v>INS-034</x:v>
      </x:c>
      <x:c r="B38" s="51" t="str">
        <x:v>Stargate UAE consortium</x:v>
      </x:c>
      <x:c r="C38" s="51" t="str">
        <x:v>AI infrastructure programme</x:v>
      </x:c>
      <x:c r="D38" s="51" t="str">
        <x:v>2025 onward</x:v>
      </x:c>
      <x:c r="E38" s="51" t="str">
        <x:v>G42; OpenAI; Oracle; Nvidia; Cisco; SoftBank; US/UAE governments</x:v>
      </x:c>
      <x:c r="F38" s="51" t="str">
        <x:v>1 GW cluster within 5 GW campus</x:v>
      </x:c>
      <x:c r="G38" s="51" t="str">
        <x:v>Capacity / USD undisclosed</x:v>
      </x:c>
      <x:c r="H38" s="51" t="str">
        <x:v>UAE–US AI infrastructure and model deployment</x:v>
      </x:c>
      <x:c r="I38" s="51" t="str">
        <x:v>E1</x:v>
      </x:c>
      <x:c r="J38" s="51" t="str">
        <x:v>SRC-082; SRC-095</x:v>
      </x:c>
      <x:c r="K38" s="51" t="str">
        <x:v>Announced / development</x:v>
      </x:c>
    </x:row>
    <x:row r="39">
      <x:c r="A39" s="51" t="str">
        <x:v>INS-035</x:v>
      </x:c>
      <x:c r="B39" s="51" t="str">
        <x:v>DoD frontier-AI prototype contracts</x:v>
      </x:c>
      <x:c r="C39" s="51" t="str">
        <x:v>Defence contracts</x:v>
      </x:c>
      <x:c r="D39" s="51" t="str">
        <x:v>2025</x:v>
      </x:c>
      <x:c r="E39" s="51" t="str">
        <x:v>US Department of Defense; OpenAI; Google; Anthropic; xAI</x:v>
      </x:c>
      <x:c r="F39" s="51" t="str">
        <x:v>Up to 200000000 each</x:v>
      </x:c>
      <x:c r="G39" s="51" t="str">
        <x:v>USD</x:v>
      </x:c>
      <x:c r="H39" s="51" t="str">
        <x:v>Scale frontier AI across warfighting and enterprise domains</x:v>
      </x:c>
      <x:c r="I39" s="51" t="str">
        <x:v>E1</x:v>
      </x:c>
      <x:c r="J39" s="51" t="str">
        <x:v>SRC-085</x:v>
      </x:c>
      <x:c r="K39" s="51" t="str">
        <x:v>Awarded</x:v>
      </x:c>
    </x:row>
    <x:row r="40">
      <x:c r="A40" s="51" t="str">
        <x:v>INS-036</x:v>
      </x:c>
      <x:c r="B40" s="51" t="str">
        <x:v>Anthropic donations to Public First Action</x:v>
      </x:c>
      <x:c r="C40" s="51" t="str">
        <x:v>Political / policy advocacy funding</x:v>
      </x:c>
      <x:c r="D40" s="51" t="str">
        <x:v>2026</x:v>
      </x:c>
      <x:c r="E40" s="51" t="str">
        <x:v>Anthropic; Public First Action</x:v>
      </x:c>
      <x:c r="F40" s="51" t="str">
        <x:v>40000000 total announced</x:v>
      </x:c>
      <x:c r="G40" s="51" t="str">
        <x:v>USD</x:v>
      </x:c>
      <x:c r="H40" s="51" t="str">
        <x:v>Promote AI safeguards and policy advocacy</x:v>
      </x:c>
      <x:c r="I40" s="51" t="str">
        <x:v>E1</x:v>
      </x:c>
      <x:c r="J40" s="51" t="str">
        <x:v>SRC-086; SRC-087</x:v>
      </x:c>
      <x:c r="K40" s="51" t="str">
        <x:v>Announced</x:v>
      </x:c>
    </x:row>
    <x:row r="41">
      <x:c r="A41" s="51" t="str">
        <x:v>INS-037</x:v>
      </x:c>
      <x:c r="B41" s="51" t="str">
        <x:v>Microsoft strategic investment in G42</x:v>
      </x:c>
      <x:c r="C41" s="51" t="str">
        <x:v>Equity investment and cloud partnership</x:v>
      </x:c>
      <x:c r="D41" s="51" t="str">
        <x:v>2024</x:v>
      </x:c>
      <x:c r="E41" s="51" t="str">
        <x:v>Microsoft; G42</x:v>
      </x:c>
      <x:c r="F41" s="51" t="str">
        <x:v>1500000000</x:v>
      </x:c>
      <x:c r="G41" s="51" t="str">
        <x:v>USD</x:v>
      </x:c>
      <x:c r="H41" s="51" t="str">
        <x:v>Minority stake, board representation and Azure expansion</x:v>
      </x:c>
      <x:c r="I41" s="51" t="str">
        <x:v>E1</x:v>
      </x:c>
      <x:c r="J41" s="51" t="str">
        <x:v>SRC-093</x:v>
      </x:c>
      <x:c r="K41" s="51" t="str">
        <x:v>Completed / active</x:v>
      </x:c>
    </x:row>
    <x:row r="42">
      <x:c r="A42" s="51" t="str">
        <x:v>INS-038</x:v>
      </x:c>
      <x:c r="B42" s="51" t="str">
        <x:v>AMD–Anthropic chip and equity agreement</x:v>
      </x:c>
      <x:c r="C42" s="51" t="str">
        <x:v>Chip supply and strategic investment</x:v>
      </x:c>
      <x:c r="D42" s="51" t="str">
        <x:v>2026 onward</x:v>
      </x:c>
      <x:c r="E42" s="51" t="str">
        <x:v>AMD; Anthropic</x:v>
      </x:c>
      <x:c r="F42" s="51" t="str">
        <x:v>Up to 5000000000 investment; tens of billions in servers reported</x:v>
      </x:c>
      <x:c r="G42" s="51" t="str">
        <x:v>USD / compute</x:v>
      </x:c>
      <x:c r="H42" s="51" t="str">
        <x:v>Two gigawatts of AMD AI compute and strategic financing</x:v>
      </x:c>
      <x:c r="I42" s="51" t="str">
        <x:v>E1</x:v>
      </x:c>
      <x:c r="J42" s="51" t="str">
        <x:v>SRC-097</x:v>
      </x:c>
      <x:c r="K42" s="51" t="str">
        <x:v>Announced / milestone-dependent</x:v>
      </x:c>
    </x:row>
    <x:row r="43">
      <x:c r="A43" s="51" t="str">
        <x:v>INS-039</x:v>
      </x:c>
      <x:c r="B43" s="51" t="str">
        <x:v>JPMorgan Epstein accuser settlement</x:v>
      </x:c>
      <x:c r="C43" s="51" t="str">
        <x:v>Civil settlement</x:v>
      </x:c>
      <x:c r="D43" s="51" t="str">
        <x:v>2023</x:v>
      </x:c>
      <x:c r="E43" s="51" t="str">
        <x:v>JPMorgan; class of Epstein accusers</x:v>
      </x:c>
      <x:c r="F43" s="51" t="str">
        <x:v>290000000</x:v>
      </x:c>
      <x:c r="G43" s="51" t="str">
        <x:v>USD</x:v>
      </x:c>
      <x:c r="H43" s="51" t="str">
        <x:v>Resolve claims alleging facilitation / ignored red flags</x:v>
      </x:c>
      <x:c r="I43" s="51" t="str">
        <x:v>E1</x:v>
      </x:c>
      <x:c r="J43" s="51" t="str">
        <x:v>SRC-063</x:v>
      </x:c>
      <x:c r="K43" s="51" t="str">
        <x:v>Final approval</x:v>
      </x:c>
    </x:row>
    <x:row r="44">
      <x:c r="A44" s="51" t="str">
        <x:v>INS-040</x:v>
      </x:c>
      <x:c r="B44" s="51" t="str">
        <x:v>Deutsche Bank Epstein accuser settlement</x:v>
      </x:c>
      <x:c r="C44" s="51" t="str">
        <x:v>Civil settlement</x:v>
      </x:c>
      <x:c r="D44" s="51" t="str">
        <x:v>2023</x:v>
      </x:c>
      <x:c r="E44" s="51" t="str">
        <x:v>Deutsche Bank; class of Epstein accusers</x:v>
      </x:c>
      <x:c r="F44" s="51" t="str">
        <x:v>75000000</x:v>
      </x:c>
      <x:c r="G44" s="51" t="str">
        <x:v>USD</x:v>
      </x:c>
      <x:c r="H44" s="51" t="str">
        <x:v>Resolve claims alleging facilitation</x:v>
      </x:c>
      <x:c r="I44" s="51" t="str">
        <x:v>E1</x:v>
      </x:c>
      <x:c r="J44" s="51" t="str">
        <x:v>SRC-064</x:v>
      </x:c>
      <x:c r="K44" s="51" t="str">
        <x:v>Final approval</x:v>
      </x:c>
    </x:row>
    <x:row r="45">
      <x:c r="A45" s="51" t="str">
        <x:v>INS-041</x:v>
      </x:c>
      <x:c r="B45" s="51" t="str">
        <x:v>Bank of America Epstein accuser settlement</x:v>
      </x:c>
      <x:c r="C45" s="51" t="str">
        <x:v>Civil settlement</x:v>
      </x:c>
      <x:c r="D45" s="51" t="str">
        <x:v>2026</x:v>
      </x:c>
      <x:c r="E45" s="51" t="str">
        <x:v>Bank of America; class of Epstein accusers</x:v>
      </x:c>
      <x:c r="F45" s="51" t="str">
        <x:v>72500000</x:v>
      </x:c>
      <x:c r="G45" s="51" t="str">
        <x:v>USD</x:v>
      </x:c>
      <x:c r="H45" s="51" t="str">
        <x:v>Resolve claims alleging facilitation</x:v>
      </x:c>
      <x:c r="I45" s="51" t="str">
        <x:v>E1</x:v>
      </x:c>
      <x:c r="J45" s="51" t="str">
        <x:v>SRC-065</x:v>
      </x:c>
      <x:c r="K45" s="51" t="str">
        <x:v>Preliminary approval as of source</x:v>
      </x:c>
    </x:row>
    <x:row r="46">
      <x:c r="A46" s="51" t="str">
        <x:v>INS-042</x:v>
      </x:c>
      <x:c r="B46" s="51" t="str">
        <x:v>Leon Black payments to Jeffrey Epstein</x:v>
      </x:c>
      <x:c r="C46" s="51" t="str">
        <x:v>Professional-services payments</x:v>
      </x:c>
      <x:c r="D46" s="51" t="str">
        <x:v>2012–2017</x:v>
      </x:c>
      <x:c r="E46" s="51" t="str">
        <x:v>Leon Black; Jeffrey Epstein</x:v>
      </x:c>
      <x:c r="F46" s="51" t="str">
        <x:v>158000000</x:v>
      </x:c>
      <x:c r="G46" s="51" t="str">
        <x:v>USD</x:v>
      </x:c>
      <x:c r="H46" s="51" t="str">
        <x:v>Tax, estate-planning and related services according to outside review</x:v>
      </x:c>
      <x:c r="I46" s="51" t="str">
        <x:v>E1</x:v>
      </x:c>
      <x:c r="J46" s="51" t="str">
        <x:v>SRC-066; SRC-067</x:v>
      </x:c>
      <x:c r="K46" s="51" t="str">
        <x:v>Documented by review</x:v>
      </x:c>
    </x:row>
    <x:row r="47">
      <x:c r="A47" s="51" t="str">
        <x:v>INS-043</x:v>
      </x:c>
      <x:c r="B47" s="51" t="str">
        <x:v>Harvard donations from Jeffrey Epstein</x:v>
      </x:c>
      <x:c r="C47" s="51" t="str">
        <x:v>Philanthropic donations</x:v>
      </x:c>
      <x:c r="D47" s="51" t="str">
        <x:v>1998–2008</x:v>
      </x:c>
      <x:c r="E47" s="51" t="str">
        <x:v>Jeffrey Epstein; Harvard University</x:v>
      </x:c>
      <x:c r="F47" s="51" t="str">
        <x:v>9179000 approximately</x:v>
      </x:c>
      <x:c r="G47" s="51" t="str">
        <x:v>USD</x:v>
      </x:c>
      <x:c r="H47" s="51" t="str">
        <x:v>Research and academic programmes, including Program for Evolutionary Dynamics</x:v>
      </x:c>
      <x:c r="I47" s="51" t="str">
        <x:v>E1</x:v>
      </x:c>
      <x:c r="J47" s="51" t="str">
        <x:v>SRC-061</x:v>
      </x:c>
      <x:c r="K47" s="51" t="str">
        <x:v>Documented; none after 2008 conviction</x:v>
      </x:c>
    </x:row>
    <x:row r="48">
      <x:c r="A48" s="51" t="str">
        <x:v>INS-044</x:v>
      </x:c>
      <x:c r="B48" s="51" t="str">
        <x:v>MIT donations from Jeffrey Epstein</x:v>
      </x:c>
      <x:c r="C48" s="51" t="str">
        <x:v>Philanthropic donations</x:v>
      </x:c>
      <x:c r="D48" s="51" t="str">
        <x:v>2002–2017</x:v>
      </x:c>
      <x:c r="E48" s="51" t="str">
        <x:v>Jeffrey Epstein; MIT / Media Lab / faculty</x:v>
      </x:c>
      <x:c r="F48" s="51" t="str">
        <x:v>850000 total</x:v>
      </x:c>
      <x:c r="G48" s="51" t="str">
        <x:v>USD</x:v>
      </x:c>
      <x:c r="H48" s="51" t="str">
        <x:v>Research and institutional support, including post-conviction gifts</x:v>
      </x:c>
      <x:c r="I48" s="51" t="str">
        <x:v>E1</x:v>
      </x:c>
      <x:c r="J48" s="51" t="str">
        <x:v>SRC-062</x:v>
      </x:c>
      <x:c r="K48" s="51" t="str">
        <x:v>Documented</x:v>
      </x:c>
    </x:row>
    <x:row r="49">
      <x:c r="A49" s="51" t="str">
        <x:v>INS-045</x:v>
      </x:c>
      <x:c r="B49" s="51" t="str">
        <x:v>Gates Foundation external review</x:v>
      </x:c>
      <x:c r="C49" s="51" t="str">
        <x:v>Independent legal review</x:v>
      </x:c>
      <x:c r="D49" s="51" t="str">
        <x:v>2026</x:v>
      </x:c>
      <x:c r="E49" s="51" t="str">
        <x:v>Gates Foundation; WilmerHale</x:v>
      </x:c>
      <x:c r="F49" s="51" t="str">
        <x:v>Undisclosed</x:v>
      </x:c>
      <x:c r="G49" s="51" t="str">
        <x:v>USD</x:v>
      </x:c>
      <x:c r="H49" s="51" t="str">
        <x:v>Review Foundation engagement with Epstein and recommend controls</x:v>
      </x:c>
      <x:c r="I49" s="51" t="str">
        <x:v>E1</x:v>
      </x:c>
      <x:c r="J49" s="51" t="str">
        <x:v>SRC-058; SRC-060</x:v>
      </x:c>
      <x:c r="K49" s="51" t="str">
        <x:v>Completed</x:v>
      </x:c>
    </x:row>
    <x:row r="50">
      <x:c r="A50" s="51" t="str">
        <x:v>INS-046</x:v>
      </x:c>
      <x:c r="B50" s="51" t="str">
        <x:v>American Bitcoin–Gryphon all-stock merger</x:v>
      </x:c>
      <x:c r="C50" s="51" t="str">
        <x:v>Public-listing merger</x:v>
      </x:c>
      <x:c r="D50" s="51" t="str">
        <x:v>Announced 2025-05</x:v>
      </x:c>
      <x:c r="E50" s="51" t="str">
        <x:v>American Bitcoin; Gryphon Digital Mining; Hut 8; Eric Trump; Donald Trump Jr.</x:v>
      </x:c>
      <x:c r="F50" s="51" t="str">
        <x:v>All-stock; existing shareholders retain 98% reported</x:v>
      </x:c>
      <x:c r="G50" s="51" t="str">
        <x:v>Equity</x:v>
      </x:c>
      <x:c r="H50" s="51" t="str">
        <x:v>List American Bitcoin on Nasdaq and create a public Bitcoin accumulation vehicle</x:v>
      </x:c>
      <x:c r="I50" s="51" t="str">
        <x:v>E1</x:v>
      </x:c>
      <x:c r="J50" s="51" t="str">
        <x:v>SRC-076</x:v>
      </x:c>
      <x:c r="K50" s="51" t="str">
        <x:v>Announced at source date</x:v>
      </x:c>
    </x:row>
    <x:row r="51">
      <x:c r="A51" s="51" t="str">
        <x:v>INS-047</x:v>
      </x:c>
      <x:c r="B51" s="51" t="str">
        <x:v>CHIPS 2025 clearing and liquidity record</x:v>
      </x:c>
      <x:c r="C51" s="51" t="str">
        <x:v>Payment-system performance</x:v>
      </x:c>
      <x:c r="D51" s="51" t="str">
        <x:v>2025</x:v>
      </x:c>
      <x:c r="E51" s="51" t="str">
        <x:v>The Clearing House; CHIPS participants</x:v>
      </x:c>
      <x:c r="F51" s="51" t="str">
        <x:v>$2.014 trillion average daily value</x:v>
      </x:c>
      <x:c r="G51" s="51" t="str">
        <x:v>USD</x:v>
      </x:c>
      <x:c r="H51" s="51" t="str">
        <x:v>Large-value domestic and cross-border dollar payments with liquidity netting</x:v>
      </x:c>
      <x:c r="I51" s="51" t="str">
        <x:v>E1</x:v>
      </x:c>
      <x:c r="J51" s="51" t="str">
        <x:v>SRC-101</x:v>
      </x:c>
      <x:c r="K51" s="51" t="str">
        <x:v>Completed year statistics</x:v>
      </x:c>
    </x:row>
    <x:row r="52">
      <x:c r="A52" s="51" t="str">
        <x:v>INS-048</x:v>
      </x:c>
      <x:c r="B52" s="51" t="str">
        <x:v>Fedwire Funds Service 2025 settlement statistics</x:v>
      </x:c>
      <x:c r="C52" s="51" t="str">
        <x:v>Central-bank payment-system performance</x:v>
      </x:c>
      <x:c r="D52" s="51" t="str">
        <x:v>2025</x:v>
      </x:c>
      <x:c r="E52" s="51" t="str">
        <x:v>Federal Reserve Banks; Fedwire participants</x:v>
      </x:c>
      <x:c r="F52" s="51" t="str">
        <x:v>$1.148 quadrillion annual value</x:v>
      </x:c>
      <x:c r="G52" s="51" t="str">
        <x:v>USD</x:v>
      </x:c>
      <x:c r="H52" s="51" t="str">
        <x:v>Real-time final settlement in central-bank money</x:v>
      </x:c>
      <x:c r="I52" s="51" t="str">
        <x:v>E1</x:v>
      </x:c>
      <x:c r="J52" s="51" t="str">
        <x:v>SRC-102; SRC-103</x:v>
      </x:c>
      <x:c r="K52" s="51" t="str">
        <x:v>Completed year statistics</x:v>
      </x:c>
    </x:row>
    <x:row r="53">
      <x:c r="A53" s="51" t="str">
        <x:v>INS-049</x:v>
      </x:c>
      <x:c r="B53" s="51" t="str">
        <x:v>CLS 2025 FX settlement network</x:v>
      </x:c>
      <x:c r="C53" s="51" t="str">
        <x:v>Payment-versus-payment settlement</x:v>
      </x:c>
      <x:c r="D53" s="51" t="str">
        <x:v>2025</x:v>
      </x:c>
      <x:c r="E53" s="51" t="str">
        <x:v>CLS Group; settlement members; indirect participants</x:v>
      </x:c>
      <x:c r="F53" s="51" t="str">
        <x:v>More than $8 trillion daily</x:v>
      </x:c>
      <x:c r="G53" s="51" t="str">
        <x:v>Multiple currencies</x:v>
      </x:c>
      <x:c r="H53" s="51" t="str">
        <x:v>Mitigate principal risk and compress FX funding needs</x:v>
      </x:c>
      <x:c r="I53" s="51" t="str">
        <x:v>E1</x:v>
      </x:c>
      <x:c r="J53" s="51" t="str">
        <x:v>SRC-104; SRC-105</x:v>
      </x:c>
      <x:c r="K53" s="51" t="str">
        <x:v>Active</x:v>
      </x:c>
    </x:row>
    <x:row r="54">
      <x:c r="A54" s="51" t="str">
        <x:v>INS-050</x:v>
      </x:c>
      <x:c r="B54" s="51" t="str">
        <x:v>Euroclear immobilised Russian central-bank assets</x:v>
      </x:c>
      <x:c r="C54" s="51" t="str">
        <x:v>Sanctions / custody status</x:v>
      </x:c>
      <x:c r="D54" s="51" t="str">
        <x:v>2022–2026</x:v>
      </x:c>
      <x:c r="E54" s="51" t="str">
        <x:v>Euroclear; Central Bank of Russia; EU authorities</x:v>
      </x:c>
      <x:c r="F54" s="51" t="str">
        <x:v>€202 billion related to sanctioned Russian assets at June 2026</x:v>
      </x:c>
      <x:c r="G54" s="51" t="str">
        <x:v>EUR / multiple</x:v>
      </x:c>
      <x:c r="H54" s="51" t="str">
        <x:v>Immobilise assets and manage income under EU sanctions</x:v>
      </x:c>
      <x:c r="I54" s="51" t="str">
        <x:v>E1</x:v>
      </x:c>
      <x:c r="J54" s="51" t="str">
        <x:v>SRC-108; SRC-110</x:v>
      </x:c>
      <x:c r="K54" s="51" t="str">
        <x:v>Active and litigated</x:v>
      </x:c>
    </x:row>
    <x:row r="55">
      <x:c r="A55" s="51" t="str">
        <x:v>INS-051</x:v>
      </x:c>
      <x:c r="B55" s="51" t="str">
        <x:v>Euroclear Q1 2026 windfall contribution</x:v>
      </x:c>
      <x:c r="C55" s="51" t="str">
        <x:v>Sanctions-derived fiscal transfer</x:v>
      </x:c>
      <x:c r="D55" s="51" t="str">
        <x:v>2026 Q1</x:v>
      </x:c>
      <x:c r="E55" s="51" t="str">
        <x:v>Euroclear; European Commission; Ukraine support framework</x:v>
      </x:c>
      <x:c r="F55" s="51" t="str">
        <x:v>€744 million provision</x:v>
      </x:c>
      <x:c r="G55" s="51" t="str">
        <x:v>EUR</x:v>
      </x:c>
      <x:c r="H55" s="51" t="str">
        <x:v>Transfer net profit from reinvested Russian cash balances to European support mechanism</x:v>
      </x:c>
      <x:c r="I55" s="51" t="str">
        <x:v>E1</x:v>
      </x:c>
      <x:c r="J55" s="51" t="str">
        <x:v>SRC-109</x:v>
      </x:c>
      <x:c r="K55" s="51" t="str">
        <x:v>Provisioned</x:v>
      </x:c>
    </x:row>
    <x:row r="56">
      <x:c r="A56" s="51" t="str">
        <x:v>INS-052</x:v>
      </x:c>
      <x:c r="B56" s="51" t="str">
        <x:v>Visa FY2025 payment-network scale</x:v>
      </x:c>
      <x:c r="C56" s="51" t="str">
        <x:v>Payment-network performance</x:v>
      </x:c>
      <x:c r="D56" s="51" t="str">
        <x:v>FY2025</x:v>
      </x:c>
      <x:c r="E56" s="51" t="str">
        <x:v>Visa; issuers; acquirers; merchants; users</x:v>
      </x:c>
      <x:c r="F56" s="51" t="str">
        <x:v>$14.2 trillion payments volume; 257.5 billion processed transactions</x:v>
      </x:c>
      <x:c r="G56" s="51" t="str">
        <x:v>USD / global currencies</x:v>
      </x:c>
      <x:c r="H56" s="51" t="str">
        <x:v>Global transaction authorization, clearing and routing</x:v>
      </x:c>
      <x:c r="I56" s="51" t="str">
        <x:v>E1</x:v>
      </x:c>
      <x:c r="J56" s="51" t="str">
        <x:v>SRC-111</x:v>
      </x:c>
      <x:c r="K56" s="51" t="str">
        <x:v>Completed year statistics</x:v>
      </x:c>
    </x:row>
    <x:row r="57">
      <x:c r="A57" s="51" t="str">
        <x:v>INS-053</x:v>
      </x:c>
      <x:c r="B57" s="51" t="str">
        <x:v>Mastercard FY2025 network growth</x:v>
      </x:c>
      <x:c r="C57" s="51" t="str">
        <x:v>Payment-network performance</x:v>
      </x:c>
      <x:c r="D57" s="51" t="str">
        <x:v>FY2025</x:v>
      </x:c>
      <x:c r="E57" s="51" t="str">
        <x:v>Mastercard; issuers; acquirers; merchants; users</x:v>
      </x:c>
      <x:c r="F57" s="51" t="str">
        <x:v>9% gross-dollar-volume growth; 15% cross-border growth</x:v>
      </x:c>
      <x:c r="G57" s="51" t="str">
        <x:v>Multiple currencies</x:v>
      </x:c>
      <x:c r="H57" s="51" t="str">
        <x:v>Global card and digital-payment processing</x:v>
      </x:c>
      <x:c r="I57" s="51" t="str">
        <x:v>E1</x:v>
      </x:c>
      <x:c r="J57" s="51" t="str">
        <x:v>SRC-112</x:v>
      </x:c>
      <x:c r="K57" s="51" t="str">
        <x:v>Completed year statistics</x:v>
      </x:c>
    </x:row>
    <x:row r="58">
      <x:c r="A58" s="51" t="str">
        <x:v>INS-054</x:v>
      </x:c>
      <x:c r="B58" s="51" t="str">
        <x:v>GENIUS Act stablecoin framework implementation</x:v>
      </x:c>
      <x:c r="C58" s="51" t="str">
        <x:v>Federal financial regulation</x:v>
      </x:c>
      <x:c r="D58" s="51" t="str">
        <x:v>2025–2026</x:v>
      </x:c>
      <x:c r="E58" s="51" t="str">
        <x:v>US Treasury; regulators; payment stablecoin issuers</x:v>
      </x:c>
      <x:c r="F58" s="51" t="str">
        <x:v>System-wide</x:v>
      </x:c>
      <x:c r="G58" s="51" t="str">
        <x:v>USD-linked stablecoins</x:v>
      </x:c>
      <x:c r="H58" s="51" t="str">
        <x:v>Reserve, AML and sanctions obligations for permitted issuers</x:v>
      </x:c>
      <x:c r="I58" s="51" t="str">
        <x:v>E1</x:v>
      </x:c>
      <x:c r="J58" s="51" t="str">
        <x:v>SRC-113</x:v>
      </x:c>
      <x:c r="K58" s="51" t="str">
        <x:v>Rulemaking in progress</x:v>
      </x:c>
    </x:row>
    <x:row r="59">
      <x:c r="A59" s="51" t="str">
        <x:v>INS-055</x:v>
      </x:c>
      <x:c r="B59" s="51" t="str">
        <x:v>Circle Reserve Fund arrangement</x:v>
      </x:c>
      <x:c r="C59" s="51" t="str">
        <x:v>Reserve-management structure</x:v>
      </x:c>
      <x:c r="D59" s="51" t="str">
        <x:v>2025–2026</x:v>
      </x:c>
      <x:c r="E59" s="51" t="str">
        <x:v>Circle; BlackRock; USDC holders</x:v>
      </x:c>
      <x:c r="F59" s="51" t="str">
        <x:v>Approximately 88% of USDC reserves at end-2025</x:v>
      </x:c>
      <x:c r="G59" s="51" t="str">
        <x:v>USD / US Treasuries</x:v>
      </x:c>
      <x:c r="H59" s="51" t="str">
        <x:v>Hold segregated highly liquid government assets backing USDC</x:v>
      </x:c>
      <x:c r="I59" s="51" t="str">
        <x:v>E1</x:v>
      </x:c>
      <x:c r="J59" s="51" t="str">
        <x:v>SRC-114; SRC-115</x:v>
      </x:c>
      <x:c r="K59" s="51" t="str">
        <x:v>Active</x:v>
      </x:c>
    </x:row>
    <x:row r="60">
      <x:c r="A60" s="51" t="str">
        <x:v>INS-056</x:v>
      </x:c>
      <x:c r="B60" s="51" t="str">
        <x:v>Tether $344 million coordinated freeze</x:v>
      </x:c>
      <x:c r="C60" s="51" t="str">
        <x:v>Issuer enforcement action</x:v>
      </x:c>
      <x:c r="D60" s="51" t="str">
        <x:v>2026-04-23</x:v>
      </x:c>
      <x:c r="E60" s="51" t="str">
        <x:v>Tether; OFAC; US law enforcement</x:v>
      </x:c>
      <x:c r="F60" s="51" t="str">
        <x:v>More than $344 million</x:v>
      </x:c>
      <x:c r="G60" s="51" t="str">
        <x:v>USDT</x:v>
      </x:c>
      <x:c r="H60" s="51" t="str">
        <x:v>Freeze identified addresses and prevent token movement</x:v>
      </x:c>
      <x:c r="I60" s="51" t="str">
        <x:v>E1</x:v>
      </x:c>
      <x:c r="J60" s="51" t="str">
        <x:v>SRC-116</x:v>
      </x:c>
      <x:c r="K60" s="51" t="str">
        <x:v>Executed</x:v>
      </x:c>
    </x:row>
    <x:row r="61">
      <x:c r="A61" s="51" t="str">
        <x:v>INS-057</x:v>
      </x:c>
      <x:c r="B61" s="51" t="str">
        <x:v>US government cryptocurrency custody procurement</x:v>
      </x:c>
      <x:c r="C61" s="51" t="str">
        <x:v>Government procurement</x:v>
      </x:c>
      <x:c r="D61" s="51" t="str">
        <x:v>2024 onward</x:v>
      </x:c>
      <x:c r="E61" s="51" t="str">
        <x:v>US Marshals Service; selected private service provider</x:v>
      </x:c>
      <x:c r="F61" s="51" t="str">
        <x:v>Contract-specific</x:v>
      </x:c>
      <x:c r="G61" s="51" t="str">
        <x:v>Digital assets</x:v>
      </x:c>
      <x:c r="H61" s="51" t="str">
        <x:v>Custody, management, trading and liquidation of seized crypto</x:v>
      </x:c>
      <x:c r="I61" s="51" t="str">
        <x:v>E1</x:v>
      </x:c>
      <x:c r="J61" s="51" t="str">
        <x:v>SRC-119</x:v>
      </x:c>
      <x:c r="K61" s="51" t="str">
        <x:v>Awarded / contractor requires verification</x:v>
      </x:c>
    </x:row>
    <x:row r="62">
      <x:c r="A62" s="51" t="str">
        <x:v>INS-058</x:v>
      </x:c>
      <x:c r="B62" s="51" t="str">
        <x:v>Brookfield global AI infrastructure program</x:v>
      </x:c>
      <x:c r="C62" s="51" t="str">
        <x:v>Infrastructure investment programme</x:v>
      </x:c>
      <x:c r="D62" s="51" t="str">
        <x:v>2025 onward</x:v>
      </x:c>
      <x:c r="E62" s="51" t="str">
        <x:v>Brookfield; Nvidia; Kuwait Investment Authority; partners</x:v>
      </x:c>
      <x:c r="F62" s="51" t="str">
        <x:v>$100 billion programme</x:v>
      </x:c>
      <x:c r="G62" s="51" t="str">
        <x:v>USD</x:v>
      </x:c>
      <x:c r="H62" s="51" t="str">
        <x:v>AI factories, power and related infrastructure</x:v>
      </x:c>
      <x:c r="I62" s="51" t="str">
        <x:v>E1</x:v>
      </x:c>
      <x:c r="J62" s="51" t="str">
        <x:v>SRC-120</x:v>
      </x:c>
      <x:c r="K62" s="51" t="str">
        <x:v>Launched</x:v>
      </x:c>
    </x:row>
    <x:row r="63">
      <x:c r="A63" s="51" t="str">
        <x:v>INS-059</x:v>
      </x:c>
      <x:c r="B63" s="51" t="str">
        <x:v>Brookfield–Bloom AI power framework</x:v>
      </x:c>
      <x:c r="C63" s="51" t="str">
        <x:v>Power-infrastructure financing</x:v>
      </x:c>
      <x:c r="D63" s="51" t="str">
        <x:v>2025–2026</x:v>
      </x:c>
      <x:c r="E63" s="51" t="str">
        <x:v>Brookfield; Bloom Energy</x:v>
      </x:c>
      <x:c r="F63" s="51" t="str">
        <x:v>Expanded to $25 billion</x:v>
      </x:c>
      <x:c r="G63" s="51" t="str">
        <x:v>USD</x:v>
      </x:c>
      <x:c r="H63" s="51" t="str">
        <x:v>Finance rapid on-site power for AI infrastructure</x:v>
      </x:c>
      <x:c r="I63" s="51" t="str">
        <x:v>E1</x:v>
      </x:c>
      <x:c r="J63" s="51" t="str">
        <x:v>SRC-121</x:v>
      </x:c>
      <x:c r="K63" s="51" t="str">
        <x:v>Active framework</x:v>
      </x:c>
    </x:row>
    <x:row r="64">
      <x:c r="A64" s="51" t="str">
        <x:v>INS-060</x:v>
      </x:c>
      <x:c r="B64" s="51" t="str">
        <x:v>KKR–ECP digital and power infrastructure partnership</x:v>
      </x:c>
      <x:c r="C64" s="51" t="str">
        <x:v>Strategic infrastructure programme</x:v>
      </x:c>
      <x:c r="D64" s="51" t="str">
        <x:v>2024 onward</x:v>
      </x:c>
      <x:c r="E64" s="51" t="str">
        <x:v>KKR; Energy Capital Partners</x:v>
      </x:c>
      <x:c r="F64" s="51" t="str">
        <x:v>$50 billion partnership</x:v>
      </x:c>
      <x:c r="G64" s="51" t="str">
        <x:v>USD</x:v>
      </x:c>
      <x:c r="H64" s="51" t="str">
        <x:v>Develop data centres, generation and transmission</x:v>
      </x:c>
      <x:c r="I64" s="51" t="str">
        <x:v>E1</x:v>
      </x:c>
      <x:c r="J64" s="51" t="str">
        <x:v>SRC-122</x:v>
      </x:c>
      <x:c r="K64" s="51" t="str">
        <x:v>Active</x:v>
      </x:c>
    </x:row>
    <x:row r="65">
      <x:c r="A65" s="51" t="str">
        <x:v>INS-061</x:v>
      </x:c>
      <x:c r="B65" s="51" t="str">
        <x:v>Texas hyperscale campus co-located with Calpine generation</x:v>
      </x:c>
      <x:c r="C65" s="51" t="str">
        <x:v>Data-centre/power project</x:v>
      </x:c>
      <x:c r="D65" s="51" t="str">
        <x:v>2025–2026</x:v>
      </x:c>
      <x:c r="E65" s="51" t="str">
        <x:v>KKR; ECP; Calpine; hyperscaler anchor</x:v>
      </x:c>
      <x:c r="F65" s="51" t="str">
        <x:v>Part of $50 billion programme</x:v>
      </x:c>
      <x:c r="G65" s="51" t="str">
        <x:v>USD / power capacity</x:v>
      </x:c>
      <x:c r="H65" s="51" t="str">
        <x:v>Dedicated generation and data-centre campus</x:v>
      </x:c>
      <x:c r="I65" s="51" t="str">
        <x:v>E1</x:v>
      </x:c>
      <x:c r="J65" s="51" t="str">
        <x:v>SRC-122</x:v>
      </x:c>
      <x:c r="K65" s="51" t="str">
        <x:v>Development</x:v>
      </x:c>
    </x:row>
    <x:row r="66">
      <x:c r="A66" s="51" t="str">
        <x:v>INS-062</x:v>
      </x:c>
      <x:c r="B66" s="51" t="str">
        <x:v>Apollo–Valor–xAI compute financing</x:v>
      </x:c>
      <x:c r="C66" s="51" t="str">
        <x:v>Private-credit / asset financing</x:v>
      </x:c>
      <x:c r="D66" s="51" t="str">
        <x:v>2026</x:v>
      </x:c>
      <x:c r="E66" s="51" t="str">
        <x:v>Apollo-managed funds; Valor; Valor Compute Infrastructure; xAI</x:v>
      </x:c>
      <x:c r="F66" s="51" t="str">
        <x:v>$3.5 billion capital solution supporting $5.4 billion acquisition</x:v>
      </x:c>
      <x:c r="G66" s="51" t="str">
        <x:v>USD</x:v>
      </x:c>
      <x:c r="H66" s="51" t="str">
        <x:v>Acquire GPU infrastructure and lease it to xAI</x:v>
      </x:c>
      <x:c r="I66" s="51" t="str">
        <x:v>E1</x:v>
      </x:c>
      <x:c r="J66" s="51" t="str">
        <x:v>SRC-123</x:v>
      </x:c>
      <x:c r="K66" s="51" t="str">
        <x:v>Announced / active</x:v>
      </x:c>
    </x:row>
    <x:row r="67">
      <x:c r="A67" s="51" t="str">
        <x:v>INS-063</x:v>
      </x:c>
      <x:c r="B67" s="51" t="str">
        <x:v>Reported Nvidia guarantee for OpenAI Ohio data centre</x:v>
      </x:c>
      <x:c r="C67" s="51" t="str">
        <x:v>Proposed financing guarantee</x:v>
      </x:c>
      <x:c r="D67" s="51" t="str">
        <x:v>Reported 2026-07</x:v>
      </x:c>
      <x:c r="E67" s="51" t="str">
        <x:v>Nvidia; OpenAI; SB Energy; lenders</x:v>
      </x:c>
      <x:c r="F67" s="51" t="str">
        <x:v>$250 billion guarantee discussed; project over $500 billion</x:v>
      </x:c>
      <x:c r="G67" s="51" t="str">
        <x:v>USD</x:v>
      </x:c>
      <x:c r="H67" s="51" t="str">
        <x:v>Lower financing cost for a 10 GW data-centre lease and chip purchases</x:v>
      </x:c>
      <x:c r="I67" s="51" t="str">
        <x:v>A1</x:v>
      </x:c>
      <x:c r="J67" s="51" t="str">
        <x:v>SRC-124</x:v>
      </x:c>
      <x:c r="K67" s="51" t="str">
        <x:v>Reported negotiations</x:v>
      </x:c>
    </x:row>
    <x:row r="68">
      <x:c r="A68" s="51" t="str">
        <x:v>INS-064</x:v>
      </x:c>
      <x:c r="B68" s="51" t="str">
        <x:v>Nvidia–SK Group AI data-centre and memory initiative</x:v>
      </x:c>
      <x:c r="C68" s="51" t="str">
        <x:v>Strategic industrial initiative</x:v>
      </x:c>
      <x:c r="D68" s="51" t="str">
        <x:v>2026</x:v>
      </x:c>
      <x:c r="E68" s="51" t="str">
        <x:v>Nvidia; SK Group; SK Hynix; SK Telecom; Naver; Brookfield</x:v>
      </x:c>
      <x:c r="F68" s="51" t="str">
        <x:v>More than $500 billion announced initiative</x:v>
      </x:c>
      <x:c r="G68" s="51" t="str">
        <x:v>USD-equivalent / capacity</x:v>
      </x:c>
      <x:c r="H68" s="51" t="str">
        <x:v>AI data centres, high-bandwidth memory and sovereign AI infrastructure</x:v>
      </x:c>
      <x:c r="I68" s="51" t="str">
        <x:v>E2</x:v>
      </x:c>
      <x:c r="J68" s="51" t="str">
        <x:v>SRC-125</x:v>
      </x:c>
      <x:c r="K68" s="51" t="str">
        <x:v>Announced / components vary</x:v>
      </x:c>
    </x:row>
    <x:row r="69">
      <x:c r="A69" s="51" t="str">
        <x:v>INS-065</x:v>
      </x:c>
      <x:c r="B69" s="51" t="str">
        <x:v>Anduril Army enterprise contract</x:v>
      </x:c>
      <x:c r="C69" s="51" t="str">
        <x:v>Defence contract</x:v>
      </x:c>
      <x:c r="D69" s="51" t="str">
        <x:v>2026</x:v>
      </x:c>
      <x:c r="E69" s="51" t="str">
        <x:v>US Army; Anduril</x:v>
      </x:c>
      <x:c r="F69" s="51" t="str">
        <x:v>$20 billion ceiling</x:v>
      </x:c>
      <x:c r="G69" s="51" t="str">
        <x:v>USD</x:v>
      </x:c>
      <x:c r="H69" s="51" t="str">
        <x:v>Integrate Lattice, hardware, data and technical support across Army needs</x:v>
      </x:c>
      <x:c r="I69" s="51" t="str">
        <x:v>E1</x:v>
      </x:c>
      <x:c r="J69" s="51" t="str">
        <x:v>SRC-126</x:v>
      </x:c>
      <x:c r="K69" s="51" t="str">
        <x:v>Awarded</x:v>
      </x:c>
    </x:row>
    <x:row r="70">
      <x:c r="A70" s="51" t="str">
        <x:v>INS-066</x:v>
      </x:c>
      <x:c r="B70" s="51" t="str">
        <x:v>Meta investment in Scale AI</x:v>
      </x:c>
      <x:c r="C70" s="51" t="str">
        <x:v>Strategic minority investment and talent transaction</x:v>
      </x:c>
      <x:c r="D70" s="51" t="str">
        <x:v>2025</x:v>
      </x:c>
      <x:c r="E70" s="51" t="str">
        <x:v>Meta; Scale AI; Alexandr Wang</x:v>
      </x:c>
      <x:c r="F70" s="51" t="str">
        <x:v>$14.3 billion for 49% stake reported</x:v>
      </x:c>
      <x:c r="G70" s="51" t="str">
        <x:v>USD</x:v>
      </x:c>
      <x:c r="H70" s="51" t="str">
        <x:v>Acquire economic stake and recruit Wang to lead Meta superintelligence effort</x:v>
      </x:c>
      <x:c r="I70" s="51" t="str">
        <x:v>E1</x:v>
      </x:c>
      <x:c r="J70" s="51" t="str">
        <x:v>SRC-127</x:v>
      </x:c>
      <x:c r="K70" s="51" t="str">
        <x:v>Completed / active</x:v>
      </x:c>
    </x:row>
    <x:row r="71">
      <x:c r="A71" s="51" t="str">
        <x:v>INS-067</x:v>
      </x:c>
      <x:c r="B71" s="51" t="str">
        <x:v>Palantir–Lockheed Aegis software collaboration</x:v>
      </x:c>
      <x:c r="C71" s="51" t="str">
        <x:v>Defence-technology partnership</x:v>
      </x:c>
      <x:c r="D71" s="51" t="str">
        <x:v>2026/current</x:v>
      </x:c>
      <x:c r="E71" s="51" t="str">
        <x:v>Palantir; Lockheed Martin; Aegis programme</x:v>
      </x:c>
      <x:c r="F71" s="51" t="str">
        <x:v>Undisclosed</x:v>
      </x:c>
      <x:c r="G71" s="51" t="str">
        <x:v>USD</x:v>
      </x:c>
      <x:c r="H71" s="51" t="str">
        <x:v>Accelerate software delivery for Aegis and future integrated combat systems</x:v>
      </x:c>
      <x:c r="I71" s="51" t="str">
        <x:v>E1</x:v>
      </x:c>
      <x:c r="J71" s="51" t="str">
        <x:v>SRC-128</x:v>
      </x:c>
      <x:c r="K71" s="51" t="str">
        <x:v>Active</x:v>
      </x:c>
    </x:row>
    <x:row r="72">
      <x:c r="A72" s="51" t="str">
        <x:v>INS-068</x:v>
      </x:c>
      <x:c r="B72" s="51" t="str">
        <x:v>Palantir–GE Aerospace military-readiness partnership</x:v>
      </x:c>
      <x:c r="C72" s="51" t="str">
        <x:v>Defence/aerospace AI partnership</x:v>
      </x:c>
      <x:c r="D72" s="51" t="str">
        <x:v>2026</x:v>
      </x:c>
      <x:c r="E72" s="51" t="str">
        <x:v>Palantir; GE Aerospace</x:v>
      </x:c>
      <x:c r="F72" s="51" t="str">
        <x:v>Undisclosed</x:v>
      </x:c>
      <x:c r="G72" s="51" t="str">
        <x:v>USD</x:v>
      </x:c>
      <x:c r="H72" s="51" t="str">
        <x:v>Apply AI to military-aircraft readiness and supply chains</x:v>
      </x:c>
      <x:c r="I72" s="51" t="str">
        <x:v>E1</x:v>
      </x:c>
      <x:c r="J72" s="51" t="str">
        <x:v>SRC-129</x:v>
      </x:c>
      <x:c r="K72" s="51" t="str">
        <x:v>Active</x:v>
      </x:c>
    </x:row>
    <x:row r="73">
      <x:c r="A73" s="51" t="str">
        <x:v>INS-069</x:v>
      </x:c>
      <x:c r="B73" s="51" t="str">
        <x:v>Commodity-trader revolving credit facilities</x:v>
      </x:c>
      <x:c r="C73" s="51" t="str">
        <x:v>Trade-finance facilities</x:v>
      </x:c>
      <x:c r="D73" s="51" t="str">
        <x:v>2024–2025</x:v>
      </x:c>
      <x:c r="E73" s="51" t="str">
        <x:v>Trafigura; Vitol; Mercuria; Gunvor; participating banks</x:v>
      </x:c>
      <x:c r="F73" s="51" t="str">
        <x:v>Approximately $23.5 billion across cited facilities</x:v>
      </x:c>
      <x:c r="G73" s="51" t="str">
        <x:v>USD / multicurrency</x:v>
      </x:c>
      <x:c r="H73" s="51" t="str">
        <x:v>Finance inventories, receivables, shipping and commodity trading</x:v>
      </x:c>
      <x:c r="I73" s="51" t="str">
        <x:v>E2</x:v>
      </x:c>
      <x:c r="J73" s="51" t="str">
        <x:v>SRC-145</x:v>
      </x:c>
      <x:c r="K73" s="51" t="str">
        <x:v>Active / multiple facilities</x:v>
      </x:c>
    </x:row>
    <x:row r="74">
      <x:c r="A74" s="51" t="str">
        <x:v>INS-070</x:v>
      </x:c>
      <x:c r="B74" s="51" t="str">
        <x:v>Vitol 2025 physical energy deliveries</x:v>
      </x:c>
      <x:c r="C74" s="51" t="str">
        <x:v>Commodity-trading activity</x:v>
      </x:c>
      <x:c r="D74" s="51" t="str">
        <x:v>2025</x:v>
      </x:c>
      <x:c r="E74" s="51" t="str">
        <x:v>Vitol; producers; refiners; utilities; customers</x:v>
      </x:c>
      <x:c r="F74" s="51" t="str">
        <x:v>8 million barrels/day oil and products; $343 billion turnover</x:v>
      </x:c>
      <x:c r="G74" s="51" t="str">
        <x:v>USD / physical volumes</x:v>
      </x:c>
      <x:c r="H74" s="51" t="str">
        <x:v>Match global supply, storage, refining, shipping and demand</x:v>
      </x:c>
      <x:c r="I74" s="51" t="str">
        <x:v>E1</x:v>
      </x:c>
      <x:c r="J74" s="51" t="str">
        <x:v>SRC-131</x:v>
      </x:c>
      <x:c r="K74" s="51" t="str">
        <x:v>Completed year</x:v>
      </x:c>
    </x:row>
    <x:row r="75">
      <x:c r="A75" s="51" t="str">
        <x:v>INS-071</x:v>
      </x:c>
      <x:c r="B75" s="51" t="str">
        <x:v>2026 China semiconductor licensing policy</x:v>
      </x:c>
      <x:c r="C75" s="51" t="str">
        <x:v>Export-control licensing rule</x:v>
      </x:c>
      <x:c r="D75" s="51" t="str">
        <x:v>2026-01</x:v>
      </x:c>
      <x:c r="E75" s="51" t="str">
        <x:v>BIS; exporters; Chinese end users</x:v>
      </x:c>
      <x:c r="F75" s="51" t="str">
        <x:v>Case-by-case licensing for H200/MI325X-class items under conditions</x:v>
      </x:c>
      <x:c r="G75" s="51" t="str">
        <x:v>N/A</x:v>
      </x:c>
      <x:c r="H75" s="51" t="str">
        <x:v>Define permitted advanced-chip exports and security conditions</x:v>
      </x:c>
      <x:c r="I75" s="51" t="str">
        <x:v>E1</x:v>
      </x:c>
      <x:c r="J75" s="51" t="str">
        <x:v>SRC-147</x:v>
      </x:c>
      <x:c r="K75" s="51" t="str">
        <x:v>Effective</x:v>
      </x:c>
    </x:row>
    <x:row r="76">
      <x:c r="A76" s="51" t="str">
        <x:v>INS-072</x:v>
      </x:c>
      <x:c r="B76" s="51" t="str">
        <x:v>2025 foundry due-diligence controls</x:v>
      </x:c>
      <x:c r="C76" s="51" t="str">
        <x:v>Export-control rule</x:v>
      </x:c>
      <x:c r="D76" s="51" t="str">
        <x:v>2025-01</x:v>
      </x:c>
      <x:c r="E76" s="51" t="str">
        <x:v>BIS; foundries; chip designers; exporters</x:v>
      </x:c>
      <x:c r="F76" s="51" t="str">
        <x:v>System-wide</x:v>
      </x:c>
      <x:c r="G76" s="51" t="str">
        <x:v>N/A</x:v>
      </x:c>
      <x:c r="H76" s="51" t="str">
        <x:v>Prevent diversion of advanced computing chips to restricted PRC end users</x:v>
      </x:c>
      <x:c r="I76" s="51" t="str">
        <x:v>E1</x:v>
      </x:c>
      <x:c r="J76" s="51" t="str">
        <x:v>SRC-148</x:v>
      </x:c>
      <x:c r="K76" s="51" t="str">
        <x:v>Effective</x:v>
      </x:c>
    </x:row>
    <x:row r="77">
      <x:c r="A77" s="51" t="str">
        <x:v>INS-073</x:v>
      </x:c>
      <x:c r="B77" s="51" t="str">
        <x:v>2025 temporary EDA export restrictions and rescission</x:v>
      </x:c>
      <x:c r="C77" s="51" t="str">
        <x:v>Export-control intervention</x:v>
      </x:c>
      <x:c r="D77" s="51" t="str">
        <x:v>2025-05 to 2025-07</x:v>
      </x:c>
      <x:c r="E77" s="51" t="str">
        <x:v>BIS; Synopsys; Cadence; Siemens EDA; China customers</x:v>
      </x:c>
      <x:c r="F77" s="51" t="str">
        <x:v>Industry-wide</x:v>
      </x:c>
      <x:c r="G77" s="51" t="str">
        <x:v>N/A</x:v>
      </x:c>
      <x:c r="H77" s="51" t="str">
        <x:v>Temporarily require licences for specified EDA software and technology, then rescind notices</x:v>
      </x:c>
      <x:c r="I77" s="51" t="str">
        <x:v>E1</x:v>
      </x:c>
      <x:c r="J77" s="51" t="str">
        <x:v>SRC-152; SRC-153; SRC-154</x:v>
      </x:c>
      <x:c r="K77" s="51" t="str">
        <x:v>Historical intervention</x:v>
      </x:c>
    </x:row>
    <x:row r="78">
      <x:c r="A78" s="51" t="str">
        <x:v>INS-074</x:v>
      </x:c>
      <x:c r="B78" s="51" t="str">
        <x:v>Synopsys acquisition of Ansys</x:v>
      </x:c>
      <x:c r="C78" s="51" t="str">
        <x:v>Corporate acquisition</x:v>
      </x:c>
      <x:c r="D78" s="51" t="str">
        <x:v>Completed 2025-07-17</x:v>
      </x:c>
      <x:c r="E78" s="51" t="str">
        <x:v>Synopsys; Ansys</x:v>
      </x:c>
      <x:c r="F78" s="51" t="str">
        <x:v>Approximately $35 billion original enterprise value</x:v>
      </x:c>
      <x:c r="G78" s="51" t="str">
        <x:v>USD</x:v>
      </x:c>
      <x:c r="H78" s="51" t="str">
        <x:v>Combine chip-design automation with engineering simulation</x:v>
      </x:c>
      <x:c r="I78" s="51" t="str">
        <x:v>E1</x:v>
      </x:c>
      <x:c r="J78" s="51" t="str">
        <x:v>SRC-155</x:v>
      </x:c>
      <x:c r="K78" s="51" t="str">
        <x:v>Completed</x:v>
      </x:c>
    </x:row>
    <x:row r="79">
      <x:c r="A79" s="51" t="str">
        <x:v>INS-075</x:v>
      </x:c>
      <x:c r="B79" s="51" t="str">
        <x:v>Project Waterworth</x:v>
      </x:c>
      <x:c r="C79" s="51" t="str">
        <x:v>Submarine cable investment programme</x:v>
      </x:c>
      <x:c r="D79" s="51" t="str">
        <x:v>2025 onward</x:v>
      </x:c>
      <x:c r="E79" s="51" t="str">
        <x:v>Meta; cable suppliers; landing jurisdictions</x:v>
      </x:c>
      <x:c r="F79" s="51" t="str">
        <x:v>Multi-billion-dollar multi-year project</x:v>
      </x:c>
      <x:c r="G79" s="51" t="str">
        <x:v>USD / capacity</x:v>
      </x:c>
      <x:c r="H79" s="51" t="str">
        <x:v>Connect five continents with 24-fibre-pair cable deployments</x:v>
      </x:c>
      <x:c r="I79" s="51" t="str">
        <x:v>E1</x:v>
      </x:c>
      <x:c r="J79" s="51" t="str">
        <x:v>SRC-156</x:v>
      </x:c>
      <x:c r="K79" s="51" t="str">
        <x:v>Development</x:v>
      </x:c>
    </x:row>
    <x:row r="80">
      <x:c r="A80" s="51" t="str">
        <x:v>INS-076</x:v>
      </x:c>
      <x:c r="B80" s="51" t="str">
        <x:v>Sol transatlantic cable</x:v>
      </x:c>
      <x:c r="C80" s="51" t="str">
        <x:v>Submarine cable project</x:v>
      </x:c>
      <x:c r="D80" s="51" t="str">
        <x:v>2025 onward</x:v>
      </x:c>
      <x:c r="E80" s="51" t="str">
        <x:v>Google; landing partners; governments</x:v>
      </x:c>
      <x:c r="F80" s="51" t="str">
        <x:v>Undisclosed</x:v>
      </x:c>
      <x:c r="G80" s="51" t="str">
        <x:v>Capacity</x:v>
      </x:c>
      <x:c r="H80" s="51" t="str">
        <x:v>Add US–Europe capacity and redundancy</x:v>
      </x:c>
      <x:c r="I80" s="51" t="str">
        <x:v>E1</x:v>
      </x:c>
      <x:c r="J80" s="51" t="str">
        <x:v>SRC-157</x:v>
      </x:c>
      <x:c r="K80" s="51" t="str">
        <x:v>Development</x:v>
      </x:c>
    </x:row>
    <x:row r="81">
      <x:c r="A81" s="51" t="str">
        <x:v>INS-077</x:v>
      </x:c>
      <x:c r="B81" s="51" t="str">
        <x:v>Nuvem transatlantic cable</x:v>
      </x:c>
      <x:c r="C81" s="51" t="str">
        <x:v>Submarine cable project</x:v>
      </x:c>
      <x:c r="D81" s="51" t="str">
        <x:v>Ready for service 2026</x:v>
      </x:c>
      <x:c r="E81" s="51" t="str">
        <x:v>Google; Portugal; Bermuda; United States</x:v>
      </x:c>
      <x:c r="F81" s="51" t="str">
        <x:v>Approximately 384 Tbps design capacity reported</x:v>
      </x:c>
      <x:c r="G81" s="51" t="str">
        <x:v>Capacity</x:v>
      </x:c>
      <x:c r="H81" s="51" t="str">
        <x:v>Add US–Europe cloud and AI connectivity</x:v>
      </x:c>
      <x:c r="I81" s="51" t="str">
        <x:v>E1</x:v>
      </x:c>
      <x:c r="J81" s="51" t="str">
        <x:v>SRC-158</x:v>
      </x:c>
      <x:c r="K81" s="51" t="str">
        <x:v>Connected / entering service</x:v>
      </x:c>
    </x:row>
    <x:row r="82">
      <x:c r="A82" s="51" t="str">
        <x:v>INS-078</x:v>
      </x:c>
      <x:c r="B82" s="51" t="str">
        <x:v>US submarine cable landing licence regime</x:v>
      </x:c>
      <x:c r="C82" s="51" t="str">
        <x:v>Infrastructure licensing framework</x:v>
      </x:c>
      <x:c r="D82" s="51" t="str">
        <x:v>Current 2026</x:v>
      </x:c>
      <x:c r="E82" s="51" t="str">
        <x:v>FCC; applicants; landing-station owners; executive-branch reviewers</x:v>
      </x:c>
      <x:c r="F82" s="51" t="str">
        <x:v>System-wide</x:v>
      </x:c>
      <x:c r="G82" s="51" t="str">
        <x:v>N/A</x:v>
      </x:c>
      <x:c r="H82" s="51" t="str">
        <x:v>Authorize and condition ownership and operation of US-landing cables</x:v>
      </x:c>
      <x:c r="I82" s="51" t="str">
        <x:v>E1</x:v>
      </x:c>
      <x:c r="J82" s="51" t="str">
        <x:v>SRC-160</x:v>
      </x:c>
      <x:c r="K82" s="51" t="str">
        <x:v>Active</x:v>
      </x:c>
    </x:row>
    <x:row r="83">
      <x:c r="A83" s="51" t="str">
        <x:v>INS-079</x:v>
      </x:c>
      <x:c r="B83" s="51" t="str">
        <x:v>Joint Warfighting Cloud Capability contracts</x:v>
      </x:c>
      <x:c r="C83" s="51" t="str">
        <x:v>Multi-award defence cloud contract</x:v>
      </x:c>
      <x:c r="D83" s="51" t="str">
        <x:v>2022–2028</x:v>
      </x:c>
      <x:c r="E83" s="51" t="str">
        <x:v>DoD; AWS; Google; Microsoft; Oracle</x:v>
      </x:c>
      <x:c r="F83" s="51" t="str">
        <x:v>$9 billion ceiling across vehicle</x:v>
      </x:c>
      <x:c r="G83" s="51" t="str">
        <x:v>USD</x:v>
      </x:c>
      <x:c r="H83" s="51" t="str">
        <x:v>Cloud services at all classification levels from headquarters to tactical edge</x:v>
      </x:c>
      <x:c r="I83" s="51" t="str">
        <x:v>E1</x:v>
      </x:c>
      <x:c r="J83" s="51" t="str">
        <x:v>SRC-161</x:v>
      </x:c>
      <x:c r="K83" s="51" t="str">
        <x:v>Active</x:v>
      </x:c>
    </x:row>
    <x:row r="84">
      <x:c r="A84" s="51" t="str">
        <x:v>INS-080</x:v>
      </x:c>
      <x:c r="B84" s="51" t="str">
        <x:v>Digital Markets Act gatekeeper obligations</x:v>
      </x:c>
      <x:c r="C84" s="51" t="str">
        <x:v>Digital-platform regulation</x:v>
      </x:c>
      <x:c r="D84" s="51" t="str">
        <x:v>2024 onward</x:v>
      </x:c>
      <x:c r="E84" s="51" t="str">
        <x:v>European Commission; designated gatekeepers</x:v>
      </x:c>
      <x:c r="F84" s="51" t="str">
        <x:v>System-wide; fines possible</x:v>
      </x:c>
      <x:c r="G84" s="51" t="str">
        <x:v>EUR / regulatory</x:v>
      </x:c>
      <x:c r="H84" s="51" t="str">
        <x:v>Make core platform services more contestable and constrain gatekeeper conduct</x:v>
      </x:c>
      <x:c r="I84" s="51" t="str">
        <x:v>E1</x:v>
      </x:c>
      <x:c r="J84" s="51" t="str">
        <x:v>SRC-165; SRC-168</x:v>
      </x:c>
      <x:c r="K84" s="51" t="str">
        <x:v>Active</x:v>
      </x:c>
    </x:row>
    <x:row r="85">
      <x:c r="A85" s="51" t="str">
        <x:v>INS-081</x:v>
      </x:c>
      <x:c r="B85" s="51" t="str">
        <x:v>Apple App Review and distribution rules</x:v>
      </x:c>
      <x:c r="C85" s="51" t="str">
        <x:v>Platform governance rules</x:v>
      </x:c>
      <x:c r="D85" s="51" t="str">
        <x:v>Current 2026</x:v>
      </x:c>
      <x:c r="E85" s="51" t="str">
        <x:v>Apple; developers; users</x:v>
      </x:c>
      <x:c r="F85" s="51" t="str">
        <x:v>Platform-scale commissions and review rights</x:v>
      </x:c>
      <x:c r="G85" s="51" t="str">
        <x:v>USD / digital goods</x:v>
      </x:c>
      <x:c r="H85" s="51" t="str">
        <x:v>Determine eligibility, distribution and business rules for iOS apps</x:v>
      </x:c>
      <x:c r="I85" s="51" t="str">
        <x:v>E1</x:v>
      </x:c>
      <x:c r="J85" s="51" t="str">
        <x:v>SRC-166</x:v>
      </x:c>
      <x:c r="K85" s="51" t="str">
        <x:v>Active</x:v>
      </x:c>
    </x:row>
    <x:row r="86">
      <x:c r="A86" s="51" t="str">
        <x:v>INS-082</x:v>
      </x:c>
      <x:c r="B86" s="51" t="str">
        <x:v>Google Play service-fee and distribution rules</x:v>
      </x:c>
      <x:c r="C86" s="51" t="str">
        <x:v>Platform governance rules</x:v>
      </x:c>
      <x:c r="D86" s="51" t="str">
        <x:v>Current 2026</x:v>
      </x:c>
      <x:c r="E86" s="51" t="str">
        <x:v>Google; developers; users</x:v>
      </x:c>
      <x:c r="F86" s="51" t="str">
        <x:v>Fee tiers and programme-specific rates</x:v>
      </x:c>
      <x:c r="G86" s="51" t="str">
        <x:v>USD / digital goods</x:v>
      </x:c>
      <x:c r="H86" s="51" t="str">
        <x:v>Determine app distribution, billing and platform service fees</x:v>
      </x:c>
      <x:c r="I86" s="51" t="str">
        <x:v>E1</x:v>
      </x:c>
      <x:c r="J86" s="51" t="str">
        <x:v>SRC-167</x:v>
      </x:c>
      <x:c r="K86" s="51" t="str">
        <x:v>Active</x:v>
      </x:c>
    </x:row>
    <x:row r="87">
      <x:c r="A87" s="51" t="str">
        <x:v>INS-083</x:v>
      </x:c>
      <x:c r="B87" s="51" t="str">
        <x:v>MSCI benchmark ecosystem</x:v>
      </x:c>
      <x:c r="C87" s="51" t="str">
        <x:v>Index licensing and methodology</x:v>
      </x:c>
      <x:c r="D87" s="51" t="str">
        <x:v>Current 2026</x:v>
      </x:c>
      <x:c r="E87" s="51" t="str">
        <x:v>MSCI; asset owners; managers; ETF issuers</x:v>
      </x:c>
      <x:c r="F87" s="51" t="str">
        <x:v>$21 trillion AUM benchmarked</x:v>
      </x:c>
      <x:c r="G87" s="51" t="str">
        <x:v>USD</x:v>
      </x:c>
      <x:c r="H87" s="51" t="str">
        <x:v>Define market classifications, constituents and portfolio benchmarks</x:v>
      </x:c>
      <x:c r="I87" s="51" t="str">
        <x:v>E1</x:v>
      </x:c>
      <x:c r="J87" s="51" t="str">
        <x:v>SRC-169</x:v>
      </x:c>
      <x:c r="K87" s="51" t="str">
        <x:v>Active</x:v>
      </x:c>
    </x:row>
    <x:row r="88">
      <x:c r="A88" s="51" t="str">
        <x:v>INS-084</x:v>
      </x:c>
      <x:c r="B88" s="51" t="str">
        <x:v>FTSE Russell benchmark ecosystem</x:v>
      </x:c>
      <x:c r="C88" s="51" t="str">
        <x:v>Index licensing and methodology</x:v>
      </x:c>
      <x:c r="D88" s="51" t="str">
        <x:v>Current 2025–2026</x:v>
      </x:c>
      <x:c r="E88" s="51" t="str">
        <x:v>FTSE Russell; asset owners; managers</x:v>
      </x:c>
      <x:c r="F88" s="51" t="str">
        <x:v>$18.1 trillion benchmarked</x:v>
      </x:c>
      <x:c r="G88" s="51" t="str">
        <x:v>USD</x:v>
      </x:c>
      <x:c r="H88" s="51" t="str">
        <x:v>Define country, size and style classifications used by investment products</x:v>
      </x:c>
      <x:c r="I88" s="51" t="str">
        <x:v>E1</x:v>
      </x:c>
      <x:c r="J88" s="51" t="str">
        <x:v>SRC-170</x:v>
      </x:c>
      <x:c r="K88" s="51" t="str">
        <x:v>Active</x:v>
      </x:c>
    </x:row>
    <x:row r="89">
      <x:c r="A89" s="51" t="str">
        <x:v>INS-085</x:v>
      </x:c>
      <x:c r="B89" s="51" t="str">
        <x:v>S&amp;P 500 benchmark ecosystem</x:v>
      </x:c>
      <x:c r="C89" s="51" t="str">
        <x:v>Index licensing and methodology</x:v>
      </x:c>
      <x:c r="D89" s="51" t="str">
        <x:v>Current</x:v>
      </x:c>
      <x:c r="E89" s="51" t="str">
        <x:v>S&amp;P DJI; asset managers; product issuers</x:v>
      </x:c>
      <x:c r="F89" s="51" t="str">
        <x:v>More than $20 trillion indexed or benchmarked at end-2024</x:v>
      </x:c>
      <x:c r="G89" s="51" t="str">
        <x:v>USD</x:v>
      </x:c>
      <x:c r="H89" s="51" t="str">
        <x:v>Define a dominant large-cap US equity benchmark</x:v>
      </x:c>
      <x:c r="I89" s="51" t="str">
        <x:v>E1</x:v>
      </x:c>
      <x:c r="J89" s="51" t="str">
        <x:v>SRC-171</x:v>
      </x:c>
      <x:c r="K89" s="51" t="str">
        <x:v>Active</x:v>
      </x:c>
    </x:row>
    <x:row r="90">
      <x:c r="A90" s="51" t="str">
        <x:v>INS-086</x:v>
      </x:c>
      <x:c r="B90" s="51" t="str">
        <x:v>ICE Brent benchmark and futures complex</x:v>
      </x:c>
      <x:c r="C90" s="51" t="str">
        <x:v>Commodity benchmark and derivatives</x:v>
      </x:c>
      <x:c r="D90" s="51" t="str">
        <x:v>Ongoing</x:v>
      </x:c>
      <x:c r="E90" s="51" t="str">
        <x:v>ICE; IBA; producers; traders; refiners; investors</x:v>
      </x:c>
      <x:c r="F90" s="51" t="str">
        <x:v>Global benchmark scale</x:v>
      </x:c>
      <x:c r="G90" s="51" t="str">
        <x:v>USD / barrels</x:v>
      </x:c>
      <x:c r="H90" s="51" t="str">
        <x:v>Create reference price and settlement mechanism for seaborne crude</x:v>
      </x:c>
      <x:c r="I90" s="51" t="str">
        <x:v>E1</x:v>
      </x:c>
      <x:c r="J90" s="51" t="str">
        <x:v>SRC-172; SRC-173</x:v>
      </x:c>
      <x:c r="K90" s="51" t="str">
        <x:v>Active</x:v>
      </x:c>
    </x:row>
    <x:row r="91">
      <x:c r="A91" s="51" t="str">
        <x:v>INS-087</x:v>
      </x:c>
      <x:c r="B91" s="51" t="str">
        <x:v>LBMA precious-metals benchmark administration</x:v>
      </x:c>
      <x:c r="C91" s="51" t="str">
        <x:v>Commodity benchmark service</x:v>
      </x:c>
      <x:c r="D91" s="51" t="str">
        <x:v>Ongoing</x:v>
      </x:c>
      <x:c r="E91" s="51" t="str">
        <x:v>IBA; miners; refiners; central banks; investors</x:v>
      </x:c>
      <x:c r="F91" s="51" t="str">
        <x:v>Global benchmark scale</x:v>
      </x:c>
      <x:c r="G91" s="51" t="str">
        <x:v>USD / precious metals</x:v>
      </x:c>
      <x:c r="H91" s="51" t="str">
        <x:v>Publish reference prices used in contracts and valuation</x:v>
      </x:c>
      <x:c r="I91" s="51" t="str">
        <x:v>E1</x:v>
      </x:c>
      <x:c r="J91" s="51" t="str">
        <x:v>SRC-174</x:v>
      </x:c>
      <x:c r="K91" s="51" t="str">
        <x:v>Active</x:v>
      </x:c>
    </x:row>
    <x:row r="92">
      <x:c r="A92" s="51" t="str">
        <x:v>INS-088</x:v>
      </x:c>
      <x:c r="B92" s="51" t="str">
        <x:v>Current US beneficial-ownership reporting rule</x:v>
      </x:c>
      <x:c r="C92" s="51" t="str">
        <x:v>Ownership-transparency regulation</x:v>
      </x:c>
      <x:c r="D92" s="51" t="str">
        <x:v>2025 onward</x:v>
      </x:c>
      <x:c r="E92" s="51" t="str">
        <x:v>FinCEN; foreign reporting companies; exempt domestic entities</x:v>
      </x:c>
      <x:c r="F92" s="51" t="str">
        <x:v>System-wide</x:v>
      </x:c>
      <x:c r="G92" s="51" t="str">
        <x:v>N/A</x:v>
      </x:c>
      <x:c r="H92" s="51" t="str">
        <x:v>Collect BOI from defined foreign entities while exempting domestic US entities and US persons</x:v>
      </x:c>
      <x:c r="I92" s="51" t="str">
        <x:v>E1</x:v>
      </x:c>
      <x:c r="J92" s="51" t="str">
        <x:v>SRC-175</x:v>
      </x:c>
      <x:c r="K92" s="51" t="str">
        <x:v>Active</x:v>
      </x:c>
    </x:row>
    <x:row r="93">
      <x:c r="A93" s="51" t="str">
        <x:v>INS-089</x:v>
      </x:c>
      <x:c r="B93" s="51" t="str">
        <x:v>FATF beneficial-ownership standards</x:v>
      </x:c>
      <x:c r="C93" s="51" t="str">
        <x:v>International regulatory standard</x:v>
      </x:c>
      <x:c r="D93" s="51" t="str">
        <x:v>Current</x:v>
      </x:c>
      <x:c r="E93" s="51" t="str">
        <x:v>FATF; member jurisdictions; companies; trusts</x:v>
      </x:c>
      <x:c r="F93" s="51" t="str">
        <x:v>Global</x:v>
      </x:c>
      <x:c r="G93" s="51" t="str">
        <x:v>N/A</x:v>
      </x:c>
      <x:c r="H93" s="51" t="str">
        <x:v>Require adequate, accurate and timely ownership information through registries or equivalent mechanisms</x:v>
      </x:c>
      <x:c r="I93" s="51" t="str">
        <x:v>E1</x:v>
      </x:c>
      <x:c r="J93" s="51" t="str">
        <x:v>SRC-176; SRC-177</x:v>
      </x:c>
      <x:c r="K93" s="51" t="str">
        <x:v>Implementation varies</x:v>
      </x:c>
    </x:row>
    <x:row r="94">
      <x:c r="A94" s="51" t="str">
        <x:v>INS-090</x:v>
      </x:c>
      <x:c r="B94" s="51" t="str">
        <x:v>PJM 2026 load forecast and large-load integration process</x:v>
      </x:c>
      <x:c r="C94" s="51" t="str">
        <x:v>Grid planning framework</x:v>
      </x:c>
      <x:c r="D94" s="51" t="str">
        <x:v>2026 onward</x:v>
      </x:c>
      <x:c r="E94" s="51" t="str">
        <x:v>PJM; utilities; data centres; ratepayers</x:v>
      </x:c>
      <x:c r="F94" s="51" t="str">
        <x:v>Tens of gigawatts projected growth</x:v>
      </x:c>
      <x:c r="G94" s="51" t="str">
        <x:v>MW / USD</x:v>
      </x:c>
      <x:c r="H94" s="51" t="str">
        <x:v>Plan generation, transmission and allocation for rapidly growing loads</x:v>
      </x:c>
      <x:c r="I94" s="51" t="str">
        <x:v>E1</x:v>
      </x:c>
      <x:c r="J94" s="51" t="str">
        <x:v>SRC-181</x:v>
      </x:c>
      <x:c r="K94" s="51" t="str">
        <x:v>Active</x:v>
      </x:c>
    </x:row>
    <x:row r="95">
      <x:c r="A95" s="51" t="str">
        <x:v>INS-091</x:v>
      </x:c>
      <x:c r="B95" s="51" t="str">
        <x:v>FERC large-load tariff reform proceeding</x:v>
      </x:c>
      <x:c r="C95" s="51" t="str">
        <x:v>Energy regulation</x:v>
      </x:c>
      <x:c r="D95" s="51" t="str">
        <x:v>2026</x:v>
      </x:c>
      <x:c r="E95" s="51" t="str">
        <x:v>FERC; six regional grid operators; large-load customers</x:v>
      </x:c>
      <x:c r="F95" s="51" t="str">
        <x:v>System-wide</x:v>
      </x:c>
      <x:c r="G95" s="51" t="str">
        <x:v>N/A</x:v>
      </x:c>
      <x:c r="H95" s="51" t="str">
        <x:v>Reform tariffs for data centres and other large loads while protecting reliability and ratepayers</x:v>
      </x:c>
      <x:c r="I95" s="51" t="str">
        <x:v>E1</x:v>
      </x:c>
      <x:c r="J95" s="51" t="str">
        <x:v>SRC-182</x:v>
      </x:c>
      <x:c r="K95" s="51" t="str">
        <x:v>Active</x:v>
      </x:c>
    </x:row>
    <x:row r="96">
      <x:c r="A96" s="51" t="str">
        <x:v>INS-092</x:v>
      </x:c>
      <x:c r="B96" s="51" t="str">
        <x:v>DNS root-zone management</x:v>
      </x:c>
      <x:c r="C96" s="51" t="str">
        <x:v>Internet coordination function</x:v>
      </x:c>
      <x:c r="D96" s="51" t="str">
        <x:v>Ongoing</x:v>
      </x:c>
      <x:c r="E96" s="51" t="str">
        <x:v>ICANN/IANA; TLD registries; root server operators</x:v>
      </x:c>
      <x:c r="F96" s="51" t="str">
        <x:v>Global naming system</x:v>
      </x:c>
      <x:c r="G96" s="51" t="str">
        <x:v>N/A</x:v>
      </x:c>
      <x:c r="H96" s="51" t="str">
        <x:v>Delegate top-level domains and maintain trust anchors</x:v>
      </x:c>
      <x:c r="I96" s="51" t="str">
        <x:v>E1</x:v>
      </x:c>
      <x:c r="J96" s="51" t="str">
        <x:v>SRC-183</x:v>
      </x:c>
      <x:c r="K96" s="51" t="str">
        <x:v>Active</x:v>
      </x:c>
    </x:row>
    <x:row r="97">
      <x:c r="A97" s="51" t="str">
        <x:v>INS-093</x:v>
      </x:c>
      <x:c r="B97" s="51" t="str">
        <x:v>Cloudflare 1.1.1.1 DNS service</x:v>
      </x:c>
      <x:c r="C97" s="51" t="str">
        <x:v>Public resolver service</x:v>
      </x:c>
      <x:c r="D97" s="51" t="str">
        <x:v>Ongoing</x:v>
      </x:c>
      <x:c r="E97" s="51" t="str">
        <x:v>Cloudflare; internet users; authoritative DNS operators</x:v>
      </x:c>
      <x:c r="F97" s="51" t="str">
        <x:v>Global service</x:v>
      </x:c>
      <x:c r="G97" s="51" t="str">
        <x:v>Queries</x:v>
      </x:c>
      <x:c r="H97" s="51" t="str">
        <x:v>Resolve domain names and mediate user access to internet destinations</x:v>
      </x:c>
      <x:c r="I97" s="51" t="str">
        <x:v>E1</x:v>
      </x:c>
      <x:c r="J97" s="51" t="str">
        <x:v>SRC-184</x:v>
      </x:c>
      <x:c r="K97" s="51" t="str">
        <x:v>Active</x:v>
      </x:c>
    </x:row>
    <x:row r="98">
      <x:c r="A98" s="51" t="str">
        <x:v>INS-094</x:v>
      </x:c>
      <x:c r="B98" s="51" t="str">
        <x:v>Starshield government architecture</x:v>
      </x:c>
      <x:c r="C98" s="51" t="str">
        <x:v>National-security satellite programme</x:v>
      </x:c>
      <x:c r="D98" s="51" t="str">
        <x:v>Ongoing</x:v>
      </x:c>
      <x:c r="E98" s="51" t="str">
        <x:v>SpaceX; US government customers</x:v>
      </x:c>
      <x:c r="F98" s="51" t="str">
        <x:v>Undisclosed</x:v>
      </x:c>
      <x:c r="G98" s="51" t="str">
        <x:v>USD / satellite capacity</x:v>
      </x:c>
      <x:c r="H98" s="51" t="str">
        <x:v>Provide government communications, hosted payloads and earth observation</x:v>
      </x:c>
      <x:c r="I98" s="51" t="str">
        <x:v>E1</x:v>
      </x:c>
      <x:c r="J98" s="51" t="str">
        <x:v>SRC-185</x:v>
      </x:c>
      <x:c r="K98" s="51" t="str">
        <x:v>Active</x:v>
      </x:c>
    </x:row>
    <x:row r="99">
      <x:c r="A99" s="51" t="str">
        <x:v>INS-095</x:v>
      </x:c>
      <x:c r="B99" s="51" t="str">
        <x:v>WIPO GenAI patent landscape</x:v>
      </x:c>
      <x:c r="C99" s="51" t="str">
        <x:v>Patent analytics publication</x:v>
      </x:c>
      <x:c r="D99" s="51" t="str">
        <x:v>2014–2025 data</x:v>
      </x:c>
      <x:c r="E99" s="51" t="str">
        <x:v>WIPO; patent offices; applicants</x:v>
      </x:c>
      <x:c r="F99" s="51" t="str">
        <x:v>54,000 inventions in decade through 2023; 37,808 GenAI inventions published in 2025</x:v>
      </x:c>
      <x:c r="G99" s="51" t="str">
        <x:v>Patent families</x:v>
      </x:c>
      <x:c r="H99" s="51" t="str">
        <x:v>Map invention geography, applicants and technology fields</x:v>
      </x:c>
      <x:c r="I99" s="51" t="str">
        <x:v>E1</x:v>
      </x:c>
      <x:c r="J99" s="51" t="str">
        <x:v>SRC-187; SRC-188; SRC-189</x:v>
      </x:c>
      <x:c r="K99" s="51" t="str">
        <x:v>Published and updated</x:v>
      </x:c>
    </x:row>
    <x:row r="100">
      <x:c r="A100" s="51" t="str">
        <x:v>INS-096</x:v>
      </x:c>
      <x:c r="B100" s="51" t="str">
        <x:v>Arm licensing and royalty model</x:v>
      </x:c>
      <x:c r="C100" s="51" t="str">
        <x:v>IP licence and royalty system</x:v>
      </x:c>
      <x:c r="D100" s="51" t="str">
        <x:v>FYE26</x:v>
      </x:c>
      <x:c r="E100" s="51" t="str">
        <x:v>Arm; licensees; Arm China</x:v>
      </x:c>
      <x:c r="F100" s="51" t="str">
        <x:v>$2.31bn licensing revenue and $2.61bn royalty revenue in FYE26</x:v>
      </x:c>
      <x:c r="G100" s="51" t="str">
        <x:v>USD</x:v>
      </x:c>
      <x:c r="H100" s="51" t="str">
        <x:v>License processor IP and collect per-unit royalties</x:v>
      </x:c>
      <x:c r="I100" s="51" t="str">
        <x:v>E1</x:v>
      </x:c>
      <x:c r="J100" s="51" t="str">
        <x:v>SRC-190; SRC-191</x:v>
      </x:c>
      <x:c r="K100" s="51" t="str">
        <x:v>Active</x:v>
      </x:c>
    </x:row>
    <x:row r="101">
      <x:c r="A101" s="51" t="str">
        <x:v>INS-097</x:v>
      </x:c>
      <x:c r="B101" s="51" t="str">
        <x:v>RISC-V open ISA governance</x:v>
      </x:c>
      <x:c r="C101" s="51" t="str">
        <x:v>Open technical standard</x:v>
      </x:c>
      <x:c r="D101" s="51" t="str">
        <x:v>Ongoing</x:v>
      </x:c>
      <x:c r="E101" s="51" t="str">
        <x:v>RISC-V International; members; implementers</x:v>
      </x:c>
      <x:c r="F101" s="51" t="str">
        <x:v>4,200+ members across 70 countries reported in 2024; 2025 ISO/IEC PAS submitter milestone</x:v>
      </x:c>
      <x:c r="G101" s="51" t="str">
        <x:v>Specifications</x:v>
      </x:c>
      <x:c r="H101" s="51" t="str">
        <x:v>Maintain a free, globally governed instruction-set standard</x:v>
      </x:c>
      <x:c r="I101" s="51" t="str">
        <x:v>E1</x:v>
      </x:c>
      <x:c r="J101" s="51" t="str">
        <x:v>SRC-192; SRC-193</x:v>
      </x:c>
      <x:c r="K101" s="51" t="str">
        <x:v>Active</x:v>
      </x:c>
    </x:row>
    <x:row r="102">
      <x:c r="A102" s="51" t="str">
        <x:v>INS-098</x:v>
      </x:c>
      <x:c r="B102" s="51" t="str">
        <x:v>ISO/IEC AI standards programme</x:v>
      </x:c>
      <x:c r="C102" s="51" t="str">
        <x:v>International standards programme</x:v>
      </x:c>
      <x:c r="D102" s="51" t="str">
        <x:v>Ongoing</x:v>
      </x:c>
      <x:c r="E102" s="51" t="str">
        <x:v>ISO; IEC; national bodies; SC 42 experts</x:v>
      </x:c>
      <x:c r="F102" s="51" t="str">
        <x:v>Committee-scale</x:v>
      </x:c>
      <x:c r="G102" s="51" t="str">
        <x:v>Standards</x:v>
      </x:c>
      <x:c r="H102" s="51" t="str">
        <x:v>Develop cross-sector AI terminology, risk, governance and technical standards</x:v>
      </x:c>
      <x:c r="I102" s="51" t="str">
        <x:v>E1</x:v>
      </x:c>
      <x:c r="J102" s="51" t="str">
        <x:v>SRC-194</x:v>
      </x:c>
      <x:c r="K102" s="51" t="str">
        <x:v>Active</x:v>
      </x:c>
    </x:row>
    <x:row r="103">
      <x:c r="A103" s="51" t="str">
        <x:v>INS-099</x:v>
      </x:c>
      <x:c r="B103" s="51" t="str">
        <x:v>NIST AI Risk Management Framework</x:v>
      </x:c>
      <x:c r="C103" s="51" t="str">
        <x:v>Voluntary risk-management framework</x:v>
      </x:c>
      <x:c r="D103" s="51" t="str">
        <x:v>2023–present</x:v>
      </x:c>
      <x:c r="E103" s="51" t="str">
        <x:v>NIST; public and private users</x:v>
      </x:c>
      <x:c r="F103" s="51" t="str">
        <x:v>Cross-sectoral</x:v>
      </x:c>
      <x:c r="G103" s="51" t="str">
        <x:v>Framework</x:v>
      </x:c>
      <x:c r="H103" s="51" t="str">
        <x:v>Organise AI risk governance, mapping, measurement and management</x:v>
      </x:c>
      <x:c r="I103" s="51" t="str">
        <x:v>E1</x:v>
      </x:c>
      <x:c r="J103" s="51" t="str">
        <x:v>SRC-195; SRC-196</x:v>
      </x:c>
      <x:c r="K103" s="51" t="str">
        <x:v>Active</x:v>
      </x:c>
    </x:row>
    <x:row r="104">
      <x:c r="A104" s="51" t="str">
        <x:v>INS-100</x:v>
      </x:c>
      <x:c r="B104" s="51" t="str">
        <x:v>IEEE 7000 and CertifAIEd framework</x:v>
      </x:c>
      <x:c r="C104" s="51" t="str">
        <x:v>Standards and certification programme</x:v>
      </x:c>
      <x:c r="D104" s="51" t="str">
        <x:v>Ongoing</x:v>
      </x:c>
      <x:c r="E104" s="51" t="str">
        <x:v>IEEE SA; assessors; organisations</x:v>
      </x:c>
      <x:c r="F104" s="51" t="str">
        <x:v>100+ AI-related standards portfolio stated by IEEE</x:v>
      </x:c>
      <x:c r="G104" s="51" t="str">
        <x:v>Standards / certification</x:v>
      </x:c>
      <x:c r="H104" s="51" t="str">
        <x:v>Translate ethical values into requirements and assess implementation</x:v>
      </x:c>
      <x:c r="I104" s="51" t="str">
        <x:v>E1</x:v>
      </x:c>
      <x:c r="J104" s="51" t="str">
        <x:v>SRC-198; SRC-199</x:v>
      </x:c>
      <x:c r="K104" s="51" t="str">
        <x:v>Active</x:v>
      </x:c>
    </x:row>
    <x:row r="105">
      <x:c r="A105" s="51" t="str">
        <x:v>INS-101</x:v>
      </x:c>
      <x:c r="B105" s="51" t="str">
        <x:v>ETSI Securing AI standards set</x:v>
      </x:c>
      <x:c r="C105" s="51" t="str">
        <x:v>Technical standards programme</x:v>
      </x:c>
      <x:c r="D105" s="51" t="str">
        <x:v>2025–2026</x:v>
      </x:c>
      <x:c r="E105" s="51" t="str">
        <x:v>ETSI; AI developers; platform operators; conformity assessors</x:v>
      </x:c>
      <x:c r="F105" s="51" t="str">
        <x:v>Multiple standards</x:v>
      </x:c>
      <x:c r="G105" s="51" t="str">
        <x:v>Standards</x:v>
      </x:c>
      <x:c r="H105" s="51" t="str">
        <x:v>Define AI lifecycle security, computing-platform controls and continuous compliance</x:v>
      </x:c>
      <x:c r="I105" s="51" t="str">
        <x:v>E1</x:v>
      </x:c>
      <x:c r="J105" s="51" t="str">
        <x:v>SRC-200; SRC-201; SRC-202</x:v>
      </x:c>
      <x:c r="K105" s="51" t="str">
        <x:v>Active</x:v>
      </x:c>
    </x:row>
    <x:row r="106">
      <x:c r="A106" s="51" t="str">
        <x:v>INS-102</x:v>
      </x:c>
      <x:c r="B106" s="51" t="str">
        <x:v>3GPP Release 21 / first normative 6G programme</x:v>
      </x:c>
      <x:c r="C106" s="51" t="str">
        <x:v>Telecommunications standards programme</x:v>
      </x:c>
      <x:c r="D106" s="51" t="str">
        <x:v>2026 onward</x:v>
      </x:c>
      <x:c r="E106" s="51" t="str">
        <x:v>3GPP partners; operators; vendors; governments</x:v>
      </x:c>
      <x:c r="F106" s="51" t="str">
        <x:v>Global standards programme</x:v>
      </x:c>
      <x:c r="G106" s="51" t="str">
        <x:v>Specifications</x:v>
      </x:c>
      <x:c r="H106" s="51" t="str">
        <x:v>Develop common radio, core and service specifications for 6G</x:v>
      </x:c>
      <x:c r="I106" s="51" t="str">
        <x:v>E1</x:v>
      </x:c>
      <x:c r="J106" s="51" t="str">
        <x:v>SRC-203; SRC-204</x:v>
      </x:c>
      <x:c r="K106" s="51" t="str">
        <x:v>Development</x:v>
      </x:c>
    </x:row>
    <x:row r="107">
      <x:c r="A107" s="51" t="str">
        <x:v>INS-103</x:v>
      </x:c>
      <x:c r="B107" s="51" t="str">
        <x:v>NAIRR public-private research infrastructure</x:v>
      </x:c>
      <x:c r="C107" s="51" t="str">
        <x:v>Research-resource programme</x:v>
      </x:c>
      <x:c r="D107" s="51" t="str">
        <x:v>2024 onward</x:v>
      </x:c>
      <x:c r="E107" s="51" t="str">
        <x:v>NSF; 14 other federal agencies; 28 private-sector partners; researchers</x:v>
      </x:c>
      <x:c r="F107" s="51" t="str">
        <x:v>Resource contributions and programme awards</x:v>
      </x:c>
      <x:c r="G107" s="51" t="str">
        <x:v>Compute / data / models / funding</x:v>
      </x:c>
      <x:c r="H107" s="51" t="str">
        <x:v>Expand research access beyond frontier companies and wealthy universities</x:v>
      </x:c>
      <x:c r="I107" s="51" t="str">
        <x:v>E1</x:v>
      </x:c>
      <x:c r="J107" s="51" t="str">
        <x:v>SRC-205; SRC-206; SRC-207</x:v>
      </x:c>
      <x:c r="K107" s="51" t="str">
        <x:v>Pilot transitioning to sustained capability</x:v>
      </x:c>
    </x:row>
    <x:row r="108">
      <x:c r="A108" s="51" t="str">
        <x:v>INS-104</x:v>
      </x:c>
      <x:c r="B108" s="51" t="str">
        <x:v>AI Forge</x:v>
      </x:c>
      <x:c r="C108" s="51" t="str">
        <x:v>Mission-oriented research programme</x:v>
      </x:c>
      <x:c r="D108" s="51" t="str">
        <x:v>2026 onward</x:v>
      </x:c>
      <x:c r="E108" s="51" t="str">
        <x:v>DARPA; NSF; NIST CAISI; universities; frontier labs; defence and intelligence agencies</x:v>
      </x:c>
      <x:c r="F108" s="51" t="str">
        <x:v>Programme funding to be established</x:v>
      </x:c>
      <x:c r="G108" s="51" t="str">
        <x:v>USD / compute / models</x:v>
      </x:c>
      <x:c r="H108" s="51" t="str">
        <x:v>Fund university-led interpretability, control and adversarial-robustness research</x:v>
      </x:c>
      <x:c r="I108" s="51" t="str">
        <x:v>E1</x:v>
      </x:c>
      <x:c r="J108" s="51" t="str">
        <x:v>SRC-208</x:v>
      </x:c>
      <x:c r="K108" s="51" t="str">
        <x:v>Launching</x:v>
      </x:c>
    </x:row>
    <x:row r="109">
      <x:c r="A109" s="51" t="str">
        <x:v>INS-105</x:v>
      </x:c>
      <x:c r="B109" s="51" t="str">
        <x:v>US AI talent pathways</x:v>
      </x:c>
      <x:c r="C109" s="51" t="str">
        <x:v>Immigration and employment framework</x:v>
      </x:c>
      <x:c r="D109" s="51" t="str">
        <x:v>Current 2026</x:v>
      </x:c>
      <x:c r="E109" s="51" t="str">
        <x:v>USCIS; employers; universities; foreign workers and founders</x:v>
      </x:c>
      <x:c r="F109" s="51" t="str">
        <x:v>Programme-specific caps and criteria</x:v>
      </x:c>
      <x:c r="G109" s="51" t="str">
        <x:v>Visas / work authorisation</x:v>
      </x:c>
      <x:c r="H109" s="51" t="str">
        <x:v>Admit and retain specialty workers, graduates, extraordinary talent and founders</x:v>
      </x:c>
      <x:c r="I109" s="51" t="str">
        <x:v>E1</x:v>
      </x:c>
      <x:c r="J109" s="51" t="str">
        <x:v>SRC-210; SRC-211; SRC-212; SRC-213</x:v>
      </x:c>
      <x:c r="K109" s="51" t="str">
        <x:v>Active</x:v>
      </x:c>
    </x:row>
    <x:row r="110">
      <x:c r="A110" s="51" t="str">
        <x:v>INS-106</x:v>
      </x:c>
      <x:c r="B110" s="51" t="str">
        <x:v>OpenAI Q4 2025 self-lobbying disclosure</x:v>
      </x:c>
      <x:c r="C110" s="51" t="str">
        <x:v>Federal lobbying activity</x:v>
      </x:c>
      <x:c r="D110" s="51" t="str">
        <x:v>2025 Q4</x:v>
      </x:c>
      <x:c r="E110" s="51" t="str">
        <x:v>OpenAI; Congress; White House; Commerce; Labor</x:v>
      </x:c>
      <x:c r="F110" s="51" t="str">
        <x:v>$890,000 reported expense</x:v>
      </x:c>
      <x:c r="G110" s="51" t="str">
        <x:v>USD</x:v>
      </x:c>
      <x:c r="H110" s="51" t="str">
        <x:v>Lobby on AI, cloud infrastructure, cybersecurity, copyright and privacy</x:v>
      </x:c>
      <x:c r="I110" s="51" t="str">
        <x:v>E1</x:v>
      </x:c>
      <x:c r="J110" s="51" t="str">
        <x:v>SRC-214</x:v>
      </x:c>
      <x:c r="K110" s="51" t="str">
        <x:v>Filed</x:v>
      </x:c>
    </x:row>
    <x:row r="111">
      <x:c r="A111" s="51" t="str">
        <x:v>INS-107</x:v>
      </x:c>
      <x:c r="B111" s="51" t="str">
        <x:v>OpenAI Miller Strategies Q3 2025 engagement</x:v>
      </x:c>
      <x:c r="C111" s="51" t="str">
        <x:v>External lobbying engagement</x:v>
      </x:c>
      <x:c r="D111" s="51" t="str">
        <x:v>2025 Q3</x:v>
      </x:c>
      <x:c r="E111" s="51" t="str">
        <x:v>OpenAI; Miller Strategies; federal policymakers</x:v>
      </x:c>
      <x:c r="F111" s="51" t="str">
        <x:v>$150,000 reported income</x:v>
      </x:c>
      <x:c r="G111" s="51" t="str">
        <x:v>USD</x:v>
      </x:c>
      <x:c r="H111" s="51" t="str">
        <x:v>Lobby on AI research and deployment</x:v>
      </x:c>
      <x:c r="I111" s="51" t="str">
        <x:v>E1</x:v>
      </x:c>
      <x:c r="J111" s="51" t="str">
        <x:v>SRC-215</x:v>
      </x:c>
      <x:c r="K111" s="51" t="str">
        <x:v>Filed</x:v>
      </x:c>
    </x:row>
    <x:row r="112">
      <x:c r="A112" s="51" t="str">
        <x:v>INS-108</x:v>
      </x:c>
      <x:c r="B112" s="51" t="str">
        <x:v>Nvidia BGR Q1 2026 engagement</x:v>
      </x:c>
      <x:c r="C112" s="51" t="str">
        <x:v>External lobbying engagement</x:v>
      </x:c>
      <x:c r="D112" s="51" t="str">
        <x:v>2026 Q1</x:v>
      </x:c>
      <x:c r="E112" s="51" t="str">
        <x:v>Nvidia; BGR Government Affairs; Congress</x:v>
      </x:c>
      <x:c r="F112" s="51" t="str">
        <x:v>$120,000 reported income</x:v>
      </x:c>
      <x:c r="G112" s="51" t="str">
        <x:v>USD</x:v>
      </x:c>
      <x:c r="H112" s="51" t="str">
        <x:v>Advocate on semiconductor trade and artificial intelligence</x:v>
      </x:c>
      <x:c r="I112" s="51" t="str">
        <x:v>E1</x:v>
      </x:c>
      <x:c r="J112" s="51" t="str">
        <x:v>SRC-216</x:v>
      </x:c>
      <x:c r="K112" s="51" t="str">
        <x:v>Filed</x:v>
      </x:c>
    </x:row>
    <x:row r="113">
      <x:c r="A113" s="51" t="str">
        <x:v>INS-109</x:v>
      </x:c>
      <x:c r="B113" s="51" t="str">
        <x:v>Nvidia Tiber Creek Q3 2025 engagement</x:v>
      </x:c>
      <x:c r="C113" s="51" t="str">
        <x:v>External lobbying engagement</x:v>
      </x:c>
      <x:c r="D113" s="51" t="str">
        <x:v>2025 Q3</x:v>
      </x:c>
      <x:c r="E113" s="51" t="str">
        <x:v>Nvidia; Tiber Creek Group; Congress</x:v>
      </x:c>
      <x:c r="F113" s="51" t="str">
        <x:v>$80,000 reported income</x:v>
      </x:c>
      <x:c r="G113" s="51" t="str">
        <x:v>USD</x:v>
      </x:c>
      <x:c r="H113" s="51" t="str">
        <x:v>Lobby on semiconductor trade, AI and defence legislation</x:v>
      </x:c>
      <x:c r="I113" s="51" t="str">
        <x:v>E1</x:v>
      </x:c>
      <x:c r="J113" s="51" t="str">
        <x:v>SRC-217</x:v>
      </x:c>
      <x:c r="K113" s="51" t="str">
        <x:v>Filed</x:v>
      </x:c>
    </x:row>
    <x:row r="114">
      <x:c r="A114" s="51" t="str">
        <x:v>INS-110</x:v>
      </x:c>
      <x:c r="B114" s="51" t="str">
        <x:v>Anthropic Continental Strategy engagements</x:v>
      </x:c>
      <x:c r="C114" s="51" t="str">
        <x:v>External lobbying engagements</x:v>
      </x:c>
      <x:c r="D114" s="51" t="str">
        <x:v>2025–2026</x:v>
      </x:c>
      <x:c r="E114" s="51" t="str">
        <x:v>Anthropic; Continental Strategy; federal policymakers</x:v>
      </x:c>
      <x:c r="F114" s="51" t="str">
        <x:v>$300,000 reported across Q1 and Q2 2026, plus 2025 filings</x:v>
      </x:c>
      <x:c r="G114" s="51" t="str">
        <x:v>USD</x:v>
      </x:c>
      <x:c r="H114" s="51" t="str">
        <x:v>Federal policy advocacy</x:v>
      </x:c>
      <x:c r="I114" s="51" t="str">
        <x:v>E1</x:v>
      </x:c>
      <x:c r="J114" s="51" t="str">
        <x:v>SRC-218</x:v>
      </x:c>
      <x:c r="K114" s="51" t="str">
        <x:v>Filed</x:v>
      </x:c>
    </x:row>
    <x:row r="115">
      <x:c r="A115" s="51" t="str">
        <x:v>INS-111</x:v>
      </x:c>
      <x:c r="B115" s="51" t="str">
        <x:v>Applied Materials Continental Strategy engagements</x:v>
      </x:c>
      <x:c r="C115" s="51" t="str">
        <x:v>External lobbying engagements</x:v>
      </x:c>
      <x:c r="D115" s="51" t="str">
        <x:v>2025–2026</x:v>
      </x:c>
      <x:c r="E115" s="51" t="str">
        <x:v>Applied Materials; Continental Strategy; federal policymakers</x:v>
      </x:c>
      <x:c r="F115" s="51" t="str">
        <x:v>$180,000 reported across Q1 and Q2 2026, plus 2025 filings</x:v>
      </x:c>
      <x:c r="G115" s="51" t="str">
        <x:v>USD</x:v>
      </x:c>
      <x:c r="H115" s="51" t="str">
        <x:v>Semiconductor and industrial policy advocacy</x:v>
      </x:c>
      <x:c r="I115" s="51" t="str">
        <x:v>E1</x:v>
      </x:c>
      <x:c r="J115" s="51" t="str">
        <x:v>SRC-218</x:v>
      </x:c>
      <x:c r="K115" s="51" t="str">
        <x:v>Filed</x:v>
      </x:c>
    </x:row>
    <x:row r="116">
      <x:c r="A116" s="51" t="str">
        <x:v>INS-112</x:v>
      </x:c>
      <x:c r="B116" s="51" t="str">
        <x:v>Meta external lobbying engagements</x:v>
      </x:c>
      <x:c r="C116" s="51" t="str">
        <x:v>External lobbying engagements</x:v>
      </x:c>
      <x:c r="D116" s="51" t="str">
        <x:v>2025–2026</x:v>
      </x:c>
      <x:c r="E116" s="51" t="str">
        <x:v>Meta; 535 Group; Elevate Government Affairs; federal policymakers</x:v>
      </x:c>
      <x:c r="F116" s="51" t="str">
        <x:v>$30,000 and $50,000 quarterly engagements in cited filings</x:v>
      </x:c>
      <x:c r="G116" s="51" t="str">
        <x:v>USD</x:v>
      </x:c>
      <x:c r="H116" s="51" t="str">
        <x:v>Federal policy advocacy</x:v>
      </x:c>
      <x:c r="I116" s="51" t="str">
        <x:v>E1</x:v>
      </x:c>
      <x:c r="J116" s="51" t="str">
        <x:v>SRC-219</x:v>
      </x:c>
      <x:c r="K116" s="51" t="str">
        <x:v>Filed</x:v>
      </x:c>
    </x:row>
    <x:row r="117">
      <x:c r="A117" s="51" t="str">
        <x:v>INS-113</x:v>
      </x:c>
      <x:c r="B117" s="51" t="str">
        <x:v>OpenAI external lobbying-firm network</x:v>
      </x:c>
      <x:c r="C117" s="51" t="str">
        <x:v>External lobbying engagements</x:v>
      </x:c>
      <x:c r="D117" s="51" t="str">
        <x:v>2025–2026</x:v>
      </x:c>
      <x:c r="E117" s="51" t="str">
        <x:v>OpenAI; Akin Gump; Mercury; Miller Strategies; other firms</x:v>
      </x:c>
      <x:c r="F117" s="51" t="str">
        <x:v>Firm- and quarter-specific</x:v>
      </x:c>
      <x:c r="G117" s="51" t="str">
        <x:v>USD</x:v>
      </x:c>
      <x:c r="H117" s="51" t="str">
        <x:v>AI, infrastructure, copyright and deployment policy advocacy</x:v>
      </x:c>
      <x:c r="I117" s="51" t="str">
        <x:v>E1</x:v>
      </x:c>
      <x:c r="J117" s="51" t="str">
        <x:v>SRC-215; SRC-220</x:v>
      </x:c>
      <x:c r="K117" s="51" t="str">
        <x:v>Active / filed</x:v>
      </x:c>
    </x:row>
    <x:row r="118">
      <x:c r="A118" s="51" t="str">
        <x:v>INS-114</x:v>
      </x:c>
      <x:c r="B118" s="51" t="str">
        <x:v>Delaware corporate-law and registry system</x:v>
      </x:c>
      <x:c r="C118" s="51" t="str">
        <x:v>Corporate legal infrastructure</x:v>
      </x:c>
      <x:c r="D118" s="51" t="str">
        <x:v>2025</x:v>
      </x:c>
      <x:c r="E118" s="51" t="str">
        <x:v>Delaware; corporations; investors; courts</x:v>
      </x:c>
      <x:c r="F118" s="51" t="str">
        <x:v>2,287,728 active entities; 334,461 formations in 2025</x:v>
      </x:c>
      <x:c r="G118" s="51" t="str">
        <x:v>Entities / USD fees</x:v>
      </x:c>
      <x:c r="H118" s="51" t="str">
        <x:v>Provide entity formation, governance law, filing and business-court infrastructure</x:v>
      </x:c>
      <x:c r="I118" s="51" t="str">
        <x:v>E1</x:v>
      </x:c>
      <x:c r="J118" s="51" t="str">
        <x:v>SRC-221; SRC-222; SRC-223; SRC-224</x:v>
      </x:c>
      <x:c r="K118" s="51" t="str">
        <x:v>Active</x:v>
      </x:c>
    </x:row>
    <x:row r="119">
      <x:c r="A119" s="51" t="str">
        <x:v>INS-115</x:v>
      </x:c>
      <x:c r="B119" s="51" t="str">
        <x:v>DGCL board-management framework</x:v>
      </x:c>
      <x:c r="C119" s="51" t="str">
        <x:v>Corporate governance rule</x:v>
      </x:c>
      <x:c r="D119" s="51" t="str">
        <x:v>Current</x:v>
      </x:c>
      <x:c r="E119" s="51" t="str">
        <x:v>Delaware corporations; boards; stockholders</x:v>
      </x:c>
      <x:c r="F119" s="51" t="str">
        <x:v>System-wide</x:v>
      </x:c>
      <x:c r="G119" s="51" t="str">
        <x:v>Governance rights</x:v>
      </x:c>
      <x:c r="H119" s="51" t="str">
        <x:v>Allocate management authority to boards subject to statutes and governing documents</x:v>
      </x:c>
      <x:c r="I119" s="51" t="str">
        <x:v>E1</x:v>
      </x:c>
      <x:c r="J119" s="51" t="str">
        <x:v>SRC-222</x:v>
      </x:c>
      <x:c r="K119" s="51" t="str">
        <x:v>Active</x:v>
      </x:c>
    </x:row>
    <x:row r="120">
      <x:c r="A120" s="51" t="str">
        <x:v>INS-116</x:v>
      </x:c>
      <x:c r="B120" s="51" t="str">
        <x:v>Glass Lewis 2026 US benchmark policy</x:v>
      </x:c>
      <x:c r="C120" s="51" t="str">
        <x:v>Proxy research framework</x:v>
      </x:c>
      <x:c r="D120" s="51" t="str">
        <x:v>2026 proxy season</x:v>
      </x:c>
      <x:c r="E120" s="51" t="str">
        <x:v>Glass Lewis; investor clients; US issuers</x:v>
      </x:c>
      <x:c r="F120" s="51" t="str">
        <x:v>Market-wide</x:v>
      </x:c>
      <x:c r="G120" s="51" t="str">
        <x:v>Voting recommendations</x:v>
      </x:c>
      <x:c r="H120" s="51" t="str">
        <x:v>Apply published governance criteria to board, pay and shareholder proposals</x:v>
      </x:c>
      <x:c r="I120" s="51" t="str">
        <x:v>E1</x:v>
      </x:c>
      <x:c r="J120" s="51" t="str">
        <x:v>SRC-225</x:v>
      </x:c>
      <x:c r="K120" s="51" t="str">
        <x:v>Active</x:v>
      </x:c>
    </x:row>
    <x:row r="121">
      <x:c r="A121" s="51" t="str">
        <x:v>INS-117</x:v>
      </x:c>
      <x:c r="B121" s="51" t="str">
        <x:v>Investment adviser proxy-voting rule</x:v>
      </x:c>
      <x:c r="C121" s="51" t="str">
        <x:v>Fiduciary and disclosure rule</x:v>
      </x:c>
      <x:c r="D121" s="51" t="str">
        <x:v>Current</x:v>
      </x:c>
      <x:c r="E121" s="51" t="str">
        <x:v>SEC; investment advisers; clients</x:v>
      </x:c>
      <x:c r="F121" s="51" t="str">
        <x:v>System-wide</x:v>
      </x:c>
      <x:c r="G121" s="51" t="str">
        <x:v>Voting authority</x:v>
      </x:c>
      <x:c r="H121" s="51" t="str">
        <x:v>Require advisers exercising proxy authority to use policies designed for client interests and maintain disclosures</x:v>
      </x:c>
      <x:c r="I121" s="51" t="str">
        <x:v>E1</x:v>
      </x:c>
      <x:c r="J121" s="51" t="str">
        <x:v>SRC-226; SRC-227</x:v>
      </x:c>
      <x:c r="K121" s="51" t="str">
        <x:v>Active</x:v>
      </x:c>
    </x:row>
    <x:row r="122">
      <x:c r="A122" s="51" t="str">
        <x:v>INS-118</x:v>
      </x:c>
      <x:c r="B122" s="51" t="str">
        <x:v>DTC nominee and book-entry ownership structure</x:v>
      </x:c>
      <x:c r="C122" s="51" t="str">
        <x:v>Securities custody and record-ownership system</x:v>
      </x:c>
      <x:c r="D122" s="51" t="str">
        <x:v>2025</x:v>
      </x:c>
      <x:c r="E122" s="51" t="str">
        <x:v>DTC; Cede &amp; Co.; participants; beneficial owners</x:v>
      </x:c>
      <x:c r="F122" s="51" t="str">
        <x:v>Market-wide</x:v>
      </x:c>
      <x:c r="G122" s="51" t="str">
        <x:v>Securities positions and voting entitlements</x:v>
      </x:c>
      <x:c r="H122" s="51" t="str">
        <x:v>Hold securities in nominee name while passing economic and voting instructions through intermediaries</x:v>
      </x:c>
      <x:c r="I122" s="51" t="str">
        <x:v>E1</x:v>
      </x:c>
      <x:c r="J122" s="51" t="str">
        <x:v>SRC-228; SRC-229</x:v>
      </x:c>
      <x:c r="K122" s="51" t="str">
        <x:v>Active</x:v>
      </x:c>
    </x:row>
    <x:row r="123">
      <x:c r="A123" s="51" t="str">
        <x:v>INS-119</x:v>
      </x:c>
      <x:c r="B123" s="51" t="str">
        <x:v>UCC Article 9 secured-transactions framework</x:v>
      </x:c>
      <x:c r="C123" s="51" t="str">
        <x:v>Commercial-law framework</x:v>
      </x:c>
      <x:c r="D123" s="51" t="str">
        <x:v>Current</x:v>
      </x:c>
      <x:c r="E123" s="51" t="str">
        <x:v>Debtors; secured creditors; state filing offices</x:v>
      </x:c>
      <x:c r="F123" s="51" t="str">
        <x:v>765,136 Delaware UCC transactions in 2025 within Delaware registry statistics</x:v>
      </x:c>
      <x:c r="G123" s="51" t="str">
        <x:v>Security interests</x:v>
      </x:c>
      <x:c r="H123" s="51" t="str">
        <x:v>Create, perfect and prioritise security interests in personal property</x:v>
      </x:c>
      <x:c r="I123" s="51" t="str">
        <x:v>E1</x:v>
      </x:c>
      <x:c r="J123" s="51" t="str">
        <x:v>SRC-221; SRC-230</x:v>
      </x:c>
      <x:c r="K123" s="51" t="str">
        <x:v>Active</x:v>
      </x:c>
    </x:row>
    <x:row r="124">
      <x:c r="A124" s="51" t="str">
        <x:v>INS-120</x:v>
      </x:c>
      <x:c r="B124" s="51" t="str">
        <x:v>Chapter 11 debtor-in-possession framework</x:v>
      </x:c>
      <x:c r="C124" s="51" t="str">
        <x:v>Bankruptcy reorganisation process</x:v>
      </x:c>
      <x:c r="D124" s="51" t="str">
        <x:v>Current</x:v>
      </x:c>
      <x:c r="E124" s="51" t="str">
        <x:v>Debtors; courts; trustees; creditors</x:v>
      </x:c>
      <x:c r="F124" s="51" t="str">
        <x:v>Case-specific</x:v>
      </x:c>
      <x:c r="G124" s="51" t="str">
        <x:v>Bankruptcy claims and estate property</x:v>
      </x:c>
      <x:c r="H124" s="51" t="str">
        <x:v>Keep businesses operating under court supervision while negotiating a plan</x:v>
      </x:c>
      <x:c r="I124" s="51" t="str">
        <x:v>E1</x:v>
      </x:c>
      <x:c r="J124" s="51" t="str">
        <x:v>SRC-231; SRC-232</x:v>
      </x:c>
      <x:c r="K124" s="51" t="str">
        <x:v>Active</x:v>
      </x:c>
    </x:row>
    <x:row r="125">
      <x:c r="A125" s="51" t="str">
        <x:v>INS-121</x:v>
      </x:c>
      <x:c r="B125" s="51" t="str">
        <x:v>Official unsecured creditors committee</x:v>
      </x:c>
      <x:c r="C125" s="51" t="str">
        <x:v>Bankruptcy governance mechanism</x:v>
      </x:c>
      <x:c r="D125" s="51" t="str">
        <x:v>Current</x:v>
      </x:c>
      <x:c r="E125" s="51" t="str">
        <x:v>US Trustee; major unsecured creditors; professionals</x:v>
      </x:c>
      <x:c r="F125" s="51" t="str">
        <x:v>Usually 7–15 members according to UST guidance</x:v>
      </x:c>
      <x:c r="G125" s="51" t="str">
        <x:v>Claims and representation</x:v>
      </x:c>
      <x:c r="H125" s="51" t="str">
        <x:v>Represent unsecured creditors and investigate debtor conduct and plans</x:v>
      </x:c>
      <x:c r="I125" s="51" t="str">
        <x:v>E1</x:v>
      </x:c>
      <x:c r="J125" s="51" t="str">
        <x:v>SRC-231; SRC-232</x:v>
      </x:c>
      <x:c r="K125" s="51" t="str">
        <x:v>Case-specific</x:v>
      </x:c>
    </x:row>
    <x:row r="126">
      <x:c r="A126" s="51" t="str">
        <x:v>INS-122</x:v>
      </x:c>
      <x:c r="B126" s="51" t="str">
        <x:v>DIP financing and cash-collateral approval</x:v>
      </x:c>
      <x:c r="C126" s="51" t="str">
        <x:v>Distress-financing instrument</x:v>
      </x:c>
      <x:c r="D126" s="51" t="str">
        <x:v>Current</x:v>
      </x:c>
      <x:c r="E126" s="51" t="str">
        <x:v>Debtor in possession; court; DIP lender; prepetition lenders</x:v>
      </x:c>
      <x:c r="F126" s="51" t="str">
        <x:v>Case-specific</x:v>
      </x:c>
      <x:c r="G126" s="51" t="str">
        <x:v>USD / collateral rights</x:v>
      </x:c>
      <x:c r="H126" s="51" t="str">
        <x:v>Provide post-petition liquidity and define liens, priorities, milestones and budgets</x:v>
      </x:c>
      <x:c r="I126" s="51" t="str">
        <x:v>E1</x:v>
      </x:c>
      <x:c r="J126" s="51" t="str">
        <x:v>SRC-231; SRC-233</x:v>
      </x:c>
      <x:c r="K126" s="51" t="str">
        <x:v>Court-approved / case-specific</x:v>
      </x:c>
    </x:row>
    <x:row r="127">
      <x:c r="A127" s="51" t="str">
        <x:v>INS-123</x:v>
      </x:c>
      <x:c r="B127" s="51" t="str">
        <x:v>ISDA Master Agreement and close-out netting</x:v>
      </x:c>
      <x:c r="C127" s="51" t="str">
        <x:v>Derivatives contract framework</x:v>
      </x:c>
      <x:c r="D127" s="51" t="str">
        <x:v>Ongoing</x:v>
      </x:c>
      <x:c r="E127" s="51" t="str">
        <x:v>ISDA; derivatives counterparties</x:v>
      </x:c>
      <x:c r="F127" s="51" t="str">
        <x:v>Global OTC derivatives exposure</x:v>
      </x:c>
      <x:c r="G127" s="51" t="str">
        <x:v>Net obligations</x:v>
      </x:c>
      <x:c r="H127" s="51" t="str">
        <x:v>Terminate, value and net covered transactions after default or termination</x:v>
      </x:c>
      <x:c r="I127" s="51" t="str">
        <x:v>E1</x:v>
      </x:c>
      <x:c r="J127" s="51" t="str">
        <x:v>SRC-234; SRC-235</x:v>
      </x:c>
      <x:c r="K127" s="51" t="str">
        <x:v>Active</x:v>
      </x:c>
    </x:row>
    <x:row r="128">
      <x:c r="A128" s="51" t="str">
        <x:v>INS-124</x:v>
      </x:c>
      <x:c r="B128" s="51" t="str">
        <x:v>ISDA jurisdictional netting opinions</x:v>
      </x:c>
      <x:c r="C128" s="51" t="str">
        <x:v>Legal-opinion network</x:v>
      </x:c>
      <x:c r="D128" s="51" t="str">
        <x:v>Annual updates</x:v>
      </x:c>
      <x:c r="E128" s="51" t="str">
        <x:v>ISDA; external counsel; financial institutions</x:v>
      </x:c>
      <x:c r="F128" s="51" t="str">
        <x:v>Jurisdiction-specific</x:v>
      </x:c>
      <x:c r="G128" s="51" t="str">
        <x:v>Legal enforceability</x:v>
      </x:c>
      <x:c r="H128" s="51" t="str">
        <x:v>Assess whether close-out netting and collateral provisions survive insolvency</x:v>
      </x:c>
      <x:c r="I128" s="51" t="str">
        <x:v>E1</x:v>
      </x:c>
      <x:c r="J128" s="51" t="str">
        <x:v>SRC-235</x:v>
      </x:c>
      <x:c r="K128" s="51" t="str">
        <x:v>Active</x:v>
      </x:c>
    </x:row>
    <x:row r="129">
      <x:c r="A129" s="51" t="str">
        <x:v>INS-125</x:v>
      </x:c>
      <x:c r="B129" s="51" t="str">
        <x:v>ICC 2026 Arbitration Rules</x:v>
      </x:c>
      <x:c r="C129" s="51" t="str">
        <x:v>Commercial arbitration rules</x:v>
      </x:c>
      <x:c r="D129" s="51" t="str">
        <x:v>Effective 2026-06-01</x:v>
      </x:c>
      <x:c r="E129" s="51" t="str">
        <x:v>ICC Court; contracting parties; arbitrators</x:v>
      </x:c>
      <x:c r="F129" s="51" t="str">
        <x:v>881 new arbitration cases in 2025; nearly $41bn aggregate amount in new cases</x:v>
      </x:c>
      <x:c r="G129" s="51" t="str">
        <x:v>USD / disputes</x:v>
      </x:c>
      <x:c r="H129" s="51" t="str">
        <x:v>Provide neutral, expedited, emergency and ordinary arbitration procedures</x:v>
      </x:c>
      <x:c r="I129" s="51" t="str">
        <x:v>E1</x:v>
      </x:c>
      <x:c r="J129" s="51" t="str">
        <x:v>SRC-238; SRC-239</x:v>
      </x:c>
      <x:c r="K129" s="51" t="str">
        <x:v>Active</x:v>
      </x:c>
    </x:row>
    <x:row r="130">
      <x:c r="A130" s="51" t="str">
        <x:v>INS-126</x:v>
      </x:c>
      <x:c r="B130" s="51" t="str">
        <x:v>ICSID investor-state dispute system</x:v>
      </x:c>
      <x:c r="C130" s="51" t="str">
        <x:v>Investor-state arbitration system</x:v>
      </x:c>
      <x:c r="D130" s="51" t="str">
        <x:v>FY2025</x:v>
      </x:c>
      <x:c r="E130" s="51" t="str">
        <x:v>ICSID; investors; states; tribunals</x:v>
      </x:c>
      <x:c r="F130" s="51" t="str">
        <x:v>347 administered cases in FY2025</x:v>
      </x:c>
      <x:c r="G130" s="51" t="str">
        <x:v>Investment disputes</x:v>
      </x:c>
      <x:c r="H130" s="51" t="str">
        <x:v>Administer treaty and investment arbitration and conciliation</x:v>
      </x:c>
      <x:c r="I130" s="51" t="str">
        <x:v>E1</x:v>
      </x:c>
      <x:c r="J130" s="51" t="str">
        <x:v>SRC-236; SRC-237</x:v>
      </x:c>
      <x:c r="K130" s="51" t="str">
        <x:v>Active</x:v>
      </x:c>
    </x:row>
    <x:row r="131">
      <x:c r="A131" s="51" t="str">
        <x:v>INS-127</x:v>
      </x:c>
      <x:c r="B131" s="51" t="str">
        <x:v>Paris Club 2025 official bilateral claims</x:v>
      </x:c>
      <x:c r="C131" s="51" t="str">
        <x:v>Sovereign creditor claims system</x:v>
      </x:c>
      <x:c r="D131" s="51" t="str">
        <x:v>2025</x:v>
      </x:c>
      <x:c r="E131" s="51" t="str">
        <x:v>Paris Club governments; debtor sovereigns</x:v>
      </x:c>
      <x:c r="F131" s="51" t="str">
        <x:v>$344.9bn outstanding claims at 2025 year-end</x:v>
      </x:c>
      <x:c r="G131" s="51" t="str">
        <x:v>USD</x:v>
      </x:c>
      <x:c r="H131" s="51" t="str">
        <x:v>Coordinate official bilateral debt information and treatments</x:v>
      </x:c>
      <x:c r="I131" s="51" t="str">
        <x:v>E1</x:v>
      </x:c>
      <x:c r="J131" s="51" t="str">
        <x:v>SRC-242; SRC-243</x:v>
      </x:c>
      <x:c r="K131" s="51" t="str">
        <x:v>Active</x:v>
      </x:c>
    </x:row>
    <x:row r="132">
      <x:c r="A132" s="51" t="str">
        <x:v>INS-128</x:v>
      </x:c>
      <x:c r="B132" s="51" t="str">
        <x:v>Collective action clause restructuring mechanism</x:v>
      </x:c>
      <x:c r="C132" s="51" t="str">
        <x:v>Sovereign bond contract mechanism</x:v>
      </x:c>
      <x:c r="D132" s="51" t="str">
        <x:v>Ongoing</x:v>
      </x:c>
      <x:c r="E132" s="51" t="str">
        <x:v>Debtor sovereigns; bondholders; trustees</x:v>
      </x:c>
      <x:c r="F132" s="51" t="str">
        <x:v>Bond-specific thresholds</x:v>
      </x:c>
      <x:c r="G132" s="51" t="str">
        <x:v>Bond principal and terms</x:v>
      </x:c>
      <x:c r="H132" s="51" t="str">
        <x:v>Allow qualified majorities to amend payment terms and bind minorities</x:v>
      </x:c>
      <x:c r="I132" s="51" t="str">
        <x:v>E1</x:v>
      </x:c>
      <x:c r="J132" s="51" t="str">
        <x:v>SRC-240; SRC-241</x:v>
      </x:c>
      <x:c r="K132" s="51" t="str">
        <x:v>Widely used</x:v>
      </x:c>
    </x:row>
    <x:row r="133">
      <x:c r="A133" s="51" t="str">
        <x:v>INS-129</x:v>
      </x:c>
      <x:c r="B133" s="51" t="str">
        <x:v>G20 Common Framework and comparability process</x:v>
      </x:c>
      <x:c r="C133" s="51" t="str">
        <x:v>Sovereign restructuring framework</x:v>
      </x:c>
      <x:c r="D133" s="51" t="str">
        <x:v>2020–present</x:v>
      </x:c>
      <x:c r="E133" s="51" t="str">
        <x:v>G20; Paris Club; non-Paris Club creditors; debtor sovereigns; IMF; World Bank</x:v>
      </x:c>
      <x:c r="F133" s="51" t="str">
        <x:v>Case-specific</x:v>
      </x:c>
      <x:c r="G133" s="51" t="str">
        <x:v>Official and private claims</x:v>
      </x:c>
      <x:c r="H133" s="51" t="str">
        <x:v>Coordinate debt treatment and seek comparable burden-sharing</x:v>
      </x:c>
      <x:c r="I133" s="51" t="str">
        <x:v>E1</x:v>
      </x:c>
      <x:c r="J133" s="51" t="str">
        <x:v>SRC-240; SRC-241; SRC-242; SRC-244</x:v>
      </x:c>
      <x:c r="K133" s="51" t="str">
        <x:v>Active / evolving</x:v>
      </x:c>
    </x:row>
    <x:row r="134">
      <x:c r="A134" s="51" t="str">
        <x:v>INS-130</x:v>
      </x:c>
      <x:c r="B134" s="51" t="str">
        <x:v>Burford legal-finance platform</x:v>
      </x:c>
      <x:c r="C134" s="51" t="str">
        <x:v>Litigation and arbitration finance</x:v>
      </x:c>
      <x:c r="D134" s="51" t="str">
        <x:v>2025</x:v>
      </x:c>
      <x:c r="E134" s="51" t="str">
        <x:v>Burford; claimants; law firms; investors</x:v>
      </x:c>
      <x:c r="F134" s="51" t="str">
        <x:v>Portfolio-scale</x:v>
      </x:c>
      <x:c r="G134" s="51" t="str">
        <x:v>USD / legal claims</x:v>
      </x:c>
      <x:c r="H134" s="51" t="str">
        <x:v>Provide non-recourse or risk-sharing capital against legal assets</x:v>
      </x:c>
      <x:c r="I134" s="51" t="str">
        <x:v>E1</x:v>
      </x:c>
      <x:c r="J134" s="51" t="str">
        <x:v>SRC-245</x:v>
      </x:c>
      <x:c r="K134" s="51" t="str">
        <x:v>Active</x:v>
      </x:c>
    </x:row>
    <x:row r="135">
      <x:c r="A135" s="51" t="str">
        <x:v>INS-131</x:v>
      </x:c>
      <x:c r="B135" s="51" t="str">
        <x:v>Omni Bridgeway legal-finance platform</x:v>
      </x:c>
      <x:c r="C135" s="51" t="str">
        <x:v>Litigation and asset-recovery finance</x:v>
      </x:c>
      <x:c r="D135" s="51" t="str">
        <x:v>FY2025</x:v>
      </x:c>
      <x:c r="E135" s="51" t="str">
        <x:v>Omni Bridgeway; claimants; law firms; investors</x:v>
      </x:c>
      <x:c r="F135" s="51" t="str">
        <x:v>Portfolio-scale</x:v>
      </x:c>
      <x:c r="G135" s="51" t="str">
        <x:v>USD / legal claims</x:v>
      </x:c>
      <x:c r="H135" s="51" t="str">
        <x:v>Fund disputes from inception through enforcement and recovery</x:v>
      </x:c>
      <x:c r="I135" s="51" t="str">
        <x:v>E1</x:v>
      </x:c>
      <x:c r="J135" s="51" t="str">
        <x:v>SRC-246</x:v>
      </x:c>
      <x:c r="K135" s="51" t="str">
        <x:v>Active</x:v>
      </x:c>
    </x:row>
    <x:row r="136">
      <x:c r="A136" s="51" t="str">
        <x:v>INS-132</x:v>
      </x:c>
      <x:c r="B136" s="51" t="str">
        <x:v>US third-party litigation-funding disclosure debate</x:v>
      </x:c>
      <x:c r="C136" s="51" t="str">
        <x:v>Judicial rulemaking process</x:v>
      </x:c>
      <x:c r="D136" s="51" t="str">
        <x:v>2025–2026</x:v>
      </x:c>
      <x:c r="E136" s="51" t="str">
        <x:v>Federal rules committees; courts; litigants; funders</x:v>
      </x:c>
      <x:c r="F136" s="51" t="str">
        <x:v>System-wide proposal</x:v>
      </x:c>
      <x:c r="G136" s="51" t="str">
        <x:v>Disclosure rights</x:v>
      </x:c>
      <x:c r="H136" s="51" t="str">
        <x:v>Consider mandatory disclosure of funder identity, interest or agreement terms</x:v>
      </x:c>
      <x:c r="I136" s="51" t="str">
        <x:v>E1</x:v>
      </x:c>
      <x:c r="J136" s="51" t="str">
        <x:v>SRC-247; SRC-248; SRC-249</x:v>
      </x:c>
      <x:c r="K136" s="51" t="str">
        <x:v>Local rules active; national proposal debated</x:v>
      </x:c>
    </x:row>
    <x:row r="137">
      <x:c r="A137" s="51" t="str">
        <x:v>INS-133</x:v>
      </x:c>
      <x:c r="B137" s="51" t="str">
        <x:v>OECD Pillar Two Global Anti-Base Erosion rules</x:v>
      </x:c>
      <x:c r="C137" s="51" t="str">
        <x:v>International tax framework</x:v>
      </x:c>
      <x:c r="D137" s="51" t="str">
        <x:v>2024–present implementation</x:v>
      </x:c>
      <x:c r="E137" s="51" t="str">
        <x:v>Inclusive Framework; jurisdictions; in-scope MNE groups</x:v>
      </x:c>
      <x:c r="F137" s="51" t="str">
        <x:v>15% minimum effective tax framework</x:v>
      </x:c>
      <x:c r="G137" s="51" t="str">
        <x:v>Tax liability</x:v>
      </x:c>
      <x:c r="H137" s="51" t="str">
        <x:v>Reduce incentives for low-tax profit location through top-up taxation</x:v>
      </x:c>
      <x:c r="I137" s="51" t="str">
        <x:v>E1</x:v>
      </x:c>
      <x:c r="J137" s="51" t="str">
        <x:v>SRC-250; SRC-251; SRC-252</x:v>
      </x:c>
      <x:c r="K137" s="51" t="str">
        <x:v>Implementation varies by jurisdiction</x:v>
      </x:c>
    </x:row>
    <x:row r="138">
      <x:c r="A138" s="51" t="str">
        <x:v>INS-134</x:v>
      </x:c>
      <x:c r="B138" s="51" t="str">
        <x:v>US Form 8975 Country-by-Country Reporting</x:v>
      </x:c>
      <x:c r="C138" s="51" t="str">
        <x:v>Tax information return</x:v>
      </x:c>
      <x:c r="D138" s="51" t="str">
        <x:v>Current 2026</x:v>
      </x:c>
      <x:c r="E138" s="51" t="str">
        <x:v>IRS; US-headed MNE groups with at least $850 million prior-period revenue</x:v>
      </x:c>
      <x:c r="F138" s="51" t="str">
        <x:v>$850 million filing threshold</x:v>
      </x:c>
      <x:c r="G138" s="51" t="str">
        <x:v>USD / jurisdiction data</x:v>
      </x:c>
      <x:c r="H138" s="51" t="str">
        <x:v>Report revenue, profit, tax, employees and tangible assets by jurisdiction</x:v>
      </x:c>
      <x:c r="I138" s="51" t="str">
        <x:v>E1</x:v>
      </x:c>
      <x:c r="J138" s="51" t="str">
        <x:v>SRC-253; SRC-254</x:v>
      </x:c>
      <x:c r="K138" s="51" t="str">
        <x:v>Active</x:v>
      </x:c>
    </x:row>
    <x:row r="139">
      <x:c r="A139" s="51" t="str">
        <x:v>INS-135</x:v>
      </x:c>
      <x:c r="B139" s="51" t="str">
        <x:v>IRC Section 482 arm's-length framework</x:v>
      </x:c>
      <x:c r="C139" s="51" t="str">
        <x:v>Transfer-pricing rule</x:v>
      </x:c>
      <x:c r="D139" s="51" t="str">
        <x:v>Current</x:v>
      </x:c>
      <x:c r="E139" s="51" t="str">
        <x:v>IRS; controlled taxpayers</x:v>
      </x:c>
      <x:c r="F139" s="51" t="str">
        <x:v>Transaction-specific</x:v>
      </x:c>
      <x:c r="G139" s="51" t="str">
        <x:v>Taxable income</x:v>
      </x:c>
      <x:c r="H139" s="51" t="str">
        <x:v>Reallocate income and deductions when controlled transaction pricing is not arm's length</x:v>
      </x:c>
      <x:c r="I139" s="51" t="str">
        <x:v>E1</x:v>
      </x:c>
      <x:c r="J139" s="51" t="str">
        <x:v>SRC-255; SRC-256; SRC-257</x:v>
      </x:c>
      <x:c r="K139" s="51" t="str">
        <x:v>Active</x:v>
      </x:c>
    </x:row>
    <x:row r="140">
      <x:c r="A140" s="51" t="str">
        <x:v>INS-136</x:v>
      </x:c>
      <x:c r="B140" s="51" t="str">
        <x:v>USAspending federal award transparency system</x:v>
      </x:c>
      <x:c r="C140" s="51" t="str">
        <x:v>Public spending data infrastructure</x:v>
      </x:c>
      <x:c r="D140" s="51" t="str">
        <x:v>Current 2026</x:v>
      </x:c>
      <x:c r="E140" s="51" t="str">
        <x:v>Federal agencies; award recipients; public</x:v>
      </x:c>
      <x:c r="F140" s="51" t="str">
        <x:v>Governmentwide</x:v>
      </x:c>
      <x:c r="G140" s="51" t="str">
        <x:v>Award and account data</x:v>
      </x:c>
      <x:c r="H140" s="51" t="str">
        <x:v>Publish federal contracts, grants, loans and other financial assistance data</x:v>
      </x:c>
      <x:c r="I140" s="51" t="str">
        <x:v>E1</x:v>
      </x:c>
      <x:c r="J140" s="51" t="str">
        <x:v>SRC-259</x:v>
      </x:c>
      <x:c r="K140" s="51" t="str">
        <x:v>Active</x:v>
      </x:c>
    </x:row>
    <x:row r="141">
      <x:c r="A141" s="51" t="str">
        <x:v>INS-137</x:v>
      </x:c>
      <x:c r="B141" s="51" t="str">
        <x:v>Federal Acquisition Regulation system</x:v>
      </x:c>
      <x:c r="C141" s="51" t="str">
        <x:v>Procurement legal framework</x:v>
      </x:c>
      <x:c r="D141" s="51" t="str">
        <x:v>Current 2026</x:v>
      </x:c>
      <x:c r="E141" s="51" t="str">
        <x:v>Executive agencies; contracting officers; contractors</x:v>
      </x:c>
      <x:c r="F141" s="51" t="str">
        <x:v>Governmentwide</x:v>
      </x:c>
      <x:c r="G141" s="51" t="str">
        <x:v>Contracts and appropriated funds</x:v>
      </x:c>
      <x:c r="H141" s="51" t="str">
        <x:v>Standardise competition, pricing, contract types, financing and clauses</x:v>
      </x:c>
      <x:c r="I141" s="51" t="str">
        <x:v>E1</x:v>
      </x:c>
      <x:c r="J141" s="51" t="str">
        <x:v>SRC-260; SRC-261</x:v>
      </x:c>
      <x:c r="K141" s="51" t="str">
        <x:v>Active</x:v>
      </x:c>
    </x:row>
    <x:row r="142">
      <x:c r="A142" s="51" t="str">
        <x:v>INS-138</x:v>
      </x:c>
      <x:c r="B142" s="51" t="str">
        <x:v>Indefinite-delivery indefinite-quantity contract</x:v>
      </x:c>
      <x:c r="C142" s="51" t="str">
        <x:v>Procurement contract vehicle</x:v>
      </x:c>
      <x:c r="D142" s="51" t="str">
        <x:v>Current</x:v>
      </x:c>
      <x:c r="E142" s="51" t="str">
        <x:v>Agencies; multiple or single contractors</x:v>
      </x:c>
      <x:c r="F142" s="51" t="str">
        <x:v>Stated minimum and maximum; orders determine obligations</x:v>
      </x:c>
      <x:c r="G142" s="51" t="str">
        <x:v>USD / units</x:v>
      </x:c>
      <x:c r="H142" s="51" t="str">
        <x:v>Prequalify suppliers and issue future task or delivery orders</x:v>
      </x:c>
      <x:c r="I142" s="51" t="str">
        <x:v>E1</x:v>
      </x:c>
      <x:c r="J142" s="51" t="str">
        <x:v>SRC-262</x:v>
      </x:c>
      <x:c r="K142" s="51" t="str">
        <x:v>Active</x:v>
      </x:c>
    </x:row>
    <x:row r="143">
      <x:c r="A143" s="51" t="str">
        <x:v>INS-139</x:v>
      </x:c>
      <x:c r="B143" s="51" t="str">
        <x:v>Federal Other Transaction Agreements</x:v>
      </x:c>
      <x:c r="C143" s="51" t="str">
        <x:v>Flexible public agreement</x:v>
      </x:c>
      <x:c r="D143" s="51" t="str">
        <x:v>FY2025–2026</x:v>
      </x:c>
      <x:c r="E143" s="51" t="str">
        <x:v>DOD and other authorised agencies; companies and consortia</x:v>
      </x:c>
      <x:c r="F143" s="51" t="str">
        <x:v>$18.2 billion FY2025 reported governmentwide OTA spending</x:v>
      </x:c>
      <x:c r="G143" s="51" t="str">
        <x:v>USD</x:v>
      </x:c>
      <x:c r="H143" s="51" t="str">
        <x:v>Develop prototypes and other authorised projects outside standard FAR terms</x:v>
      </x:c>
      <x:c r="I143" s="51" t="str">
        <x:v>E1</x:v>
      </x:c>
      <x:c r="J143" s="51" t="str">
        <x:v>SRC-263; SRC-264</x:v>
      </x:c>
      <x:c r="K143" s="51" t="str">
        <x:v>Active / reporting gaps remain</x:v>
      </x:c>
    </x:row>
    <x:row r="144">
      <x:c r="A144" s="51" t="str">
        <x:v>INS-140</x:v>
      </x:c>
      <x:c r="B144" s="51" t="str">
        <x:v>DOD 2025 frontier AI OTA awards</x:v>
      </x:c>
      <x:c r="C144" s="51" t="str">
        <x:v>AI prototype agreements</x:v>
      </x:c>
      <x:c r="D144" s="51" t="str">
        <x:v>2025-07</x:v>
      </x:c>
      <x:c r="E144" s="51" t="str">
        <x:v>DOD; four leading AI companies</x:v>
      </x:c>
      <x:c r="F144" s="51" t="str">
        <x:v>Four awards with $200 million ceilings each</x:v>
      </x:c>
      <x:c r="G144" s="51" t="str">
        <x:v>USD ceiling</x:v>
      </x:c>
      <x:c r="H144" s="51" t="str">
        <x:v>Accelerate adoption of advanced AI capabilities across DOD</x:v>
      </x:c>
      <x:c r="I144" s="51" t="str">
        <x:v>E1</x:v>
      </x:c>
      <x:c r="J144" s="51" t="str">
        <x:v>SRC-265</x:v>
      </x:c>
      <x:c r="K144" s="51" t="str">
        <x:v>Award ceilings; actual obligations require award data</x:v>
      </x:c>
    </x:row>
    <x:row r="145">
      <x:c r="A145" s="51" t="str">
        <x:v>INS-141</x:v>
      </x:c>
      <x:c r="B145" s="51" t="str">
        <x:v>CHIPS for America programme</x:v>
      </x:c>
      <x:c r="C145" s="51" t="str">
        <x:v>Industrial policy programme</x:v>
      </x:c>
      <x:c r="D145" s="51" t="str">
        <x:v>2022–present</x:v>
      </x:c>
      <x:c r="E145" s="51" t="str">
        <x:v>Commerce; CHIPS offices; semiconductor recipients</x:v>
      </x:c>
      <x:c r="F145" s="51" t="str">
        <x:v>$50 billion total: $39 billion incentives and $11 billion R&amp;D</x:v>
      </x:c>
      <x:c r="G145" s="51" t="str">
        <x:v>USD</x:v>
      </x:c>
      <x:c r="H145" s="51" t="str">
        <x:v>Strengthen US semiconductor manufacturing and R&amp;D</x:v>
      </x:c>
      <x:c r="I145" s="51" t="str">
        <x:v>E1</x:v>
      </x:c>
      <x:c r="J145" s="51" t="str">
        <x:v>SRC-266</x:v>
      </x:c>
      <x:c r="K145" s="51" t="str">
        <x:v>Active</x:v>
      </x:c>
    </x:row>
    <x:row r="146">
      <x:c r="A146" s="51" t="str">
        <x:v>INS-142</x:v>
      </x:c>
      <x:c r="B146" s="51" t="str">
        <x:v>Bosch CHIPS direct funding agreement</x:v>
      </x:c>
      <x:c r="C146" s="51" t="str">
        <x:v>Industrial subsidy agreement</x:v>
      </x:c>
      <x:c r="D146" s="51" t="str">
        <x:v>2026-07-13</x:v>
      </x:c>
      <x:c r="E146" s="51" t="str">
        <x:v>CHIPS Program Office; Robert Bosch Semiconductor LLC</x:v>
      </x:c>
      <x:c r="F146" s="51" t="str">
        <x:v>$225 million</x:v>
      </x:c>
      <x:c r="G146" s="51" t="str">
        <x:v>USD</x:v>
      </x:c>
      <x:c r="H146" s="51" t="str">
        <x:v>Support domestic silicon-carbide semiconductor production</x:v>
      </x:c>
      <x:c r="I146" s="51" t="str">
        <x:v>E1</x:v>
      </x:c>
      <x:c r="J146" s="51" t="str">
        <x:v>SRC-266</x:v>
      </x:c>
      <x:c r="K146" s="51" t="str">
        <x:v>Signed direct funding agreement</x:v>
      </x:c>
    </x:row>
    <x:row r="147">
      <x:c r="A147" s="51" t="str">
        <x:v>INS-143</x:v>
      </x:c>
      <x:c r="B147" s="51" t="str">
        <x:v>I-Pulse CHIPS R&amp;D award</x:v>
      </x:c>
      <x:c r="C147" s="51" t="str">
        <x:v>Research and development award</x:v>
      </x:c>
      <x:c r="D147" s="51" t="str">
        <x:v>2026-06-25</x:v>
      </x:c>
      <x:c r="E147" s="51" t="str">
        <x:v>CHIPS R&amp;D Office; I-Pulse</x:v>
      </x:c>
      <x:c r="F147" s="51" t="str">
        <x:v>$250 million</x:v>
      </x:c>
      <x:c r="G147" s="51" t="str">
        <x:v>USD</x:v>
      </x:c>
      <x:c r="H147" s="51" t="str">
        <x:v>Develop novel silicon-carbide semiconductor technology</x:v>
      </x:c>
      <x:c r="I147" s="51" t="str">
        <x:v>E1</x:v>
      </x:c>
      <x:c r="J147" s="51" t="str">
        <x:v>SRC-266</x:v>
      </x:c>
      <x:c r="K147" s="51" t="str">
        <x:v>Definitive agreement</x:v>
      </x:c>
    </x:row>
    <x:row r="148">
      <x:c r="A148" s="51" t="str">
        <x:v>INS-144</x:v>
      </x:c>
      <x:c r="B148" s="51" t="str">
        <x:v>SandboxAQ CHIPS R&amp;D award</x:v>
      </x:c>
      <x:c r="C148" s="51" t="str">
        <x:v>Research and development award</x:v>
      </x:c>
      <x:c r="D148" s="51" t="str">
        <x:v>2026-06-17</x:v>
      </x:c>
      <x:c r="E148" s="51" t="str">
        <x:v>CHIPS R&amp;D Office; SandboxAQ</x:v>
      </x:c>
      <x:c r="F148" s="51" t="str">
        <x:v>$500 million</x:v>
      </x:c>
      <x:c r="G148" s="51" t="str">
        <x:v>USD</x:v>
      </x:c>
      <x:c r="H148" s="51" t="str">
        <x:v>Use AI-driven methods for semiconductor materials discovery</x:v>
      </x:c>
      <x:c r="I148" s="51" t="str">
        <x:v>E1</x:v>
      </x:c>
      <x:c r="J148" s="51" t="str">
        <x:v>SRC-266</x:v>
      </x:c>
      <x:c r="K148" s="51" t="str">
        <x:v>Definitive agreement</x:v>
      </x:c>
    </x:row>
    <x:row r="149">
      <x:c r="A149" s="51" t="str">
        <x:v>INS-145</x:v>
      </x:c>
      <x:c r="B149" s="51" t="str">
        <x:v>Section 48D advanced manufacturing investment credit</x:v>
      </x:c>
      <x:c r="C149" s="51" t="str">
        <x:v>Tax expenditure</x:v>
      </x:c>
      <x:c r="D149" s="51" t="str">
        <x:v>Current; construction deadline rules apply</x:v>
      </x:c>
      <x:c r="E149" s="51" t="str">
        <x:v>IRS; eligible semiconductor taxpayers</x:v>
      </x:c>
      <x:c r="F149" s="51" t="str">
        <x:v>25% of qualified investment under cited guidance</x:v>
      </x:c>
      <x:c r="G149" s="51" t="str">
        <x:v>USD tax credit</x:v>
      </x:c>
      <x:c r="H149" s="51" t="str">
        <x:v>Subsidise investment in semiconductor manufacturing facilities and equipment</x:v>
      </x:c>
      <x:c r="I149" s="51" t="str">
        <x:v>E1</x:v>
      </x:c>
      <x:c r="J149" s="51" t="str">
        <x:v>SRC-267</x:v>
      </x:c>
      <x:c r="K149" s="51" t="str">
        <x:v>Active</x:v>
      </x:c>
    </x:row>
    <x:row r="150">
      <x:c r="A150" s="51" t="str">
        <x:v>INS-146</x:v>
      </x:c>
      <x:c r="B150" s="51" t="str">
        <x:v>Section 45X advanced manufacturing production credit</x:v>
      </x:c>
      <x:c r="C150" s="51" t="str">
        <x:v>Tax expenditure</x:v>
      </x:c>
      <x:c r="D150" s="51" t="str">
        <x:v>Current 2026</x:v>
      </x:c>
      <x:c r="E150" s="51" t="str">
        <x:v>IRS; eligible manufacturers</x:v>
      </x:c>
      <x:c r="F150" s="51" t="str">
        <x:v>Component-specific production formula</x:v>
      </x:c>
      <x:c r="G150" s="51" t="str">
        <x:v>USD tax credit</x:v>
      </x:c>
      <x:c r="H150" s="51" t="str">
        <x:v>Subsidise domestic production and sale of eligible components and critical minerals</x:v>
      </x:c>
      <x:c r="I150" s="51" t="str">
        <x:v>E1</x:v>
      </x:c>
      <x:c r="J150" s="51" t="str">
        <x:v>SRC-268; SRC-269</x:v>
      </x:c>
      <x:c r="K150" s="51" t="str">
        <x:v>Active</x:v>
      </x:c>
    </x:row>
    <x:row r="151">
      <x:c r="A151" s="51" t="str">
        <x:v>INS-147</x:v>
      </x:c>
      <x:c r="B151" s="51" t="str">
        <x:v>Elective pay and transferable clean-energy credit system</x:v>
      </x:c>
      <x:c r="C151" s="51" t="str">
        <x:v>Tax credit monetisation framework</x:v>
      </x:c>
      <x:c r="D151" s="51" t="str">
        <x:v>Current 2026</x:v>
      </x:c>
      <x:c r="E151" s="51" t="str">
        <x:v>Eligible taxpayers; tax-exempt entities; credit transferees</x:v>
      </x:c>
      <x:c r="F151" s="51" t="str">
        <x:v>Credit-specific</x:v>
      </x:c>
      <x:c r="G151" s="51" t="str">
        <x:v>USD cash / tax liability</x:v>
      </x:c>
      <x:c r="H151" s="51" t="str">
        <x:v>Convert tax credits into direct payments or cash transfers</x:v>
      </x:c>
      <x:c r="I151" s="51" t="str">
        <x:v>E1</x:v>
      </x:c>
      <x:c r="J151" s="51" t="str">
        <x:v>SRC-269</x:v>
      </x:c>
      <x:c r="K151" s="51" t="str">
        <x:v>Active</x:v>
      </x:c>
    </x:row>
    <x:row r="152">
      <x:c r="A152" s="51" t="str">
        <x:v>INS-148</x:v>
      </x:c>
      <x:c r="B152" s="51" t="str">
        <x:v>DOE LPO direct loans and loan guarantees</x:v>
      </x:c>
      <x:c r="C152" s="51" t="str">
        <x:v>Federal credit programme</x:v>
      </x:c>
      <x:c r="D152" s="51" t="str">
        <x:v>Current 2026</x:v>
      </x:c>
      <x:c r="E152" s="51" t="str">
        <x:v>DOE; project sponsors; lenders; OMB; Treasury</x:v>
      </x:c>
      <x:c r="F152" s="51" t="str">
        <x:v>Programme-specific statutory authority</x:v>
      </x:c>
      <x:c r="G152" s="51" t="str">
        <x:v>USD credit</x:v>
      </x:c>
      <x:c r="H152" s="51" t="str">
        <x:v>Finance innovative clean-energy, transport and tribal energy projects</x:v>
      </x:c>
      <x:c r="I152" s="51" t="str">
        <x:v>E1</x:v>
      </x:c>
      <x:c r="J152" s="51" t="str">
        <x:v>SRC-270; SRC-271</x:v>
      </x:c>
      <x:c r="K152" s="51" t="str">
        <x:v>Active</x:v>
      </x:c>
    </x:row>
    <x:row r="153">
      <x:c r="A153" s="51" t="str">
        <x:v>INS-149</x:v>
      </x:c>
      <x:c r="B153" s="51" t="str">
        <x:v>Federal Credit Reform Act subsidy accounting</x:v>
      </x:c>
      <x:c r="C153" s="51" t="str">
        <x:v>Public credit accounting framework</x:v>
      </x:c>
      <x:c r="D153" s="51" t="str">
        <x:v>1992–present</x:v>
      </x:c>
      <x:c r="E153" s="51" t="str">
        <x:v>OMB; Treasury; federal credit agencies</x:v>
      </x:c>
      <x:c r="F153" s="51" t="str">
        <x:v>Present-value expected cost</x:v>
      </x:c>
      <x:c r="G153" s="51" t="str">
        <x:v>USD budget cost</x:v>
      </x:c>
      <x:c r="H153" s="51" t="str">
        <x:v>Record expected long-term cost of loans and guarantees when commitments are made</x:v>
      </x:c>
      <x:c r="I153" s="51" t="str">
        <x:v>E1</x:v>
      </x:c>
      <x:c r="J153" s="51" t="str">
        <x:v>SRC-272; SRC-273; SRC-274; SRC-275; SRC-276</x:v>
      </x:c>
      <x:c r="K153" s="51" t="str">
        <x:v>Active</x:v>
      </x:c>
    </x:row>
    <x:row r="154">
      <x:c r="A154" s="51" t="str">
        <x:v>INS-150</x:v>
      </x:c>
      <x:c r="B154" s="51" t="str">
        <x:v>FDIC Deposit Insurance Fund</x:v>
      </x:c>
      <x:c r="C154" s="51" t="str">
        <x:v>Deposit insurance fund</x:v>
      </x:c>
      <x:c r="D154" s="51" t="str">
        <x:v>2025–2026</x:v>
      </x:c>
      <x:c r="E154" s="51" t="str">
        <x:v>FDIC; insured institutions; insured depositors</x:v>
      </x:c>
      <x:c r="F154" s="51" t="str">
        <x:v>1.42% reserve ratio at 2025 year-end; 2.0% designated reserve ratio for 2026</x:v>
      </x:c>
      <x:c r="G154" s="51" t="str">
        <x:v>USD / insured deposits</x:v>
      </x:c>
      <x:c r="H154" s="51" t="str">
        <x:v>Fund deposit insurance and failed-bank resolution costs</x:v>
      </x:c>
      <x:c r="I154" s="51" t="str">
        <x:v>E1</x:v>
      </x:c>
      <x:c r="J154" s="51" t="str">
        <x:v>SRC-277; SRC-278</x:v>
      </x:c>
      <x:c r="K154" s="51" t="str">
        <x:v>Active</x:v>
      </x:c>
    </x:row>
    <x:row r="155">
      <x:c r="A155" s="51" t="str">
        <x:v>INS-151</x:v>
      </x:c>
      <x:c r="B155" s="51" t="str">
        <x:v>Federal Reserve Discount Window</x:v>
      </x:c>
      <x:c r="C155" s="51" t="str">
        <x:v>Collateralised central-bank credit</x:v>
      </x:c>
      <x:c r="D155" s="51" t="str">
        <x:v>Current 2026</x:v>
      </x:c>
      <x:c r="E155" s="51" t="str">
        <x:v>Federal Reserve Banks; eligible depository institutions</x:v>
      </x:c>
      <x:c r="F155" s="51" t="str">
        <x:v>Loan-specific</x:v>
      </x:c>
      <x:c r="G155" s="51" t="str">
        <x:v>USD liquidity</x:v>
      </x:c>
      <x:c r="H155" s="51" t="str">
        <x:v>Provide backup liquidity against pledged collateral</x:v>
      </x:c>
      <x:c r="I155" s="51" t="str">
        <x:v>E1</x:v>
      </x:c>
      <x:c r="J155" s="51" t="str">
        <x:v>SRC-279; SRC-280</x:v>
      </x:c>
      <x:c r="K155" s="51" t="str">
        <x:v>Active</x:v>
      </x:c>
    </x:row>
    <x:row r="156">
      <x:c r="A156" s="51" t="str">
        <x:v>INS-152</x:v>
      </x:c>
      <x:c r="B156" s="51" t="str">
        <x:v>Federal Reserve Standing Repo Facility</x:v>
      </x:c>
      <x:c r="C156" s="51" t="str">
        <x:v>Standing collateralised liquidity facility</x:v>
      </x:c>
      <x:c r="D156" s="51" t="str">
        <x:v>Current / 2025 policy record</x:v>
      </x:c>
      <x:c r="E156" s="51" t="str">
        <x:v>Federal Reserve Bank of New York; eligible counterparties</x:v>
      </x:c>
      <x:c r="F156" s="51" t="str">
        <x:v>$500 billion aggregate operation limit in October 2025 directive</x:v>
      </x:c>
      <x:c r="G156" s="51" t="str">
        <x:v>USD overnight repo</x:v>
      </x:c>
      <x:c r="H156" s="51" t="str">
        <x:v>Backstop money-market funding against eligible securities</x:v>
      </x:c>
      <x:c r="I156" s="51" t="str">
        <x:v>E1</x:v>
      </x:c>
      <x:c r="J156" s="51" t="str">
        <x:v>SRC-281</x:v>
      </x:c>
      <x:c r="K156" s="51" t="str">
        <x:v>Active; terms can change</x:v>
      </x:c>
    </x:row>
    <x:row r="157">
      <x:c r="A157" s="51" t="str">
        <x:v>INS-153</x:v>
      </x:c>
      <x:c r="B157" s="51" t="str">
        <x:v>Eurosystem collateral framework</x:v>
      </x:c>
      <x:c r="C157" s="51" t="str">
        <x:v>Central-bank collateral framework</x:v>
      </x:c>
      <x:c r="D157" s="51" t="str">
        <x:v>Current 2026</x:v>
      </x:c>
      <x:c r="E157" s="51" t="str">
        <x:v>ECB; national central banks; eligible counterparties</x:v>
      </x:c>
      <x:c r="F157" s="51" t="str">
        <x:v>System-wide</x:v>
      </x:c>
      <x:c r="G157" s="51" t="str">
        <x:v>Euro liquidity</x:v>
      </x:c>
      <x:c r="H157" s="51" t="str">
        <x:v>Define eligible assets, haircuts and risk controls for monetary-policy credit</x:v>
      </x:c>
      <x:c r="I157" s="51" t="str">
        <x:v>E1</x:v>
      </x:c>
      <x:c r="J157" s="51" t="str">
        <x:v>SRC-282; SRC-283</x:v>
      </x:c>
      <x:c r="K157" s="51" t="str">
        <x:v>Active</x:v>
      </x:c>
    </x:row>
    <x:row r="158">
      <x:c r="A158" s="51" t="str">
        <x:v>INS-154</x:v>
      </x:c>
      <x:c r="B158" s="51" t="str">
        <x:v>ECB climate factor for collateral</x:v>
      </x:c>
      <x:c r="C158" s="51" t="str">
        <x:v>Central-bank risk control</x:v>
      </x:c>
      <x:c r="D158" s="51" t="str">
        <x:v>Effective 2026-06-15; extension announced 2026-07-24</x:v>
      </x:c>
      <x:c r="E158" s="51" t="str">
        <x:v>ECB; counterparties; corporate collateral issuers</x:v>
      </x:c>
      <x:c r="F158" s="51" t="str">
        <x:v>Asset-specific valuation adjustment</x:v>
      </x:c>
      <x:c r="G158" s="51" t="str">
        <x:v>Collateral value</x:v>
      </x:c>
      <x:c r="H158" s="51" t="str">
        <x:v>Reduce central-bank exposure to climate-transition repricing risk</x:v>
      </x:c>
      <x:c r="I158" s="51" t="str">
        <x:v>E1</x:v>
      </x:c>
      <x:c r="J158" s="51" t="str">
        <x:v>SRC-283; SRC-284</x:v>
      </x:c>
      <x:c r="K158" s="51" t="str">
        <x:v>Active for marketable assets; credit-claim extension planned</x:v>
      </x:c>
    </x:row>
    <x:row r="159">
      <x:c r="A159" s="51" t="str">
        <x:v>INS-155</x:v>
      </x:c>
      <x:c r="B159" s="51" t="str">
        <x:v>DFC development finance portfolio</x:v>
      </x:c>
      <x:c r="C159" s="51" t="str">
        <x:v>Public development credit and investment</x:v>
      </x:c>
      <x:c r="D159" s="51" t="str">
        <x:v>FY2025</x:v>
      </x:c>
      <x:c r="E159" s="51" t="str">
        <x:v>DFC; project sponsors; lenders; US Treasury</x:v>
      </x:c>
      <x:c r="F159" s="51" t="str">
        <x:v>Approximately $43.4 billion combined exposure</x:v>
      </x:c>
      <x:c r="G159" s="51" t="str">
        <x:v>USD</x:v>
      </x:c>
      <x:c r="H159" s="51" t="str">
        <x:v>Mobilise private capital for development and foreign-policy projects</x:v>
      </x:c>
      <x:c r="I159" s="51" t="str">
        <x:v>E1</x:v>
      </x:c>
      <x:c r="J159" s="51" t="str">
        <x:v>SRC-285</x:v>
      </x:c>
      <x:c r="K159" s="51" t="str">
        <x:v>Active</x:v>
      </x:c>
    </x:row>
    <x:row r="160">
      <x:c r="A160" s="51" t="str">
        <x:v>INS-156</x:v>
      </x:c>
      <x:c r="B160" s="51" t="str">
        <x:v>EXIM FY2025 export credit authorisations</x:v>
      </x:c>
      <x:c r="C160" s="51" t="str">
        <x:v>Export credit and insurance</x:v>
      </x:c>
      <x:c r="D160" s="51" t="str">
        <x:v>FY2025</x:v>
      </x:c>
      <x:c r="E160" s="51" t="str">
        <x:v>EXIM; US exporters; lenders; foreign buyers</x:v>
      </x:c>
      <x:c r="F160" s="51" t="str">
        <x:v>More than $8.7 billion authorised; about $34.8 billion portfolio exposure</x:v>
      </x:c>
      <x:c r="G160" s="51" t="str">
        <x:v>USD</x:v>
      </x:c>
      <x:c r="H160" s="51" t="str">
        <x:v>Support US exports through loans, guarantees and insurance</x:v>
      </x:c>
      <x:c r="I160" s="51" t="str">
        <x:v>E1</x:v>
      </x:c>
      <x:c r="J160" s="51" t="str">
        <x:v>SRC-286</x:v>
      </x:c>
      <x:c r="K160" s="51" t="str">
        <x:v>Active</x:v>
      </x:c>
    </x:row>
    <x:row r="161">
      <x:c r="A161" s="51" t="str">
        <x:v>INS-157</x:v>
      </x:c>
      <x:c r="B161" s="51" t="str">
        <x:v>World Bank Group Guarantee Platform</x:v>
      </x:c>
      <x:c r="C161" s="51" t="str">
        <x:v>Multilateral guarantee programme</x:v>
      </x:c>
      <x:c r="D161" s="51" t="str">
        <x:v>FY2025</x:v>
      </x:c>
      <x:c r="E161" s="51" t="str">
        <x:v>MIGA; World Bank Group; project sponsors; lenders</x:v>
      </x:c>
      <x:c r="F161" s="51" t="str">
        <x:v>$12.3 billion issued by platform; MIGA issued $9.5 billion in new guarantees</x:v>
      </x:c>
      <x:c r="G161" s="51" t="str">
        <x:v>USD</x:v>
      </x:c>
      <x:c r="H161" s="51" t="str">
        <x:v>De-risk private investment through political-risk and credit guarantees</x:v>
      </x:c>
      <x:c r="I161" s="51" t="str">
        <x:v>E1</x:v>
      </x:c>
      <x:c r="J161" s="51" t="str">
        <x:v>SRC-287; SRC-288</x:v>
      </x:c>
      <x:c r="K161" s="51" t="str">
        <x:v>Active</x:v>
      </x:c>
    </x:row>
    <x:row r="162">
      <x:c r="A162" s="51" t="str">
        <x:v>INS-158</x:v>
      </x:c>
      <x:c r="B162" s="51" t="str">
        <x:v>New York City Zoning Resolution</x:v>
      </x:c>
      <x:c r="C162" s="51" t="str">
        <x:v>Municipal land-use code</x:v>
      </x:c>
      <x:c r="D162" s="51" t="str">
        <x:v>Current 2026</x:v>
      </x:c>
      <x:c r="E162" s="51" t="str">
        <x:v>NYC; property owners; residents; planning and building agencies</x:v>
      </x:c>
      <x:c r="F162" s="51" t="str">
        <x:v>Citywide</x:v>
      </x:c>
      <x:c r="G162" s="51" t="str">
        <x:v>Development rights</x:v>
      </x:c>
      <x:c r="H162" s="51" t="str">
        <x:v>Define permitted uses, density, bulk, parking, special permits and amendment procedures</x:v>
      </x:c>
      <x:c r="I162" s="51" t="str">
        <x:v>E1</x:v>
      </x:c>
      <x:c r="J162" s="51" t="str">
        <x:v>SRC-289; SRC-290; SRC-291</x:v>
      </x:c>
      <x:c r="K162" s="51" t="str">
        <x:v>Active</x:v>
      </x:c>
    </x:row>
    <x:row r="163">
      <x:c r="A163" s="51" t="str">
        <x:v>INS-159</x:v>
      </x:c>
      <x:c r="B163" s="51" t="str">
        <x:v>NYC City Planning Commission special permit</x:v>
      </x:c>
      <x:c r="C163" s="51" t="str">
        <x:v>Discretionary land-use permission</x:v>
      </x:c>
      <x:c r="D163" s="51" t="str">
        <x:v>Current</x:v>
      </x:c>
      <x:c r="E163" s="51" t="str">
        <x:v>City Planning Commission; applicants; communities</x:v>
      </x:c>
      <x:c r="F163" s="51" t="str">
        <x:v>Project-specific</x:v>
      </x:c>
      <x:c r="G163" s="51" t="str">
        <x:v>Development permission</x:v>
      </x:c>
      <x:c r="H163" s="51" t="str">
        <x:v>Allow defined use or bulk modifications after findings, notice and hearing</x:v>
      </x:c>
      <x:c r="I163" s="51" t="str">
        <x:v>E1</x:v>
      </x:c>
      <x:c r="J163" s="51" t="str">
        <x:v>SRC-290</x:v>
      </x:c>
      <x:c r="K163" s="51" t="str">
        <x:v>Active / application-specific</x:v>
      </x:c>
    </x:row>
    <x:row r="164">
      <x:c r="A164" s="51" t="str">
        <x:v>INS-160</x:v>
      </x:c>
      <x:c r="B164" s="51" t="str">
        <x:v>Transferable development rights mechanism</x:v>
      </x:c>
      <x:c r="C164" s="51" t="str">
        <x:v>Land-use entitlement transfer</x:v>
      </x:c>
      <x:c r="D164" s="51" t="str">
        <x:v>Current</x:v>
      </x:c>
      <x:c r="E164" s="51" t="str">
        <x:v>Granting-lot and receiving-lot owners; planning commission</x:v>
      </x:c>
      <x:c r="F164" s="51" t="str">
        <x:v>Project-specific floor area</x:v>
      </x:c>
      <x:c r="G164" s="51" t="str">
        <x:v>Development capacity</x:v>
      </x:c>
      <x:c r="H164" s="51" t="str">
        <x:v>Move unused floor-area rights between qualifying parcels under zoning rules</x:v>
      </x:c>
      <x:c r="I164" s="51" t="str">
        <x:v>E1</x:v>
      </x:c>
      <x:c r="J164" s="51" t="str">
        <x:v>SRC-291</x:v>
      </x:c>
      <x:c r="K164" s="51" t="str">
        <x:v>Active in defined districts</x:v>
      </x:c>
    </x:row>
    <x:row r="165">
      <x:c r="A165" s="51" t="str">
        <x:v>INS-161</x:v>
      </x:c>
      <x:c r="B165" s="51" t="str">
        <x:v>Public deed and mortgage recording system</x:v>
      </x:c>
      <x:c r="C165" s="51" t="str">
        <x:v>Land-title registry</x:v>
      </x:c>
      <x:c r="D165" s="51" t="str">
        <x:v>Ongoing</x:v>
      </x:c>
      <x:c r="E165" s="51" t="str">
        <x:v>County recorders; owners; lenders; title professionals</x:v>
      </x:c>
      <x:c r="F165" s="51" t="str">
        <x:v>Transaction-specific</x:v>
      </x:c>
      <x:c r="G165" s="51" t="str">
        <x:v>Deeds, mortgages and liens</x:v>
      </x:c>
      <x:c r="H165" s="51" t="str">
        <x:v>Create public notice and chronological property records</x:v>
      </x:c>
      <x:c r="I165" s="51" t="str">
        <x:v>E1</x:v>
      </x:c>
      <x:c r="J165" s="51" t="str">
        <x:v>SRC-319; SRC-328</x:v>
      </x:c>
      <x:c r="K165" s="51" t="str">
        <x:v>State and county specific</x:v>
      </x:c>
    </x:row>
    <x:row r="166">
      <x:c r="A166" s="51" t="str">
        <x:v>INS-162</x:v>
      </x:c>
      <x:c r="B166" s="51" t="str">
        <x:v>Lender and owner title insurance</x:v>
      </x:c>
      <x:c r="C166" s="51" t="str">
        <x:v>Property-title insurance</x:v>
      </x:c>
      <x:c r="D166" s="51" t="str">
        <x:v>Ongoing</x:v>
      </x:c>
      <x:c r="E166" s="51" t="str">
        <x:v>Title insurers; lenders; owners; settlement agents</x:v>
      </x:c>
      <x:c r="F166" s="51" t="str">
        <x:v>Transaction-specific premium and coverage</x:v>
      </x:c>
      <x:c r="G166" s="51" t="str">
        <x:v>Title risk</x:v>
      </x:c>
      <x:c r="H166" s="51" t="str">
        <x:v>Indemnify defined losses from covered pre-existing defects, liens or claims</x:v>
      </x:c>
      <x:c r="I166" s="51" t="str">
        <x:v>E1</x:v>
      </x:c>
      <x:c r="J166" s="51" t="str">
        <x:v>SRC-319; SRC-320; SRC-321; SRC-332</x:v>
      </x:c>
      <x:c r="K166" s="51" t="str">
        <x:v>Active / state regulated</x:v>
      </x:c>
    </x:row>
    <x:row r="167">
      <x:c r="A167" s="51" t="str">
        <x:v>INS-163</x:v>
      </x:c>
      <x:c r="B167" s="51" t="str">
        <x:v>MERS System mortgage registry</x:v>
      </x:c>
      <x:c r="C167" s="51" t="str">
        <x:v>Private electronic registry</x:v>
      </x:c>
      <x:c r="D167" s="51" t="str">
        <x:v>Ongoing</x:v>
      </x:c>
      <x:c r="E167" s="51" t="str">
        <x:v>MERSCORP; originators; lenders; servicers</x:v>
      </x:c>
      <x:c r="F167" s="51" t="str">
        <x:v>More than two-thirds of newly originated US residential loans reported by MERS brochure</x:v>
      </x:c>
      <x:c r="G167" s="51" t="str">
        <x:v>Mortgage servicing and beneficial-interest records</x:v>
      </x:c>
      <x:c r="H167" s="51" t="str">
        <x:v>Track changes in servicing rights and beneficial ownership interests</x:v>
      </x:c>
      <x:c r="I167" s="51" t="str">
        <x:v>E1</x:v>
      </x:c>
      <x:c r="J167" s="51" t="str">
        <x:v>SRC-317</x:v>
      </x:c>
      <x:c r="K167" s="51" t="str">
        <x:v>Active</x:v>
      </x:c>
    </x:row>
    <x:row r="168">
      <x:c r="A168" s="51" t="str">
        <x:v>INS-164</x:v>
      </x:c>
      <x:c r="B168" s="51" t="str">
        <x:v>MERS eRegistry</x:v>
      </x:c>
      <x:c r="C168" s="51" t="str">
        <x:v>Electronic note-control registry</x:v>
      </x:c>
      <x:c r="D168" s="51" t="str">
        <x:v>Ongoing</x:v>
      </x:c>
      <x:c r="E168" s="51" t="str">
        <x:v>MERSCORP; eNote controllers; custodians</x:v>
      </x:c>
      <x:c r="F168" s="51" t="str">
        <x:v>National eNote registry</x:v>
      </x:c>
      <x:c r="G168" s="51" t="str">
        <x:v>Electronic mortgage notes</x:v>
      </x:c>
      <x:c r="H168" s="51" t="str">
        <x:v>Identify controller and location of the authoritative copy of registered eNotes</x:v>
      </x:c>
      <x:c r="I168" s="51" t="str">
        <x:v>E1</x:v>
      </x:c>
      <x:c r="J168" s="51" t="str">
        <x:v>SRC-318</x:v>
      </x:c>
      <x:c r="K168" s="51" t="str">
        <x:v>Active</x:v>
      </x:c>
    </x:row>
    <x:row r="169">
      <x:c r="A169" s="51" t="str">
        <x:v>INS-165</x:v>
      </x:c>
      <x:c r="B169" s="51" t="str">
        <x:v>Regulation X mortgage servicing framework</x:v>
      </x:c>
      <x:c r="C169" s="51" t="str">
        <x:v>Consumer servicing rule</x:v>
      </x:c>
      <x:c r="D169" s="51" t="str">
        <x:v>Current 2026</x:v>
      </x:c>
      <x:c r="E169" s="51" t="str">
        <x:v>CFPB; servicers; borrowers</x:v>
      </x:c>
      <x:c r="F169" s="51" t="str">
        <x:v>System-wide</x:v>
      </x:c>
      <x:c r="G169" s="51" t="str">
        <x:v>Servicing obligations</x:v>
      </x:c>
      <x:c r="H169" s="51" t="str">
        <x:v>Regulate disclosures, escrow, error resolution, force-placed insurance and loss mitigation</x:v>
      </x:c>
      <x:c r="I169" s="51" t="str">
        <x:v>E1</x:v>
      </x:c>
      <x:c r="J169" s="51" t="str">
        <x:v>SRC-314</x:v>
      </x:c>
      <x:c r="K169" s="51" t="str">
        <x:v>Active</x:v>
      </x:c>
    </x:row>
    <x:row r="170">
      <x:c r="A170" s="51" t="str">
        <x:v>INS-166</x:v>
      </x:c>
      <x:c r="B170" s="51" t="str">
        <x:v>Regulation Z mortgage disclosure framework</x:v>
      </x:c>
      <x:c r="C170" s="51" t="str">
        <x:v>Consumer credit rule</x:v>
      </x:c>
      <x:c r="D170" s="51" t="str">
        <x:v>Current 2026</x:v>
      </x:c>
      <x:c r="E170" s="51" t="str">
        <x:v>CFPB; creditors; borrowers</x:v>
      </x:c>
      <x:c r="F170" s="51" t="str">
        <x:v>System-wide</x:v>
      </x:c>
      <x:c r="G170" s="51" t="str">
        <x:v>Mortgage terms and costs</x:v>
      </x:c>
      <x:c r="H170" s="51" t="str">
        <x:v>Require standardised disclosures and ability-to-repay related protections</x:v>
      </x:c>
      <x:c r="I170" s="51" t="str">
        <x:v>E1</x:v>
      </x:c>
      <x:c r="J170" s="51" t="str">
        <x:v>SRC-315; SRC-328</x:v>
      </x:c>
      <x:c r="K170" s="51" t="str">
        <x:v>Active</x:v>
      </x:c>
    </x:row>
    <x:row r="171">
      <x:c r="A171" s="51" t="str">
        <x:v>INS-167</x:v>
      </x:c>
      <x:c r="B171" s="51" t="str">
        <x:v>HMDA loan-level disclosure system</x:v>
      </x:c>
      <x:c r="C171" s="51" t="str">
        <x:v>Mortgage market transparency dataset</x:v>
      </x:c>
      <x:c r="D171" s="51" t="str">
        <x:v>Current</x:v>
      </x:c>
      <x:c r="E171" s="51" t="str">
        <x:v>CFPB; reporting lenders; public</x:v>
      </x:c>
      <x:c r="F171" s="51" t="str">
        <x:v>Loan-level applications and originations</x:v>
      </x:c>
      <x:c r="G171" s="51" t="str">
        <x:v>Mortgage application data</x:v>
      </x:c>
      <x:c r="H171" s="51" t="str">
        <x:v>Publish modified data on lending patterns and outcomes</x:v>
      </x:c>
      <x:c r="I171" s="51" t="str">
        <x:v>E1</x:v>
      </x:c>
      <x:c r="J171" s="51" t="str">
        <x:v>SRC-316</x:v>
      </x:c>
      <x:c r="K171" s="51" t="str">
        <x:v>Active</x:v>
      </x:c>
    </x:row>
    <x:row r="172">
      <x:c r="A172" s="51" t="str">
        <x:v>INS-168</x:v>
      </x:c>
      <x:c r="B172" s="51" t="str">
        <x:v>FHA Mutual Mortgage Insurance Fund</x:v>
      </x:c>
      <x:c r="C172" s="51" t="str">
        <x:v>Federal mortgage insurance programme</x:v>
      </x:c>
      <x:c r="D172" s="51" t="str">
        <x:v>FY2025</x:v>
      </x:c>
      <x:c r="E172" s="51" t="str">
        <x:v>FHA; borrowers; approved lenders; taxpayers</x:v>
      </x:c>
      <x:c r="F172" s="51" t="str">
        <x:v>8.1 million active forward mortgages; over $1.6 trillion UPB; 11.47% capital ratio</x:v>
      </x:c>
      <x:c r="G172" s="51" t="str">
        <x:v>USD / insured mortgages</x:v>
      </x:c>
      <x:c r="H172" s="51" t="str">
        <x:v>Insure eligible loans and absorb defined borrower default losses</x:v>
      </x:c>
      <x:c r="I172" s="51" t="str">
        <x:v>E1</x:v>
      </x:c>
      <x:c r="J172" s="51" t="str">
        <x:v>SRC-310; SRC-311</x:v>
      </x:c>
      <x:c r="K172" s="51" t="str">
        <x:v>Active</x:v>
      </x:c>
    </x:row>
    <x:row r="173">
      <x:c r="A173" s="51" t="str">
        <x:v>INS-169</x:v>
      </x:c>
      <x:c r="B173" s="51" t="str">
        <x:v>Fannie Mae guaranty and securitization platform</x:v>
      </x:c>
      <x:c r="C173" s="51" t="str">
        <x:v>Housing finance guarantee system</x:v>
      </x:c>
      <x:c r="D173" s="51" t="str">
        <x:v>2025</x:v>
      </x:c>
      <x:c r="E173" s="51" t="str">
        <x:v>Fannie Mae; lenders; borrowers; investors</x:v>
      </x:c>
      <x:c r="F173" s="51" t="str">
        <x:v>$409.3 billion 2025 funding; $4.1 trillion guaranty book at year-end</x:v>
      </x:c>
      <x:c r="G173" s="51" t="str">
        <x:v>USD mortgages and MBS</x:v>
      </x:c>
      <x:c r="H173" s="51" t="str">
        <x:v>Purchase mortgages, issue MBS and guarantee principal and interest</x:v>
      </x:c>
      <x:c r="I173" s="51" t="str">
        <x:v>E1</x:v>
      </x:c>
      <x:c r="J173" s="51" t="str">
        <x:v>SRC-302; SRC-303</x:v>
      </x:c>
      <x:c r="K173" s="51" t="str">
        <x:v>Active under conservatorship</x:v>
      </x:c>
    </x:row>
    <x:row r="174">
      <x:c r="A174" s="51" t="str">
        <x:v>INS-170</x:v>
      </x:c>
      <x:c r="B174" s="51" t="str">
        <x:v>Freddie Mac mortgage purchase and guarantee platform</x:v>
      </x:c>
      <x:c r="C174" s="51" t="str">
        <x:v>Housing finance guarantee system</x:v>
      </x:c>
      <x:c r="D174" s="51" t="str">
        <x:v>2025</x:v>
      </x:c>
      <x:c r="E174" s="51" t="str">
        <x:v>Freddie Mac; lenders; borrowers; investors</x:v>
      </x:c>
      <x:c r="F174" s="51" t="str">
        <x:v>Trillion-dollar mortgage portfolio</x:v>
      </x:c>
      <x:c r="G174" s="51" t="str">
        <x:v>USD mortgages and MBS</x:v>
      </x:c>
      <x:c r="H174" s="51" t="str">
        <x:v>Purchase, guarantee and securitise single-family and multifamily mortgages</x:v>
      </x:c>
      <x:c r="I174" s="51" t="str">
        <x:v>E1</x:v>
      </x:c>
      <x:c r="J174" s="51" t="str">
        <x:v>SRC-304</x:v>
      </x:c>
      <x:c r="K174" s="51" t="str">
        <x:v>Active under conservatorship</x:v>
      </x:c>
    </x:row>
    <x:row r="175">
      <x:c r="A175" s="51" t="str">
        <x:v>INS-171</x:v>
      </x:c>
      <x:c r="B175" s="51" t="str">
        <x:v>Ginnie Mae MBS guaranty programme</x:v>
      </x:c>
      <x:c r="C175" s="51" t="str">
        <x:v>Full-faith-and-credit MBS guarantee</x:v>
      </x:c>
      <x:c r="D175" s="51" t="str">
        <x:v>FY2025</x:v>
      </x:c>
      <x:c r="E175" s="51" t="str">
        <x:v>Ginnie Mae; approved issuers; government-insured borrowers; investors</x:v>
      </x:c>
      <x:c r="F175" s="51" t="str">
        <x:v>$526.4 billion FY2025 issuance; $2.834 trillion outstanding MBS</x:v>
      </x:c>
      <x:c r="G175" s="51" t="str">
        <x:v>USD MBS</x:v>
      </x:c>
      <x:c r="H175" s="51" t="str">
        <x:v>Guarantee timely payment on securities backed by qualifying government-insured loans</x:v>
      </x:c>
      <x:c r="I175" s="51" t="str">
        <x:v>E1</x:v>
      </x:c>
      <x:c r="J175" s="51" t="str">
        <x:v>SRC-305; SRC-306</x:v>
      </x:c>
      <x:c r="K175" s="51" t="str">
        <x:v>Active</x:v>
      </x:c>
    </x:row>
    <x:row r="176">
      <x:c r="A176" s="51" t="str">
        <x:v>INS-172</x:v>
      </x:c>
      <x:c r="B176" s="51" t="str">
        <x:v>Common Securitization Platform and UMBS</x:v>
      </x:c>
      <x:c r="C176" s="51" t="str">
        <x:v>Mortgage market infrastructure</x:v>
      </x:c>
      <x:c r="D176" s="51" t="str">
        <x:v>2019–present</x:v>
      </x:c>
      <x:c r="E176" s="51" t="str">
        <x:v>Fannie Mae; Freddie Mac; CSS; investors</x:v>
      </x:c>
      <x:c r="F176" s="51" t="str">
        <x:v>Largest segment of agency single-family MBS</x:v>
      </x:c>
      <x:c r="G176" s="51" t="str">
        <x:v>USD MBS</x:v>
      </x:c>
      <x:c r="H176" s="51" t="str">
        <x:v>Issue and administer fungible Enterprise mortgage-backed securities</x:v>
      </x:c>
      <x:c r="I176" s="51" t="str">
        <x:v>E1</x:v>
      </x:c>
      <x:c r="J176" s="51" t="str">
        <x:v>SRC-309</x:v>
      </x:c>
      <x:c r="K176" s="51" t="str">
        <x:v>Active</x:v>
      </x:c>
    </x:row>
    <x:row r="177">
      <x:c r="A177" s="51" t="str">
        <x:v>INS-173</x:v>
      </x:c>
      <x:c r="B177" s="51" t="str">
        <x:v>Fannie Mae Connecticut Avenue Securities</x:v>
      </x:c>
      <x:c r="C177" s="51" t="str">
        <x:v>Credit-risk transfer instrument</x:v>
      </x:c>
      <x:c r="D177" s="51" t="str">
        <x:v>2025 programme</x:v>
      </x:c>
      <x:c r="E177" s="51" t="str">
        <x:v>Fannie Mae; CAS investors</x:v>
      </x:c>
      <x:c r="F177" s="51" t="str">
        <x:v>Approximately $4 billion expected 2025 volume across 5–7 transactions</x:v>
      </x:c>
      <x:c r="G177" s="51" t="str">
        <x:v>USD credit-risk notes</x:v>
      </x:c>
      <x:c r="H177" s="51" t="str">
        <x:v>Transfer defined mortgage credit losses to private investors</x:v>
      </x:c>
      <x:c r="I177" s="51" t="str">
        <x:v>E1</x:v>
      </x:c>
      <x:c r="J177" s="51" t="str">
        <x:v>SRC-307; SRC-308</x:v>
      </x:c>
      <x:c r="K177" s="51" t="str">
        <x:v>Active / issuance-specific</x:v>
      </x:c>
    </x:row>
    <x:row r="178">
      <x:c r="A178" s="51" t="str">
        <x:v>INS-174</x:v>
      </x:c>
      <x:c r="B178" s="51" t="str">
        <x:v>Federal Home Loan Bank advances</x:v>
      </x:c>
      <x:c r="C178" s="51" t="str">
        <x:v>Collateralised wholesale funding</x:v>
      </x:c>
      <x:c r="D178" s="51" t="str">
        <x:v>Ongoing</x:v>
      </x:c>
      <x:c r="E178" s="51" t="str">
        <x:v>FHLBanks; member institutions</x:v>
      </x:c>
      <x:c r="F178" s="51" t="str">
        <x:v>Member- and district-specific</x:v>
      </x:c>
      <x:c r="G178" s="51" t="str">
        <x:v>USD advances</x:v>
      </x:c>
      <x:c r="H178" s="51" t="str">
        <x:v>Provide low-cost fully secured loans against mortgages and eligible assets</x:v>
      </x:c>
      <x:c r="I178" s="51" t="str">
        <x:v>E1</x:v>
      </x:c>
      <x:c r="J178" s="51" t="str">
        <x:v>SRC-312; SRC-331</x:v>
      </x:c>
      <x:c r="K178" s="51" t="str">
        <x:v>Active</x:v>
      </x:c>
    </x:row>
    <x:row r="179">
      <x:c r="A179" s="51" t="str">
        <x:v>INS-175</x:v>
      </x:c>
      <x:c r="B179" s="51" t="str">
        <x:v>FHLBank Affordable Housing and Community Investment programmes</x:v>
      </x:c>
      <x:c r="C179" s="51" t="str">
        <x:v>Housing and community finance programme</x:v>
      </x:c>
      <x:c r="D179" s="51" t="str">
        <x:v>Ongoing</x:v>
      </x:c>
      <x:c r="E179" s="51" t="str">
        <x:v>FHLBanks; members; housing projects</x:v>
      </x:c>
      <x:c r="F179" s="51" t="str">
        <x:v>Programme-specific</x:v>
      </x:c>
      <x:c r="G179" s="51" t="str">
        <x:v>Advances and grants</x:v>
      </x:c>
      <x:c r="H179" s="51" t="str">
        <x:v>Support affordable housing and community development through member institutions</x:v>
      </x:c>
      <x:c r="I179" s="51" t="str">
        <x:v>E1</x:v>
      </x:c>
      <x:c r="J179" s="51" t="str">
        <x:v>SRC-313</x:v>
      </x:c>
      <x:c r="K179" s="51" t="str">
        <x:v>Active</x:v>
      </x:c>
    </x:row>
    <x:row r="180">
      <x:c r="A180" s="51" t="str">
        <x:v>INS-176</x:v>
      </x:c>
      <x:c r="B180" s="51" t="str">
        <x:v>2026 conforming loan limit</x:v>
      </x:c>
      <x:c r="C180" s="51" t="str">
        <x:v>Mortgage acquisition eligibility threshold</x:v>
      </x:c>
      <x:c r="D180" s="51" t="str">
        <x:v>2026</x:v>
      </x:c>
      <x:c r="E180" s="51" t="str">
        <x:v>FHFA; Fannie Mae; Freddie Mac; lenders</x:v>
      </x:c>
      <x:c r="F180" s="51" t="str">
        <x:v>$832,750 baseline for one-unit properties in most US areas</x:v>
      </x:c>
      <x:c r="G180" s="51" t="str">
        <x:v>USD loan balance</x:v>
      </x:c>
      <x:c r="H180" s="51" t="str">
        <x:v>Define baseline maximum mortgage size eligible for Enterprise acquisition</x:v>
      </x:c>
      <x:c r="I180" s="51" t="str">
        <x:v>E1</x:v>
      </x:c>
      <x:c r="J180" s="51" t="str">
        <x:v>SRC-325</x:v>
      </x:c>
      <x:c r="K180" s="51" t="str">
        <x:v>Active for 2026</x:v>
      </x:c>
    </x:row>
    <x:row r="181">
      <x:c r="A181" s="51" t="str">
        <x:v>INS-177</x:v>
      </x:c>
      <x:c r="B181" s="51" t="str">
        <x:v>2025–2027 Enterprise housing goals</x:v>
      </x:c>
      <x:c r="C181" s="51" t="str">
        <x:v>Regulatory purchase benchmarks</x:v>
      </x:c>
      <x:c r="D181" s="51" t="str">
        <x:v>2025–2027</x:v>
      </x:c>
      <x:c r="E181" s="51" t="str">
        <x:v>FHFA; Fannie Mae; Freddie Mac</x:v>
      </x:c>
      <x:c r="F181" s="51" t="str">
        <x:v>Goal-specific</x:v>
      </x:c>
      <x:c r="G181" s="51" t="str">
        <x:v>Mortgage acquisitions</x:v>
      </x:c>
      <x:c r="H181" s="51" t="str">
        <x:v>Require benchmarks for low-income, very-low-income and multifamily housing purchases</x:v>
      </x:c>
      <x:c r="I181" s="51" t="str">
        <x:v>E1</x:v>
      </x:c>
      <x:c r="J181" s="51" t="str">
        <x:v>SRC-326</x:v>
      </x:c>
      <x:c r="K181" s="51" t="str">
        <x:v>Active</x:v>
      </x:c>
    </x:row>
    <x:row r="182">
      <x:c r="A182" s="51" t="str">
        <x:v>INS-178</x:v>
      </x:c>
      <x:c r="B182" s="51" t="str">
        <x:v>2025 Enterprise multifamily purchase caps</x:v>
      </x:c>
      <x:c r="C182" s="51" t="str">
        <x:v>Regulatory volume cap</x:v>
      </x:c>
      <x:c r="D182" s="51" t="str">
        <x:v>2025</x:v>
      </x:c>
      <x:c r="E182" s="51" t="str">
        <x:v>FHFA; Fannie Mae; Freddie Mac</x:v>
      </x:c>
      <x:c r="F182" s="51" t="str">
        <x:v>$73 billion per Enterprise; $146 billion total</x:v>
      </x:c>
      <x:c r="G182" s="51" t="str">
        <x:v>USD multifamily mortgages</x:v>
      </x:c>
      <x:c r="H182" s="51" t="str">
        <x:v>Limit annual multifamily purchases while exempting mission-driven categories</x:v>
      </x:c>
      <x:c r="I182" s="51" t="str">
        <x:v>E1</x:v>
      </x:c>
      <x:c r="J182" s="51" t="str">
        <x:v>SRC-327</x:v>
      </x:c>
      <x:c r="K182" s="51" t="str">
        <x:v>2025 period</x:v>
      </x:c>
    </x:row>
    <x:row r="183">
      <x:c r="A183" s="51" t="str">
        <x:v>INS-179</x:v>
      </x:c>
      <x:c r="B183" s="51" t="str">
        <x:v>Invitation Homes rental portfolio</x:v>
      </x:c>
      <x:c r="C183" s="51" t="str">
        <x:v>Institutional rental housing portfolio</x:v>
      </x:c>
      <x:c r="D183" s="51" t="str">
        <x:v>2025 year-end</x:v>
      </x:c>
      <x:c r="E183" s="51" t="str">
        <x:v>Invitation Homes; tenants; investors</x:v>
      </x:c>
      <x:c r="F183" s="51" t="str">
        <x:v>86,192 wholly owned homes; 8,006 jointly owned; 15,866 third-party managed</x:v>
      </x:c>
      <x:c r="G183" s="51" t="str">
        <x:v>Homes</x:v>
      </x:c>
      <x:c r="H183" s="51" t="str">
        <x:v>Aggregate acquisition, leasing and professional management of single-family homes</x:v>
      </x:c>
      <x:c r="I183" s="51" t="str">
        <x:v>E1</x:v>
      </x:c>
      <x:c r="J183" s="51" t="str">
        <x:v>SRC-322</x:v>
      </x:c>
      <x:c r="K183" s="51" t="str">
        <x:v>Active</x:v>
      </x:c>
    </x:row>
    <x:row r="184">
      <x:c r="A184" s="51" t="str">
        <x:v>INS-180</x:v>
      </x:c>
      <x:c r="B184" s="51" t="str">
        <x:v>American Homes 4 Rent rental portfolio</x:v>
      </x:c>
      <x:c r="C184" s="51" t="str">
        <x:v>Institutional rental housing portfolio</x:v>
      </x:c>
      <x:c r="D184" s="51" t="str">
        <x:v>2025 year-end</x:v>
      </x:c>
      <x:c r="E184" s="51" t="str">
        <x:v>AMH; tenants; investors</x:v>
      </x:c>
      <x:c r="F184" s="51" t="str">
        <x:v>More than 61,000 single-family properties</x:v>
      </x:c>
      <x:c r="G184" s="51" t="str">
        <x:v>Homes</x:v>
      </x:c>
      <x:c r="H184" s="51" t="str">
        <x:v>Own, develop, lease and manage single-family rental communities</x:v>
      </x:c>
      <x:c r="I184" s="51" t="str">
        <x:v>E1</x:v>
      </x:c>
      <x:c r="J184" s="51" t="str">
        <x:v>SRC-323</x:v>
      </x:c>
      <x:c r="K184" s="51" t="str">
        <x:v>Active</x:v>
      </x:c>
    </x:row>
    <x:row r="185">
      <x:c r="A185" s="51" t="str">
        <x:v>INS-181</x:v>
      </x:c>
      <x:c r="B185" s="51" t="str">
        <x:v>BREIT rental-housing allocation</x:v>
      </x:c>
      <x:c r="C185" s="51" t="str">
        <x:v>Private real-estate fund portfolio</x:v>
      </x:c>
      <x:c r="D185" s="51" t="str">
        <x:v>2025</x:v>
      </x:c>
      <x:c r="E185" s="51" t="str">
        <x:v>BREIT; Blackstone; investors; tenants</x:v>
      </x:c>
      <x:c r="F185" s="51" t="str">
        <x:v>Portfolio concentration includes multifamily, student, affordable and single-family rental housing</x:v>
      </x:c>
      <x:c r="G185" s="51" t="str">
        <x:v>USD / properties</x:v>
      </x:c>
      <x:c r="H185" s="51" t="str">
        <x:v>Pool investor capital into diversified income-producing real estate</x:v>
      </x:c>
      <x:c r="I185" s="51" t="str">
        <x:v>E1</x:v>
      </x:c>
      <x:c r="J185" s="51" t="str">
        <x:v>SRC-324</x:v>
      </x:c>
      <x:c r="K185" s="51" t="str">
        <x:v>Active</x:v>
      </x:c>
    </x:row>
    <x:row r="186">
      <x:c r="A186" s="51" t="str">
        <x:v>INS-182</x:v>
      </x:c>
      <x:c r="B186" s="51" t="str">
        <x:v>Property tax assessment and collection system</x:v>
      </x:c>
      <x:c r="C186" s="51" t="str">
        <x:v>Local tax instrument</x:v>
      </x:c>
      <x:c r="D186" s="51" t="str">
        <x:v>Annual</x:v>
      </x:c>
      <x:c r="E186" s="51" t="str">
        <x:v>Local governments; assessors; property taxpayers</x:v>
      </x:c>
      <x:c r="F186" s="51" t="str">
        <x:v>Nationwide local-government revenue category</x:v>
      </x:c>
      <x:c r="G186" s="51" t="str">
        <x:v>Assessed property value</x:v>
      </x:c>
      <x:c r="H186" s="51" t="str">
        <x:v>Convert parcel ownership and valuation into recurring local-government revenue</x:v>
      </x:c>
      <x:c r="I186" s="51" t="str">
        <x:v>E1</x:v>
      </x:c>
      <x:c r="J186" s="51" t="str">
        <x:v>SRC-292; SRC-293</x:v>
      </x:c>
      <x:c r="K186" s="51" t="str">
        <x:v>State and local specific</x:v>
      </x:c>
    </x:row>
    <x:row r="187">
      <x:c r="A187" s="51" t="str">
        <x:v>INS-183</x:v>
      </x:c>
      <x:c r="B187" s="51" t="str">
        <x:v>Municipal bond issuance</x:v>
      </x:c>
      <x:c r="C187" s="51" t="str">
        <x:v>Public debt instrument</x:v>
      </x:c>
      <x:c r="D187" s="51" t="str">
        <x:v>Ongoing</x:v>
      </x:c>
      <x:c r="E187" s="51" t="str">
        <x:v>Municipal issuers; advisors; underwriters; investors</x:v>
      </x:c>
      <x:c r="F187" s="51" t="str">
        <x:v>Approximately $4 trillion market referenced in official market materials</x:v>
      </x:c>
      <x:c r="G187" s="51" t="str">
        <x:v>USD debt</x:v>
      </x:c>
      <x:c r="H187" s="51" t="str">
        <x:v>Finance schools, transport, water, sewer and other public purposes</x:v>
      </x:c>
      <x:c r="I187" s="51" t="str">
        <x:v>E1</x:v>
      </x:c>
      <x:c r="J187" s="51" t="str">
        <x:v>SRC-294; SRC-295; SRC-299</x:v>
      </x:c>
      <x:c r="K187" s="51" t="str">
        <x:v>Active</x:v>
      </x:c>
    </x:row>
    <x:row r="188">
      <x:c r="A188" s="51" t="str">
        <x:v>INS-184</x:v>
      </x:c>
      <x:c r="B188" s="51" t="str">
        <x:v>EMMA municipal disclosure and trade-data system</x:v>
      </x:c>
      <x:c r="C188" s="51" t="str">
        <x:v>Market transparency infrastructure</x:v>
      </x:c>
      <x:c r="D188" s="51" t="str">
        <x:v>Ongoing</x:v>
      </x:c>
      <x:c r="E188" s="51" t="str">
        <x:v>MSRB; issuers; underwriters; investors</x:v>
      </x:c>
      <x:c r="F188" s="51" t="str">
        <x:v>More than one million outstanding municipal securities covered</x:v>
      </x:c>
      <x:c r="G188" s="51" t="str">
        <x:v>Disclosures and trade data</x:v>
      </x:c>
      <x:c r="H188" s="51" t="str">
        <x:v>Publish official statements, continuing disclosures, ratings and transaction data</x:v>
      </x:c>
      <x:c r="I188" s="51" t="str">
        <x:v>E1</x:v>
      </x:c>
      <x:c r="J188" s="51" t="str">
        <x:v>SRC-296; SRC-329</x:v>
      </x:c>
      <x:c r="K188" s="51" t="str">
        <x:v>Active</x:v>
      </x:c>
    </x:row>
    <x:row r="189">
      <x:c r="A189" s="51" t="str">
        <x:v>INS-185</x:v>
      </x:c>
      <x:c r="B189" s="51" t="str">
        <x:v>MSRB Rule G-37</x:v>
      </x:c>
      <x:c r="C189" s="51" t="str">
        <x:v>Political-contribution conflict rule</x:v>
      </x:c>
      <x:c r="D189" s="51" t="str">
        <x:v>Current 2026</x:v>
      </x:c>
      <x:c r="E189" s="51" t="str">
        <x:v>Dealers; municipal advisors; municipal officials</x:v>
      </x:c>
      <x:c r="F189" s="51" t="str">
        <x:v>Two-year business ban under defined contribution conditions</x:v>
      </x:c>
      <x:c r="G189" s="51" t="str">
        <x:v>Compliance right</x:v>
      </x:c>
      <x:c r="H189" s="51" t="str">
        <x:v>Limit pay-to-play incentives in municipal underwriting and advisory selection</x:v>
      </x:c>
      <x:c r="I189" s="51" t="str">
        <x:v>E1</x:v>
      </x:c>
      <x:c r="J189" s="51" t="str">
        <x:v>SRC-297</x:v>
      </x:c>
      <x:c r="K189" s="51" t="str">
        <x:v>Active</x:v>
      </x:c>
    </x:row>
    <x:row r="190">
      <x:c r="A190" s="51" t="str">
        <x:v>INS-186</x:v>
      </x:c>
      <x:c r="B190" s="51" t="str">
        <x:v>MSRB Rule G-42</x:v>
      </x:c>
      <x:c r="C190" s="51" t="str">
        <x:v>Municipal advisor conduct rule</x:v>
      </x:c>
      <x:c r="D190" s="51" t="str">
        <x:v>Current 2026</x:v>
      </x:c>
      <x:c r="E190" s="51" t="str">
        <x:v>Municipal advisors; municipal clients</x:v>
      </x:c>
      <x:c r="F190" s="51" t="str">
        <x:v>Client-specific</x:v>
      </x:c>
      <x:c r="G190" s="51" t="str">
        <x:v>Advisory duties</x:v>
      </x:c>
      <x:c r="H190" s="51" t="str">
        <x:v>Impose duties of care and conduct on municipal advisors</x:v>
      </x:c>
      <x:c r="I190" s="51" t="str">
        <x:v>E1</x:v>
      </x:c>
      <x:c r="J190" s="51" t="str">
        <x:v>SRC-298</x:v>
      </x:c>
      <x:c r="K190" s="51" t="str">
        <x:v>Active</x:v>
      </x:c>
    </x:row>
    <x:row r="191">
      <x:c r="A191" s="51" t="str">
        <x:v>INS-187</x:v>
      </x:c>
      <x:c r="B191" s="51" t="str">
        <x:v>OPEC and non-OPEC Declaration of Cooperation</x:v>
      </x:c>
      <x:c r="C191" s="51" t="str">
        <x:v>Intergovernmental production coordination framework</x:v>
      </x:c>
      <x:c r="D191" s="51" t="str">
        <x:v>2016–present</x:v>
      </x:c>
      <x:c r="E191" s="51" t="str">
        <x:v>OPEC members; participating non-OPEC producers; OPEC Secretariat</x:v>
      </x:c>
      <x:c r="F191" s="51" t="str">
        <x:v>Coalition-wide production levels</x:v>
      </x:c>
      <x:c r="G191" s="51" t="str">
        <x:v>Barrels per day</x:v>
      </x:c>
      <x:c r="H191" s="51" t="str">
        <x:v>Coordinate crude production policy and market stabilisation</x:v>
      </x:c>
      <x:c r="I191" s="51" t="str">
        <x:v>E1</x:v>
      </x:c>
      <x:c r="J191" s="51" t="str">
        <x:v>SRC-334; SRC-335; SRC-336</x:v>
      </x:c>
      <x:c r="K191" s="51" t="str">
        <x:v>Active</x:v>
      </x:c>
    </x:row>
    <x:row r="192">
      <x:c r="A192" s="51" t="str">
        <x:v>INS-188</x:v>
      </x:c>
      <x:c r="B192" s="51" t="str">
        <x:v>2026 OPEC+ production and conformity framework</x:v>
      </x:c>
      <x:c r="C192" s="51" t="str">
        <x:v>Intergovernmental production decision</x:v>
      </x:c>
      <x:c r="D192" s="51" t="str">
        <x:v>2026</x:v>
      </x:c>
      <x:c r="E192" s="51" t="str">
        <x:v>Declaration of Cooperation participants; JMMC</x:v>
      </x:c>
      <x:c r="F192" s="51" t="str">
        <x:v>Overall production level reaffirmed through 31 December 2026</x:v>
      </x:c>
      <x:c r="G192" s="51" t="str">
        <x:v>Barrels per day</x:v>
      </x:c>
      <x:c r="H192" s="51" t="str">
        <x:v>Set production references, monitor conformity and require compensation for overproduction</x:v>
      </x:c>
      <x:c r="I192" s="51" t="str">
        <x:v>E1</x:v>
      </x:c>
      <x:c r="J192" s="51" t="str">
        <x:v>SRC-335; SRC-336</x:v>
      </x:c>
      <x:c r="K192" s="51" t="str">
        <x:v>Active for 2026</x:v>
      </x:c>
    </x:row>
    <x:row r="193">
      <x:c r="A193" s="51" t="str">
        <x:v>INS-189</x:v>
      </x:c>
      <x:c r="B193" s="51" t="str">
        <x:v>ADNOC Murban assignment and offtake structure</x:v>
      </x:c>
      <x:c r="C193" s="51" t="str">
        <x:v>Resource-right and offtake contracts</x:v>
      </x:c>
      <x:c r="D193" s="51" t="str">
        <x:v>2022–2052</x:v>
      </x:c>
      <x:c r="E193" s="51" t="str">
        <x:v>ADNOC; ADNOC Murban RSC; ADNOC Trading</x:v>
      </x:c>
      <x:c r="F193" s="51" t="str">
        <x:v>30-year assignment and crude sale framework</x:v>
      </x:c>
      <x:c r="G193" s="51" t="str">
        <x:v>USD / crude oil</x:v>
      </x:c>
      <x:c r="H193" s="51" t="str">
        <x:v>Assign crude interests and monetise production through contracted offtake</x:v>
      </x:c>
      <x:c r="I193" s="51" t="str">
        <x:v>E1</x:v>
      </x:c>
      <x:c r="J193" s="51" t="str">
        <x:v>SRC-338</x:v>
      </x:c>
      <x:c r="K193" s="51" t="str">
        <x:v>Active</x:v>
      </x:c>
    </x:row>
    <x:row r="194">
      <x:c r="A194" s="51" t="str">
        <x:v>INS-190</x:v>
      </x:c>
      <x:c r="B194" s="51" t="str">
        <x:v>Hail and Ghasha future-gas structured financing</x:v>
      </x:c>
      <x:c r="C194" s="51" t="str">
        <x:v>Resource-backed structured finance</x:v>
      </x:c>
      <x:c r="D194" s="51" t="str">
        <x:v>2025</x:v>
      </x:c>
      <x:c r="E194" s="51" t="str">
        <x:v>ADNOC; Eni; PTTEP; financing providers</x:v>
      </x:c>
      <x:c r="F194" s="51" t="str">
        <x:v>Up to $11 billion</x:v>
      </x:c>
      <x:c r="G194" s="51" t="str">
        <x:v>USD</x:v>
      </x:c>
      <x:c r="H194" s="51" t="str">
        <x:v>Monetise future midstream gas production and finance development</x:v>
      </x:c>
      <x:c r="I194" s="51" t="str">
        <x:v>E1</x:v>
      </x:c>
      <x:c r="J194" s="51" t="str">
        <x:v>SRC-339</x:v>
      </x:c>
      <x:c r="K194" s="51" t="str">
        <x:v>Signed</x:v>
      </x:c>
    </x:row>
    <x:row r="195">
      <x:c r="A195" s="51" t="str">
        <x:v>INS-191</x:v>
      </x:c>
      <x:c r="B195" s="51" t="str">
        <x:v>ADNOC–IndianOil Ruwais LNG sales and purchase agreement</x:v>
      </x:c>
      <x:c r="C195" s="51" t="str">
        <x:v>Long-term commodity offtake contract</x:v>
      </x:c>
      <x:c r="D195" s="51" t="str">
        <x:v>2025–2040s</x:v>
      </x:c>
      <x:c r="E195" s="51" t="str">
        <x:v>ADNOC; Indian Oil Corporation</x:v>
      </x:c>
      <x:c r="F195" s="51" t="str">
        <x:v>1 million tonnes per annum for 15 years</x:v>
      </x:c>
      <x:c r="G195" s="51" t="str">
        <x:v>LNG tonnes</x:v>
      </x:c>
      <x:c r="H195" s="51" t="str">
        <x:v>Secure long-term LNG demand and supply from Ruwais LNG</x:v>
      </x:c>
      <x:c r="I195" s="51" t="str">
        <x:v>E1</x:v>
      </x:c>
      <x:c r="J195" s="51" t="str">
        <x:v>SRC-340</x:v>
      </x:c>
      <x:c r="K195" s="51" t="str">
        <x:v>Signed</x:v>
      </x:c>
    </x:row>
    <x:row r="196">
      <x:c r="A196" s="51" t="str">
        <x:v>INS-192</x:v>
      </x:c>
      <x:c r="B196" s="51" t="str">
        <x:v>QatarEnergy North Field LNG expansion</x:v>
      </x:c>
      <x:c r="C196" s="51" t="str">
        <x:v>LNG production expansion programme</x:v>
      </x:c>
      <x:c r="D196" s="51" t="str">
        <x:v>2020s</x:v>
      </x:c>
      <x:c r="E196" s="51" t="str">
        <x:v>QatarEnergy; project partners; contractors; buyers</x:v>
      </x:c>
      <x:c r="F196" s="51" t="str">
        <x:v>Capacity increase from 77 to 126 MTPA through NFE and NFS</x:v>
      </x:c>
      <x:c r="G196" s="51" t="str">
        <x:v>LNG tonnes per annum</x:v>
      </x:c>
      <x:c r="H196" s="51" t="str">
        <x:v>Expand sovereign LNG production, shipping and marketing capacity</x:v>
      </x:c>
      <x:c r="I196" s="51" t="str">
        <x:v>E1</x:v>
      </x:c>
      <x:c r="J196" s="51" t="str">
        <x:v>SRC-342; SRC-343</x:v>
      </x:c>
      <x:c r="K196" s="51" t="str">
        <x:v>Under development</x:v>
      </x:c>
    </x:row>
    <x:row r="197">
      <x:c r="A197" s="51" t="str">
        <x:v>INS-193</x:v>
      </x:c>
      <x:c r="B197" s="51" t="str">
        <x:v>Cheniere US LNG export platform</x:v>
      </x:c>
      <x:c r="C197" s="51" t="str">
        <x:v>Liquefaction and export system</x:v>
      </x:c>
      <x:c r="D197" s="51" t="str">
        <x:v>2025</x:v>
      </x:c>
      <x:c r="E197" s="51" t="str">
        <x:v>Cheniere; gas suppliers; LNG buyers; shipowners</x:v>
      </x:c>
      <x:c r="F197" s="51" t="str">
        <x:v>670 cargoes exported in 2025</x:v>
      </x:c>
      <x:c r="G197" s="51" t="str">
        <x:v>LNG cargoes</x:v>
      </x:c>
      <x:c r="H197" s="51" t="str">
        <x:v>Convert US pipeline gas into seaborne LNG for global buyers</x:v>
      </x:c>
      <x:c r="I197" s="51" t="str">
        <x:v>E1</x:v>
      </x:c>
      <x:c r="J197" s="51" t="str">
        <x:v>SRC-344</x:v>
      </x:c>
      <x:c r="K197" s="51" t="str">
        <x:v>Active and expanding</x:v>
      </x:c>
    </x:row>
    <x:row r="198">
      <x:c r="A198" s="51" t="str">
        <x:v>INS-194</x:v>
      </x:c>
      <x:c r="B198" s="51" t="str">
        <x:v>Platts JKM LNG benchmark</x:v>
      </x:c>
      <x:c r="C198" s="51" t="str">
        <x:v>Physical LNG price assessment</x:v>
      </x:c>
      <x:c r="D198" s="51" t="str">
        <x:v>Ongoing</x:v>
      </x:c>
      <x:c r="E198" s="51" t="str">
        <x:v>S&amp;P Global Energy; market participants</x:v>
      </x:c>
      <x:c r="F198" s="51" t="str">
        <x:v>Spot DES cargo assessment into Northeast Asia</x:v>
      </x:c>
      <x:c r="G198" s="51" t="str">
        <x:v>USD per MMBtu</x:v>
      </x:c>
      <x:c r="H198" s="51" t="str">
        <x:v>Price LNG spot cargoes and reference contracts and derivatives</x:v>
      </x:c>
      <x:c r="I198" s="51" t="str">
        <x:v>E1</x:v>
      </x:c>
      <x:c r="J198" s="51" t="str">
        <x:v>SRC-345</x:v>
      </x:c>
      <x:c r="K198" s="51" t="str">
        <x:v>Active</x:v>
      </x:c>
    </x:row>
    <x:row r="199">
      <x:c r="A199" s="51" t="str">
        <x:v>INS-195</x:v>
      </x:c>
      <x:c r="B199" s="51" t="str">
        <x:v>ICE Brent crude futures and ICE Brent Index</x:v>
      </x:c>
      <x:c r="C199" s="51" t="str">
        <x:v>Crude oil futures and cash-settlement benchmark</x:v>
      </x:c>
      <x:c r="D199" s="51" t="str">
        <x:v>Ongoing</x:v>
      </x:c>
      <x:c r="E199" s="51" t="str">
        <x:v>ICE Futures Europe; traders; hedgers</x:v>
      </x:c>
      <x:c r="F199" s="51" t="str">
        <x:v>1,000-barrel futures contract; 700,000-barrel cargoes considered in index</x:v>
      </x:c>
      <x:c r="G199" s="51" t="str">
        <x:v>USD per barrel</x:v>
      </x:c>
      <x:c r="H199" s="51" t="str">
        <x:v>Hedge and price global crude exposure using physical-market-linked derivatives</x:v>
      </x:c>
      <x:c r="I199" s="51" t="str">
        <x:v>E1</x:v>
      </x:c>
      <x:c r="J199" s="51" t="str">
        <x:v>SRC-346; SRC-347</x:v>
      </x:c>
      <x:c r="K199" s="51" t="str">
        <x:v>Active</x:v>
      </x:c>
    </x:row>
    <x:row r="200">
      <x:c r="A200" s="51" t="str">
        <x:v>INS-196</x:v>
      </x:c>
      <x:c r="B200" s="51" t="str">
        <x:v>Platts Dated Brent assessment</x:v>
      </x:c>
      <x:c r="C200" s="51" t="str">
        <x:v>Physical crude price assessment</x:v>
      </x:c>
      <x:c r="D200" s="51" t="str">
        <x:v>Ongoing</x:v>
      </x:c>
      <x:c r="E200" s="51" t="str">
        <x:v>S&amp;P Global Energy; cargo market participants</x:v>
      </x:c>
      <x:c r="F200" s="51" t="str">
        <x:v>Atlantic Basin cargo benchmark</x:v>
      </x:c>
      <x:c r="G200" s="51" t="str">
        <x:v>USD per barrel</x:v>
      </x:c>
      <x:c r="H200" s="51" t="str">
        <x:v>Translate published physical cargo information into a benchmark assessment</x:v>
      </x:c>
      <x:c r="I200" s="51" t="str">
        <x:v>E1</x:v>
      </x:c>
      <x:c r="J200" s="51" t="str">
        <x:v>SRC-348</x:v>
      </x:c>
      <x:c r="K200" s="51" t="str">
        <x:v>Active</x:v>
      </x:c>
    </x:row>
    <x:row r="201">
      <x:c r="A201" s="51" t="str">
        <x:v>INS-197</x:v>
      </x:c>
      <x:c r="B201" s="51" t="str">
        <x:v>NYMEX WTI crude oil futures</x:v>
      </x:c>
      <x:c r="C201" s="51" t="str">
        <x:v>Crude oil futures contract</x:v>
      </x:c>
      <x:c r="D201" s="51" t="str">
        <x:v>Ongoing</x:v>
      </x:c>
      <x:c r="E201" s="51" t="str">
        <x:v>CME/NYMEX; traders; hedgers</x:v>
      </x:c>
      <x:c r="F201" s="51" t="str">
        <x:v>1,000 barrels per standard contract</x:v>
      </x:c>
      <x:c r="G201" s="51" t="str">
        <x:v>USD per barrel</x:v>
      </x:c>
      <x:c r="H201" s="51" t="str">
        <x:v>Price and hedge US and increasingly global crude exposure</x:v>
      </x:c>
      <x:c r="I201" s="51" t="str">
        <x:v>E1</x:v>
      </x:c>
      <x:c r="J201" s="51" t="str">
        <x:v>SRC-349; SRC-350</x:v>
      </x:c>
      <x:c r="K201" s="51" t="str">
        <x:v>Active</x:v>
      </x:c>
    </x:row>
    <x:row r="202">
      <x:c r="A202" s="51" t="str">
        <x:v>INS-198</x:v>
      </x:c>
      <x:c r="B202" s="51" t="str">
        <x:v>LME warehouse warrant and stock-reporting system</x:v>
      </x:c>
      <x:c r="C202" s="51" t="str">
        <x:v>Exchange delivery and title system</x:v>
      </x:c>
      <x:c r="D202" s="51" t="str">
        <x:v>Ongoing</x:v>
      </x:c>
      <x:c r="E202" s="51" t="str">
        <x:v>LME; licensed warehouses; warrant holders</x:v>
      </x:c>
      <x:c r="F202" s="51" t="str">
        <x:v>Daily on-warrant and stock reports; 756,996 average daily lots in 2025</x:v>
      </x:c>
      <x:c r="G202" s="51" t="str">
        <x:v>Metal tonnes / lots</x:v>
      </x:c>
      <x:c r="H202" s="51" t="str">
        <x:v>Link futures settlement to deliverable metal and warehouse title</x:v>
      </x:c>
      <x:c r="I202" s="51" t="str">
        <x:v>E1</x:v>
      </x:c>
      <x:c r="J202" s="51" t="str">
        <x:v>SRC-351; SRC-352; SRC-353</x:v>
      </x:c>
      <x:c r="K202" s="51" t="str">
        <x:v>Active</x:v>
      </x:c>
    </x:row>
    <x:row r="203">
      <x:c r="A203" s="51" t="str">
        <x:v>INS-199</x:v>
      </x:c>
      <x:c r="B203" s="51" t="str">
        <x:v>Vitol global energy trading platform</x:v>
      </x:c>
      <x:c r="C203" s="51" t="str">
        <x:v>Commodity merchant system</x:v>
      </x:c>
      <x:c r="D203" s="51" t="str">
        <x:v>2025</x:v>
      </x:c>
      <x:c r="E203" s="51" t="str">
        <x:v>Vitol; producers; buyers; banks; shipowners</x:v>
      </x:c>
      <x:c r="F203" s="51" t="str">
        <x:v>$343 billion turnover; 605 mTOE delivered; 8 million barrels/day crude and products</x:v>
      </x:c>
      <x:c r="G203" s="51" t="str">
        <x:v>USD / commodity volumes</x:v>
      </x:c>
      <x:c r="H203" s="51" t="str">
        <x:v>Move, store, blend, finance and hedge energy across regions</x:v>
      </x:c>
      <x:c r="I203" s="51" t="str">
        <x:v>E1</x:v>
      </x:c>
      <x:c r="J203" s="51" t="str">
        <x:v>SRC-354</x:v>
      </x:c>
      <x:c r="K203" s="51" t="str">
        <x:v>Active</x:v>
      </x:c>
    </x:row>
    <x:row r="204">
      <x:c r="A204" s="51" t="str">
        <x:v>INS-200</x:v>
      </x:c>
      <x:c r="B204" s="51" t="str">
        <x:v>Trafigura global commodity trading platform</x:v>
      </x:c>
      <x:c r="C204" s="51" t="str">
        <x:v>Commodity merchant system</x:v>
      </x:c>
      <x:c r="D204" s="51" t="str">
        <x:v>FY2025</x:v>
      </x:c>
      <x:c r="E204" s="51" t="str">
        <x:v>Trafigura; producers; buyers; banks; logistics providers</x:v>
      </x:c>
      <x:c r="F204" s="51" t="str">
        <x:v>358 million tonnes oil/products/gas/LNG; 7.6 million barrels/day equivalent</x:v>
      </x:c>
      <x:c r="G204" s="51" t="str">
        <x:v>USD / commodity volumes</x:v>
      </x:c>
      <x:c r="H204" s="51" t="str">
        <x:v>Finance and optimise physical oil, gas, metals and bulk supply chains</x:v>
      </x:c>
      <x:c r="I204" s="51" t="str">
        <x:v>E1</x:v>
      </x:c>
      <x:c r="J204" s="51" t="str">
        <x:v>SRC-355; SRC-356; SRC-357</x:v>
      </x:c>
      <x:c r="K204" s="51" t="str">
        <x:v>Active</x:v>
      </x:c>
    </x:row>
    <x:row r="205">
      <x:c r="A205" s="51" t="str">
        <x:v>INS-201</x:v>
      </x:c>
      <x:c r="B205" s="51" t="str">
        <x:v>Glencore industrial and marketing platform</x:v>
      </x:c>
      <x:c r="C205" s="51" t="str">
        <x:v>Integrated producer-marketer system</x:v>
      </x:c>
      <x:c r="D205" s="51" t="str">
        <x:v>2025</x:v>
      </x:c>
      <x:c r="E205" s="51" t="str">
        <x:v>Glencore; mines; smelters; buyers; banks</x:v>
      </x:c>
      <x:c r="F205" s="51" t="str">
        <x:v>More than 60 commodities; marketing EBIT guidance $2.3–$3.5 billion through cycle</x:v>
      </x:c>
      <x:c r="G205" s="51" t="str">
        <x:v>USD / commodity volumes</x:v>
      </x:c>
      <x:c r="H205" s="51" t="str">
        <x:v>Combine production assets with global commodity marketing and risk management</x:v>
      </x:c>
      <x:c r="I205" s="51" t="str">
        <x:v>E1</x:v>
      </x:c>
      <x:c r="J205" s="51" t="str">
        <x:v>SRC-358; SRC-359</x:v>
      </x:c>
      <x:c r="K205" s="51" t="str">
        <x:v>Active</x:v>
      </x:c>
    </x:row>
    <x:row r="206">
      <x:c r="A206" s="51" t="str">
        <x:v>INS-202</x:v>
      </x:c>
      <x:c r="B206" s="51" t="str">
        <x:v>Gunvor global energy trading platform</x:v>
      </x:c>
      <x:c r="C206" s="51" t="str">
        <x:v>Commodity merchant system</x:v>
      </x:c>
      <x:c r="D206" s="51" t="str">
        <x:v>2025</x:v>
      </x:c>
      <x:c r="E206" s="51" t="str">
        <x:v>Gunvor; producers; buyers; banks; shipping companies</x:v>
      </x:c>
      <x:c r="F206" s="51" t="str">
        <x:v>$144 billion revenue; 253 million tonnes volume</x:v>
      </x:c>
      <x:c r="G206" s="51" t="str">
        <x:v>USD / commodity volumes</x:v>
      </x:c>
      <x:c r="H206" s="51" t="str">
        <x:v>Trade and finance oil, gas, LNG and products through logistics and credit facilities</x:v>
      </x:c>
      <x:c r="I206" s="51" t="str">
        <x:v>E1</x:v>
      </x:c>
      <x:c r="J206" s="51" t="str">
        <x:v>SRC-360</x:v>
      </x:c>
      <x:c r="K206" s="51" t="str">
        <x:v>Active</x:v>
      </x:c>
    </x:row>
    <x:row r="207">
      <x:c r="A207" s="51" t="str">
        <x:v>INS-203</x:v>
      </x:c>
      <x:c r="B207" s="51" t="str">
        <x:v>Gunvor sustainability-linked revolving credit facility</x:v>
      </x:c>
      <x:c r="C207" s="51" t="str">
        <x:v>Commodity working-capital facility</x:v>
      </x:c>
      <x:c r="D207" s="51" t="str">
        <x:v>2025</x:v>
      </x:c>
      <x:c r="E207" s="51" t="str">
        <x:v>Gunvor International; Gunvor SA; lender syndicate</x:v>
      </x:c>
      <x:c r="F207" s="51" t="str">
        <x:v>$2.395 billion</x:v>
      </x:c>
      <x:c r="G207" s="51" t="str">
        <x:v>USD and multiple currencies</x:v>
      </x:c>
      <x:c r="H207" s="51" t="str">
        <x:v>Fund inventory, receivables and global commodity working capital</x:v>
      </x:c>
      <x:c r="I207" s="51" t="str">
        <x:v>E1</x:v>
      </x:c>
      <x:c r="J207" s="51" t="str">
        <x:v>SRC-361</x:v>
      </x:c>
      <x:c r="K207" s="51" t="str">
        <x:v>Signed</x:v>
      </x:c>
    </x:row>
    <x:row r="208">
      <x:c r="A208" s="51" t="str">
        <x:v>INS-204</x:v>
      </x:c>
      <x:c r="B208" s="51" t="str">
        <x:v>Integrated IMO ship and company identification number scheme</x:v>
      </x:c>
      <x:c r="C208" s="51" t="str">
        <x:v>Maritime identity standard</x:v>
      </x:c>
      <x:c r="D208" s="51" t="str">
        <x:v>2026 implementation</x:v>
      </x:c>
      <x:c r="E208" s="51" t="str">
        <x:v>IMO; flag states; ships; companies; registered owners</x:v>
      </x:c>
      <x:c r="F208" s="51" t="str">
        <x:v>Persistent seven-digit identifiers</x:v>
      </x:c>
      <x:c r="G208" s="51" t="str">
        <x:v>Ship and company identifiers</x:v>
      </x:c>
      <x:c r="H208" s="51" t="str">
        <x:v>Prevent identity substitution and improve safety, compliance and fraud controls</x:v>
      </x:c>
      <x:c r="I208" s="51" t="str">
        <x:v>E1</x:v>
      </x:c>
      <x:c r="J208" s="51" t="str">
        <x:v>SRC-363; SRC-365</x:v>
      </x:c>
      <x:c r="K208" s="51" t="str">
        <x:v>Active</x:v>
      </x:c>
    </x:row>
    <x:row r="209">
      <x:c r="A209" s="51" t="str">
        <x:v>INS-205</x:v>
      </x:c>
      <x:c r="B209" s="51" t="str">
        <x:v>International ship registration and flag-state system</x:v>
      </x:c>
      <x:c r="C209" s="51" t="str">
        <x:v>Maritime nationality and jurisdiction framework</x:v>
      </x:c>
      <x:c r="D209" s="51" t="str">
        <x:v>Ongoing</x:v>
      </x:c>
      <x:c r="E209" s="51" t="str">
        <x:v>Flag states; registries; shipowners; IMO</x:v>
      </x:c>
      <x:c r="F209" s="51" t="str">
        <x:v>112,500 commercial vessels and 2.44 billion DWT world fleet at 1 January 2025</x:v>
      </x:c>
      <x:c r="G209" s="51" t="str">
        <x:v>Vessels / deadweight tonnage</x:v>
      </x:c>
      <x:c r="H209" s="51" t="str">
        <x:v>Grant vessel nationality and allocate primary regulatory responsibility</x:v>
      </x:c>
      <x:c r="I209" s="51" t="str">
        <x:v>E1</x:v>
      </x:c>
      <x:c r="J209" s="51" t="str">
        <x:v>SRC-362; SRC-364</x:v>
      </x:c>
      <x:c r="K209" s="51" t="str">
        <x:v>Active</x:v>
      </x:c>
    </x:row>
    <x:row r="210">
      <x:c r="A210" s="51" t="str">
        <x:v>INS-206</x:v>
      </x:c>
      <x:c r="B210" s="51" t="str">
        <x:v>World oil and LNG chokepoint network</x:v>
      </x:c>
      <x:c r="C210" s="51" t="str">
        <x:v>Physical transit infrastructure</x:v>
      </x:c>
      <x:c r="D210" s="51" t="str">
        <x:v>Current 2026</x:v>
      </x:c>
      <x:c r="E210" s="51" t="str">
        <x:v>Producers; shipowners; importers; coastal states</x:v>
      </x:c>
      <x:c r="F210" s="51" t="str">
        <x:v>Hormuz and Malacca each carry very large daily oil flows</x:v>
      </x:c>
      <x:c r="G210" s="51" t="str">
        <x:v>Barrels per day / LNG volumes</x:v>
      </x:c>
      <x:c r="H210" s="51" t="str">
        <x:v>Concentrate commodity flows through geographically scarce routes</x:v>
      </x:c>
      <x:c r="I210" s="51" t="str">
        <x:v>E1</x:v>
      </x:c>
      <x:c r="J210" s="51" t="str">
        <x:v>SRC-366; SRC-367</x:v>
      </x:c>
      <x:c r="K210" s="51" t="str">
        <x:v>Active / disruption-sensitive</x:v>
      </x:c>
    </x:row>
    <x:row r="211">
      <x:c r="A211" s="51" t="str">
        <x:v>INS-207</x:v>
      </x:c>
      <x:c r="B211" s="51" t="str">
        <x:v>International Group P&amp;I pooling and reinsurance programme</x:v>
      </x:c>
      <x:c r="C211" s="51" t="str">
        <x:v>Marine liability insurance system</x:v>
      </x:c>
      <x:c r="D211" s="51" t="str">
        <x:v>2026/27</x:v>
      </x:c>
      <x:c r="E211" s="51" t="str">
        <x:v>Twelve P&amp;I clubs; shipowners; reinsurers</x:v>
      </x:c>
      <x:c r="F211" s="51" t="str">
        <x:v>Approximately 87% of world ocean-going tonnage covered</x:v>
      </x:c>
      <x:c r="G211" s="51" t="str">
        <x:v>Gross tonnage / insured liabilities</x:v>
      </x:c>
      <x:c r="H211" s="51" t="str">
        <x:v>Pool shipowner liability claims and buy collective excess reinsurance</x:v>
      </x:c>
      <x:c r="I211" s="51" t="str">
        <x:v>E1</x:v>
      </x:c>
      <x:c r="J211" s="51" t="str">
        <x:v>SRC-368; SRC-369</x:v>
      </x:c>
      <x:c r="K211" s="51" t="str">
        <x:v>Active</x:v>
      </x:c>
    </x:row>
    <x:row r="212">
      <x:c r="A212" s="51" t="str">
        <x:v>INS-208</x:v>
      </x:c>
      <x:c r="B212" s="51" t="str">
        <x:v>Lloyd's marine insurance marketplace</x:v>
      </x:c>
      <x:c r="C212" s="51" t="str">
        <x:v>Insurance market infrastructure</x:v>
      </x:c>
      <x:c r="D212" s="51" t="str">
        <x:v>2025</x:v>
      </x:c>
      <x:c r="E212" s="51" t="str">
        <x:v>Lloyd's Corporation; syndicates; brokers; capital providers</x:v>
      </x:c>
      <x:c r="F212" s="51" t="str">
        <x:v>£57.9 billion total market premium; £49.5 billion capital</x:v>
      </x:c>
      <x:c r="G212" s="51" t="str">
        <x:v>GBP premiums and capital</x:v>
      </x:c>
      <x:c r="H212" s="51" t="str">
        <x:v>Price and distribute marine and other insurance risks across syndicates</x:v>
      </x:c>
      <x:c r="I212" s="51" t="str">
        <x:v>E1</x:v>
      </x:c>
      <x:c r="J212" s="51" t="str">
        <x:v>SRC-370</x:v>
      </x:c>
      <x:c r="K212" s="51" t="str">
        <x:v>Active</x:v>
      </x:c>
    </x:row>
    <x:row r="213">
      <x:c r="A213" s="51" t="str">
        <x:v>INS-209</x:v>
      </x:c>
      <x:c r="B213" s="51" t="str">
        <x:v>Russian oil price-cap maritime services policy</x:v>
      </x:c>
      <x:c r="C213" s="51" t="str">
        <x:v>Sanctions and services restriction</x:v>
      </x:c>
      <x:c r="D213" s="51" t="str">
        <x:v>2022–present</x:v>
      </x:c>
      <x:c r="E213" s="51" t="str">
        <x:v>Price Cap Coalition; maritime service providers; Russian-origin oil cargoes</x:v>
      </x:c>
      <x:c r="F213" s="51" t="str">
        <x:v>Policy-specific price thresholds and attestations</x:v>
      </x:c>
      <x:c r="G213" s="51" t="str">
        <x:v>USD per barrel / service eligibility</x:v>
      </x:c>
      <x:c r="H213" s="51" t="str">
        <x:v>Condition access to coalition shipping, insurance and finance services on price and compliance evidence</x:v>
      </x:c>
      <x:c r="I213" s="51" t="str">
        <x:v>E1</x:v>
      </x:c>
      <x:c r="J213" s="51" t="str">
        <x:v>SRC-371; SRC-372</x:v>
      </x:c>
      <x:c r="K213" s="51" t="str">
        <x:v>Active and amended</x:v>
      </x:c>
    </x:row>
    <x:row r="214">
      <x:c r="A214" s="51" t="str">
        <x:v>INS-210</x:v>
      </x:c>
      <x:c r="B214" s="51" t="str">
        <x:v>UCP 600 documentary credit</x:v>
      </x:c>
      <x:c r="C214" s="51" t="str">
        <x:v>International trade-finance rules</x:v>
      </x:c>
      <x:c r="D214" s="51" t="str">
        <x:v>2007–present</x:v>
      </x:c>
      <x:c r="E214" s="51" t="str">
        <x:v>ICC; issuing banks; confirming banks; exporters; importers</x:v>
      </x:c>
      <x:c r="F214" s="51" t="str">
        <x:v>Transaction-specific</x:v>
      </x:c>
      <x:c r="G214" s="51" t="str">
        <x:v>Documentary payment undertaking</x:v>
      </x:c>
      <x:c r="H214" s="51" t="str">
        <x:v>Standardise irrevocable bank payment obligations against complying documents</x:v>
      </x:c>
      <x:c r="I214" s="51" t="str">
        <x:v>E1</x:v>
      </x:c>
      <x:c r="J214" s="51" t="str">
        <x:v>SRC-373; SRC-374</x:v>
      </x:c>
      <x:c r="K214" s="51" t="str">
        <x:v>Active</x:v>
      </x:c>
    </x:row>
    <x:row r="215">
      <x:c r="A215" s="51" t="str">
        <x:v>INS-211</x:v>
      </x:c>
      <x:c r="B215" s="51" t="str">
        <x:v>SWIFT Category 7 trade finance messaging</x:v>
      </x:c>
      <x:c r="C215" s="51" t="str">
        <x:v>Financial messaging standard</x:v>
      </x:c>
      <x:c r="D215" s="51" t="str">
        <x:v>Current</x:v>
      </x:c>
      <x:c r="E215" s="51" t="str">
        <x:v>SWIFT; trade finance banks</x:v>
      </x:c>
      <x:c r="F215" s="51" t="str">
        <x:v>Message-specific</x:v>
      </x:c>
      <x:c r="G215" s="51" t="str">
        <x:v>Documentary credit and guarantee messages</x:v>
      </x:c>
      <x:c r="H215" s="51" t="str">
        <x:v>Transmit structured issuance, amendment, advice and claim instructions</x:v>
      </x:c>
      <x:c r="I215" s="51" t="str">
        <x:v>E1</x:v>
      </x:c>
      <x:c r="J215" s="51" t="str">
        <x:v>SRC-375; SRC-376</x:v>
      </x:c>
      <x:c r="K215" s="51" t="str">
        <x:v>Active</x:v>
      </x:c>
    </x:row>
    <x:row r="216">
      <x:c r="A216" s="51" t="str">
        <x:v>INS-212</x:v>
      </x:c>
      <x:c r="B216" s="51" t="str">
        <x:v>ICC Trade Register 2025</x:v>
      </x:c>
      <x:c r="C216" s="51" t="str">
        <x:v>Trade finance risk data system</x:v>
      </x:c>
      <x:c r="D216" s="51" t="str">
        <x:v>2025</x:v>
      </x:c>
      <x:c r="E216" s="51" t="str">
        <x:v>ICC; participating banks; regulators and market users</x:v>
      </x:c>
      <x:c r="F216" s="51" t="str">
        <x:v>More than $25.7 trillion of aggregated transaction data over its history</x:v>
      </x:c>
      <x:c r="G216" s="51" t="str">
        <x:v>Trade-finance exposures</x:v>
      </x:c>
      <x:c r="H216" s="51" t="str">
        <x:v>Benchmark default and loss performance across trade and supply-chain products</x:v>
      </x:c>
      <x:c r="I216" s="51" t="str">
        <x:v>E1</x:v>
      </x:c>
      <x:c r="J216" s="51" t="str">
        <x:v>SRC-377; SRC-378</x:v>
      </x:c>
      <x:c r="K216" s="51" t="str">
        <x:v>Active</x:v>
      </x:c>
    </x:row>
    <x:row r="217">
      <x:c r="A217" s="51" t="str">
        <x:v>INS-213</x:v>
      </x:c>
      <x:c r="B217" s="51" t="str">
        <x:v>NVIDIA accelerated computing platform</x:v>
      </x:c>
      <x:c r="C217" s="51" t="str">
        <x:v>AI semiconductor and systems platform</x:v>
      </x:c>
      <x:c r="D217" s="51" t="str">
        <x:v>FY2026–2027</x:v>
      </x:c>
      <x:c r="E217" s="51" t="str">
        <x:v>NVIDIA; foundries; memory suppliers; cloud providers; customers</x:v>
      </x:c>
      <x:c r="F217" s="51" t="str">
        <x:v>$215.9 billion FY2026 revenue; $75.2 billion Q1 FY2027 data-center revenue</x:v>
      </x:c>
      <x:c r="G217" s="51" t="str">
        <x:v>USD</x:v>
      </x:c>
      <x:c r="H217" s="51" t="str">
        <x:v>Design and sell accelerators, CPUs, networking, systems and software for AI workloads</x:v>
      </x:c>
      <x:c r="I217" s="51" t="str">
        <x:v>E1</x:v>
      </x:c>
      <x:c r="J217" s="51" t="str">
        <x:v>SRC-379; SRC-380; SRC-381</x:v>
      </x:c>
      <x:c r="K217" s="51" t="str">
        <x:v>Active</x:v>
      </x:c>
    </x:row>
    <x:row r="218">
      <x:c r="A218" s="51" t="str">
        <x:v>INS-214</x:v>
      </x:c>
      <x:c r="B218" s="51" t="str">
        <x:v>TSMC leading-edge foundry and packaging platform</x:v>
      </x:c>
      <x:c r="C218" s="51" t="str">
        <x:v>Semiconductor manufacturing platform</x:v>
      </x:c>
      <x:c r="D218" s="51" t="str">
        <x:v>2025–2026</x:v>
      </x:c>
      <x:c r="E218" s="51" t="str">
        <x:v>TSMC; fabless chip designers; equipment and materials suppliers</x:v>
      </x:c>
      <x:c r="F218" s="51" t="str">
        <x:v>Company-wide; 35.9% 2025 US-dollar revenue growth reported</x:v>
      </x:c>
      <x:c r="G218" s="51" t="str">
        <x:v>USD / wafers</x:v>
      </x:c>
      <x:c r="H218" s="51" t="str">
        <x:v>Fabricate leading-edge logic and provide advanced packaging for AI chips</x:v>
      </x:c>
      <x:c r="I218" s="51" t="str">
        <x:v>E1</x:v>
      </x:c>
      <x:c r="J218" s="51" t="str">
        <x:v>SRC-382</x:v>
      </x:c>
      <x:c r="K218" s="51" t="str">
        <x:v>Active</x:v>
      </x:c>
    </x:row>
    <x:row r="219">
      <x:c r="A219" s="51" t="str">
        <x:v>INS-215</x:v>
      </x:c>
      <x:c r="B219" s="51" t="str">
        <x:v>TSMC Arizona expansion</x:v>
      </x:c>
      <x:c r="C219" s="51" t="str">
        <x:v>Semiconductor industrial investment</x:v>
      </x:c>
      <x:c r="D219" s="51" t="str">
        <x:v>2020s–2030s</x:v>
      </x:c>
      <x:c r="E219" s="51" t="str">
        <x:v>TSMC; US government; customers; suppliers</x:v>
      </x:c>
      <x:c r="F219" s="51" t="str">
        <x:v>$165 billion planned investment; six fabs, two packaging facilities and R&amp;D center</x:v>
      </x:c>
      <x:c r="G219" s="51" t="str">
        <x:v>USD</x:v>
      </x:c>
      <x:c r="H219" s="51" t="str">
        <x:v>Build advanced US semiconductor manufacturing and packaging capacity</x:v>
      </x:c>
      <x:c r="I219" s="51" t="str">
        <x:v>E1</x:v>
      </x:c>
      <x:c r="J219" s="51" t="str">
        <x:v>SRC-383; SRC-384</x:v>
      </x:c>
      <x:c r="K219" s="51" t="str">
        <x:v>Under construction and expansion</x:v>
      </x:c>
    </x:row>
    <x:row r="220">
      <x:c r="A220" s="51" t="str">
        <x:v>INS-216</x:v>
      </x:c>
      <x:c r="B220" s="51" t="str">
        <x:v>ASML EUV and High-NA EUV platform</x:v>
      </x:c>
      <x:c r="C220" s="51" t="str">
        <x:v>Lithography equipment platform</x:v>
      </x:c>
      <x:c r="D220" s="51" t="str">
        <x:v>2025–2026</x:v>
      </x:c>
      <x:c r="E220" s="51" t="str">
        <x:v>ASML; leading-edge foundries; component suppliers</x:v>
      </x:c>
      <x:c r="F220" s="51" t="str">
        <x:v>€32.7 billion 2025 net sales; 2026 sales outlook €34–39 billion</x:v>
      </x:c>
      <x:c r="G220" s="51" t="str">
        <x:v>EUR</x:v>
      </x:c>
      <x:c r="H220" s="51" t="str">
        <x:v>Pattern advanced semiconductor features using EUV lithography</x:v>
      </x:c>
      <x:c r="I220" s="51" t="str">
        <x:v>E1</x:v>
      </x:c>
      <x:c r="J220" s="51" t="str">
        <x:v>SRC-385; SRC-386; SRC-387</x:v>
      </x:c>
      <x:c r="K220" s="51" t="str">
        <x:v>Active</x:v>
      </x:c>
    </x:row>
    <x:row r="221">
      <x:c r="A221" s="51" t="str">
        <x:v>INS-217</x:v>
      </x:c>
      <x:c r="B221" s="51" t="str">
        <x:v>Synopsys advanced-node EDA and IP flows</x:v>
      </x:c>
      <x:c r="C221" s="51" t="str">
        <x:v>Electronic design automation platform</x:v>
      </x:c>
      <x:c r="D221" s="51" t="str">
        <x:v>2025–2026</x:v>
      </x:c>
      <x:c r="E221" s="51" t="str">
        <x:v>Synopsys; TSMC; NVIDIA; chip designers</x:v>
      </x:c>
      <x:c r="F221" s="51" t="str">
        <x:v>Platform-wide</x:v>
      </x:c>
      <x:c r="G221" s="51" t="str">
        <x:v>Software licences and IP</x:v>
      </x:c>
      <x:c r="H221" s="51" t="str">
        <x:v>Design, verify and optimise advanced logic, multi-die and packaging systems</x:v>
      </x:c>
      <x:c r="I221" s="51" t="str">
        <x:v>E1</x:v>
      </x:c>
      <x:c r="J221" s="51" t="str">
        <x:v>SRC-388; SRC-389</x:v>
      </x:c>
      <x:c r="K221" s="51" t="str">
        <x:v>Active</x:v>
      </x:c>
    </x:row>
    <x:row r="222">
      <x:c r="A222" s="51" t="str">
        <x:v>INS-218</x:v>
      </x:c>
      <x:c r="B222" s="51" t="str">
        <x:v>Cadence AI and 3D-IC design platform</x:v>
      </x:c>
      <x:c r="C222" s="51" t="str">
        <x:v>Electronic design automation platform</x:v>
      </x:c>
      <x:c r="D222" s="51" t="str">
        <x:v>2025–2026</x:v>
      </x:c>
      <x:c r="E222" s="51" t="str">
        <x:v>Cadence; semiconductor and system companies</x:v>
      </x:c>
      <x:c r="F222" s="51" t="str">
        <x:v>$1.474 billion Q1 2026 revenue</x:v>
      </x:c>
      <x:c r="G222" s="51" t="str">
        <x:v>USD / software</x:v>
      </x:c>
      <x:c r="H222" s="51" t="str">
        <x:v>Design and analyse chips, packages and AI infrastructure systems</x:v>
      </x:c>
      <x:c r="I222" s="51" t="str">
        <x:v>E1</x:v>
      </x:c>
      <x:c r="J222" s="51" t="str">
        <x:v>SRC-390; SRC-391</x:v>
      </x:c>
      <x:c r="K222" s="51" t="str">
        <x:v>Active</x:v>
      </x:c>
    </x:row>
    <x:row r="223">
      <x:c r="A223" s="51" t="str">
        <x:v>INS-219</x:v>
      </x:c>
      <x:c r="B223" s="51" t="str">
        <x:v>Arm AGI CPU and Neoverse platform</x:v>
      </x:c>
      <x:c r="C223" s="51" t="str">
        <x:v>Processor architecture and silicon platform</x:v>
      </x:c>
      <x:c r="D223" s="51" t="str">
        <x:v>2026</x:v>
      </x:c>
      <x:c r="E223" s="51" t="str">
        <x:v>Arm; hyperscalers; chip partners; data-center operators</x:v>
      </x:c>
      <x:c r="F223" s="51" t="str">
        <x:v>Platform-specific</x:v>
      </x:c>
      <x:c r="G223" s="51" t="str">
        <x:v>Licensing and silicon products</x:v>
      </x:c>
      <x:c r="H223" s="51" t="str">
        <x:v>Provide power-efficient CPU architecture and data-center silicon</x:v>
      </x:c>
      <x:c r="I223" s="51" t="str">
        <x:v>E1</x:v>
      </x:c>
      <x:c r="J223" s="51" t="str">
        <x:v>SRC-392; SRC-393</x:v>
      </x:c>
      <x:c r="K223" s="51" t="str">
        <x:v>Active</x:v>
      </x:c>
    </x:row>
    <x:row r="224">
      <x:c r="A224" s="51" t="str">
        <x:v>INS-220</x:v>
      </x:c>
      <x:c r="B224" s="51" t="str">
        <x:v>OpenAI Stargate infrastructure programme</x:v>
      </x:c>
      <x:c r="C224" s="51" t="str">
        <x:v>AI infrastructure programme</x:v>
      </x:c>
      <x:c r="D224" s="51" t="str">
        <x:v>2025–2029</x:v>
      </x:c>
      <x:c r="E224" s="51" t="str">
        <x:v>OpenAI; SoftBank; Oracle; MGX; data-center and power partners</x:v>
      </x:c>
      <x:c r="F224" s="51" t="str">
        <x:v>$500 billion intended investment; initial $100 billion; 10GW US target surpassed in planned/secured capacity by 2026 update</x:v>
      </x:c>
      <x:c r="G224" s="51" t="str">
        <x:v>USD / GW</x:v>
      </x:c>
      <x:c r="H224" s="51" t="str">
        <x:v>Build large-scale training and inference infrastructure for OpenAI</x:v>
      </x:c>
      <x:c r="I224" s="51" t="str">
        <x:v>E1</x:v>
      </x:c>
      <x:c r="J224" s="51" t="str">
        <x:v>SRC-394; SRC-395; SRC-397; SRC-398</x:v>
      </x:c>
      <x:c r="K224" s="51" t="str">
        <x:v>Active and expanding</x:v>
      </x:c>
    </x:row>
    <x:row r="225">
      <x:c r="A225" s="51" t="str">
        <x:v>INS-221</x:v>
      </x:c>
      <x:c r="B225" s="51" t="str">
        <x:v>OpenAI–Oracle 4.5GW Stargate agreement</x:v>
      </x:c>
      <x:c r="C225" s="51" t="str">
        <x:v>Long-term cloud and data-center capacity agreement</x:v>
      </x:c>
      <x:c r="D225" s="51" t="str">
        <x:v>2025 onward</x:v>
      </x:c>
      <x:c r="E225" s="51" t="str">
        <x:v>OpenAI; Oracle; site developers and utilities</x:v>
      </x:c>
      <x:c r="F225" s="51" t="str">
        <x:v>4.5GW additional US capacity</x:v>
      </x:c>
      <x:c r="G225" s="51" t="str">
        <x:v>Gigawatts</x:v>
      </x:c>
      <x:c r="H225" s="51" t="str">
        <x:v>Develop and operate additional Stargate compute capacity</x:v>
      </x:c>
      <x:c r="I225" s="51" t="str">
        <x:v>E1</x:v>
      </x:c>
      <x:c r="J225" s="51" t="str">
        <x:v>SRC-396; SRC-407</x:v>
      </x:c>
      <x:c r="K225" s="51" t="str">
        <x:v>Active / staged delivery</x:v>
      </x:c>
    </x:row>
    <x:row r="226">
      <x:c r="A226" s="51" t="str">
        <x:v>INS-222</x:v>
      </x:c>
      <x:c r="B226" s="51" t="str">
        <x:v>Microsoft–OpenAI 2025 compute and IP framework</x:v>
      </x:c>
      <x:c r="C226" s="51" t="str">
        <x:v>Strategic cloud and IP agreement</x:v>
      </x:c>
      <x:c r="D226" s="51" t="str">
        <x:v>2025–2032</x:v>
      </x:c>
      <x:c r="E226" s="51" t="str">
        <x:v>Microsoft; OpenAI</x:v>
      </x:c>
      <x:c r="F226" s="51" t="str">
        <x:v>$250 billion incremental Azure services commitment reported</x:v>
      </x:c>
      <x:c r="G226" s="51" t="str">
        <x:v>USD / cloud services</x:v>
      </x:c>
      <x:c r="H226" s="51" t="str">
        <x:v>Govern cloud priority, IP licences, compute sourcing and product deployment</x:v>
      </x:c>
      <x:c r="I226" s="51" t="str">
        <x:v>E1</x:v>
      </x:c>
      <x:c r="J226" s="51" t="str">
        <x:v>SRC-400; SRC-401</x:v>
      </x:c>
      <x:c r="K226" s="51" t="str">
        <x:v>Active and amended</x:v>
      </x:c>
    </x:row>
    <x:row r="227">
      <x:c r="A227" s="51" t="str">
        <x:v>INS-223</x:v>
      </x:c>
      <x:c r="B227" s="51" t="str">
        <x:v>SoftBank 2026 OpenAI follow-on investment</x:v>
      </x:c>
      <x:c r="C227" s="51" t="str">
        <x:v>Preferred equity investment</x:v>
      </x:c>
      <x:c r="D227" s="51" t="str">
        <x:v>2026</x:v>
      </x:c>
      <x:c r="E227" s="51" t="str">
        <x:v>SoftBank Vision Fund 2; OpenAI Group PBC</x:v>
      </x:c>
      <x:c r="F227" s="51" t="str">
        <x:v>$30 billion in three $10 billion tranches; two executed by July 1, 2026</x:v>
      </x:c>
      <x:c r="G227" s="51" t="str">
        <x:v>USD</x:v>
      </x:c>
      <x:c r="H227" s="51" t="str">
        <x:v>Increase SoftBank ownership and finance OpenAI growth</x:v>
      </x:c>
      <x:c r="I227" s="51" t="str">
        <x:v>E1</x:v>
      </x:c>
      <x:c r="J227" s="51" t="str">
        <x:v>SRC-403; SRC-405</x:v>
      </x:c>
      <x:c r="K227" s="51" t="str">
        <x:v>Two tranches executed; third planned</x:v>
      </x:c>
    </x:row>
    <x:row r="228">
      <x:c r="A228" s="51" t="str">
        <x:v>INS-224</x:v>
      </x:c>
      <x:c r="B228" s="51" t="str">
        <x:v>SoftBank $40 billion bridge facility</x:v>
      </x:c>
      <x:c r="C228" s="51" t="str">
        <x:v>Corporate bridge financing</x:v>
      </x:c>
      <x:c r="D228" s="51" t="str">
        <x:v>2026–2027</x:v>
      </x:c>
      <x:c r="E228" s="51" t="str">
        <x:v>SoftBank Group; JPMorgan; Goldman Sachs; Mizuho; SMBC; MUFG</x:v>
      </x:c>
      <x:c r="F228" s="51" t="str">
        <x:v>$40 billion</x:v>
      </x:c>
      <x:c r="G228" s="51" t="str">
        <x:v>USD</x:v>
      </x:c>
      <x:c r="H228" s="51" t="str">
        <x:v>Finance OpenAI investment and general corporate purposes before refinancing</x:v>
      </x:c>
      <x:c r="I228" s="51" t="str">
        <x:v>E1</x:v>
      </x:c>
      <x:c r="J228" s="51" t="str">
        <x:v>SRC-404</x:v>
      </x:c>
      <x:c r="K228" s="51" t="str">
        <x:v>Active</x:v>
      </x:c>
    </x:row>
    <x:row r="229">
      <x:c r="A229" s="51" t="str">
        <x:v>INS-225</x:v>
      </x:c>
      <x:c r="B229" s="51" t="str">
        <x:v>SB Neo US neocloud joint venture</x:v>
      </x:c>
      <x:c r="C229" s="51" t="str">
        <x:v>AI cloud operating company</x:v>
      </x:c>
      <x:c r="D229" s="51" t="str">
        <x:v>2026</x:v>
      </x:c>
      <x:c r="E229" s="51" t="str">
        <x:v>SoftBank Corp.; SoftBank Group</x:v>
      </x:c>
      <x:c r="F229" s="51" t="str">
        <x:v>51% SoftBank Corp.; 49% SoftBank Group</x:v>
      </x:c>
      <x:c r="G229" s="51" t="str">
        <x:v>Equity / GPU cloud capacity</x:v>
      </x:c>
      <x:c r="H229" s="51" t="str">
        <x:v>Operate US AI neocloud infrastructure</x:v>
      </x:c>
      <x:c r="I229" s="51" t="str">
        <x:v>E1</x:v>
      </x:c>
      <x:c r="J229" s="51" t="str">
        <x:v>SRC-406</x:v>
      </x:c>
      <x:c r="K229" s="51" t="str">
        <x:v>Establishment announced</x:v>
      </x:c>
    </x:row>
    <x:row r="230">
      <x:c r="A230" s="51" t="str">
        <x:v>INS-226</x:v>
      </x:c>
      <x:c r="B230" s="51" t="str">
        <x:v>CoreWeave AI cloud platform</x:v>
      </x:c>
      <x:c r="C230" s="51" t="str">
        <x:v>GPU cloud and data-center platform</x:v>
      </x:c>
      <x:c r="D230" s="51" t="str">
        <x:v>2025–2026</x:v>
      </x:c>
      <x:c r="E230" s="51" t="str">
        <x:v>CoreWeave; NVIDIA; cloud customers; data-center providers</x:v>
      </x:c>
      <x:c r="F230" s="51" t="str">
        <x:v>49 data centers; more than 1GW active power; more than 3.5GW contracted power as of March 31, 2026</x:v>
      </x:c>
      <x:c r="G230" s="51" t="str">
        <x:v>GW / GPU capacity</x:v>
      </x:c>
      <x:c r="H230" s="51" t="str">
        <x:v>Provide dedicated and public accelerated compute</x:v>
      </x:c>
      <x:c r="I230" s="51" t="str">
        <x:v>E1</x:v>
      </x:c>
      <x:c r="J230" s="51" t="str">
        <x:v>SRC-408; SRC-410; SRC-411</x:v>
      </x:c>
      <x:c r="K230" s="51" t="str">
        <x:v>Active and expanding</x:v>
      </x:c>
    </x:row>
    <x:row r="231">
      <x:c r="A231" s="51" t="str">
        <x:v>INS-227</x:v>
      </x:c>
      <x:c r="B231" s="51" t="str">
        <x:v>CoreWeave $8.5 billion GPU-backed financing</x:v>
      </x:c>
      <x:c r="C231" s="51" t="str">
        <x:v>Asset- and contract-backed term loan</x:v>
      </x:c>
      <x:c r="D231" s="51" t="str">
        <x:v>2026</x:v>
      </x:c>
      <x:c r="E231" s="51" t="str">
        <x:v>CoreWeave; lender syndicate; rating agencies</x:v>
      </x:c>
      <x:c r="F231" s="51" t="str">
        <x:v>$8.5 billion</x:v>
      </x:c>
      <x:c r="G231" s="51" t="str">
        <x:v>USD</x:v>
      </x:c>
      <x:c r="H231" s="51" t="str">
        <x:v>Finance AI cloud expansion against HPC infrastructure and customer contract</x:v>
      </x:c>
      <x:c r="I231" s="51" t="str">
        <x:v>E1</x:v>
      </x:c>
      <x:c r="J231" s="51" t="str">
        <x:v>SRC-409</x:v>
      </x:c>
      <x:c r="K231" s="51" t="str">
        <x:v>Closed</x:v>
      </x:c>
    </x:row>
    <x:row r="232">
      <x:c r="A232" s="51" t="str">
        <x:v>INS-228</x:v>
      </x:c>
      <x:c r="B232" s="51" t="str">
        <x:v>Anthropic–Amazon compute agreement</x:v>
      </x:c>
      <x:c r="C232" s="51" t="str">
        <x:v>Cloud and accelerator capacity agreement</x:v>
      </x:c>
      <x:c r="D232" s="51" t="str">
        <x:v>2024–2026</x:v>
      </x:c>
      <x:c r="E232" s="51" t="str">
        <x:v>Anthropic; Amazon; AWS</x:v>
      </x:c>
      <x:c r="F232" s="51" t="str">
        <x:v>Amazon total investment $8 billion; up to 5GW new compute capacity announced in 2026</x:v>
      </x:c>
      <x:c r="G232" s="51" t="str">
        <x:v>USD / GW</x:v>
      </x:c>
      <x:c r="H232" s="51" t="str">
        <x:v>Train and deploy Claude using AWS and Trainium</x:v>
      </x:c>
      <x:c r="I232" s="51" t="str">
        <x:v>E1</x:v>
      </x:c>
      <x:c r="J232" s="51" t="str">
        <x:v>SRC-412; SRC-414</x:v>
      </x:c>
      <x:c r="K232" s="51" t="str">
        <x:v>Active and expanding</x:v>
      </x:c>
    </x:row>
    <x:row r="233">
      <x:c r="A233" s="51" t="str">
        <x:v>INS-229</x:v>
      </x:c>
      <x:c r="B233" s="51" t="str">
        <x:v>Anthropic–Google–Broadcom TPU agreement</x:v>
      </x:c>
      <x:c r="C233" s="51" t="str">
        <x:v>Custom accelerator and cloud capacity agreement</x:v>
      </x:c>
      <x:c r="D233" s="51" t="str">
        <x:v>2025–2027</x:v>
      </x:c>
      <x:c r="E233" s="51" t="str">
        <x:v>Anthropic; Google; Broadcom</x:v>
      </x:c>
      <x:c r="F233" s="51" t="str">
        <x:v>Multiple gigawatts; five gigawatts referenced in 2026 funding update</x:v>
      </x:c>
      <x:c r="G233" s="51" t="str">
        <x:v>GW</x:v>
      </x:c>
      <x:c r="H233" s="51" t="str">
        <x:v>Provide next-generation TPU capacity for Claude training and deployment</x:v>
      </x:c>
      <x:c r="I233" s="51" t="str">
        <x:v>E1</x:v>
      </x:c>
      <x:c r="J233" s="51" t="str">
        <x:v>SRC-413; SRC-415</x:v>
      </x:c>
      <x:c r="K233" s="51" t="str">
        <x:v>Contracted / future delivery</x:v>
      </x:c>
    </x:row>
    <x:row r="234">
      <x:c r="A234" s="51" t="str">
        <x:v>INS-230</x:v>
      </x:c>
      <x:c r="B234" s="51" t="str">
        <x:v>Meta US AI infrastructure programme</x:v>
      </x:c>
      <x:c r="C234" s="51" t="str">
        <x:v>Corporate AI infrastructure investment</x:v>
      </x:c>
      <x:c r="D234" s="51" t="str">
        <x:v>2025–2028</x:v>
      </x:c>
      <x:c r="E234" s="51" t="str">
        <x:v>Meta; contractors; utilities; communities</x:v>
      </x:c>
      <x:c r="F234" s="51" t="str">
        <x:v>More than $600 billion US infrastructure and jobs commitment</x:v>
      </x:c>
      <x:c r="G234" s="51" t="str">
        <x:v>USD</x:v>
      </x:c>
      <x:c r="H234" s="51" t="str">
        <x:v>Build AI data centers, grid additions and workforce capacity</x:v>
      </x:c>
      <x:c r="I234" s="51" t="str">
        <x:v>E1</x:v>
      </x:c>
      <x:c r="J234" s="51" t="str">
        <x:v>SRC-416</x:v>
      </x:c>
      <x:c r="K234" s="51" t="str">
        <x:v>Active</x:v>
      </x:c>
    </x:row>
    <x:row r="235">
      <x:c r="A235" s="51" t="str">
        <x:v>INS-231</x:v>
      </x:c>
      <x:c r="B235" s="51" t="str">
        <x:v>Meta–Constellation nuclear energy agreement</x:v>
      </x:c>
      <x:c r="C235" s="51" t="str">
        <x:v>Long-term power purchase agreement</x:v>
      </x:c>
      <x:c r="D235" s="51" t="str">
        <x:v>2027 onward</x:v>
      </x:c>
      <x:c r="E235" s="51" t="str">
        <x:v>Meta; Constellation Energy; Clinton Clean Energy Center</x:v>
      </x:c>
      <x:c r="F235" s="51" t="str">
        <x:v>20 years; 1,121MW plant and 30MW incremental capacity</x:v>
      </x:c>
      <x:c r="G235" s="51" t="str">
        <x:v>MW / energy contract</x:v>
      </x:c>
      <x:c r="H235" s="51" t="str">
        <x:v>Secure long-term nuclear power and support continued plant operation</x:v>
      </x:c>
      <x:c r="I235" s="51" t="str">
        <x:v>E1</x:v>
      </x:c>
      <x:c r="J235" s="51" t="str">
        <x:v>SRC-417</x:v>
      </x:c>
      <x:c r="K235" s="51" t="str">
        <x:v>Signed</x:v>
      </x:c>
    </x:row>
    <x:row r="236">
      <x:c r="A236" s="51" t="str">
        <x:v>INS-232</x:v>
      </x:c>
      <x:c r="B236" s="51" t="str">
        <x:v>AI Infrastructure Partnership</x:v>
      </x:c>
      <x:c r="C236" s="51" t="str">
        <x:v>Infrastructure investment partnership</x:v>
      </x:c>
      <x:c r="D236" s="51" t="str">
        <x:v>2024 onward</x:v>
      </x:c>
      <x:c r="E236" s="51" t="str">
        <x:v>BlackRock/GIP; Microsoft; MGX; NVIDIA; xAI; KIA and collaborators</x:v>
      </x:c>
      <x:c r="F236" s="51" t="str">
        <x:v>Up to $100 billion investment potential</x:v>
      </x:c>
      <x:c r="G236" s="51" t="str">
        <x:v>USD</x:v>
      </x:c>
      <x:c r="H236" s="51" t="str">
        <x:v>Mobilise equity and debt for data centers and power infrastructure</x:v>
      </x:c>
      <x:c r="I236" s="51" t="str">
        <x:v>E1</x:v>
      </x:c>
      <x:c r="J236" s="51" t="str">
        <x:v>SRC-418; SRC-419; SRC-420</x:v>
      </x:c>
      <x:c r="K236" s="51" t="str">
        <x:v>Active</x:v>
      </x:c>
    </x:row>
    <x:row r="237">
      <x:c r="A237" s="51" t="str">
        <x:v>INS-233</x:v>
      </x:c>
      <x:c r="B237" s="51" t="str">
        <x:v>US AI Action Plan and data-center permitting initiative</x:v>
      </x:c>
      <x:c r="C237" s="51" t="str">
        <x:v>Public industrial and permitting policy</x:v>
      </x:c>
      <x:c r="D237" s="51" t="str">
        <x:v>2025 onward</x:v>
      </x:c>
      <x:c r="E237" s="51" t="str">
        <x:v>White House; Commerce; Energy; agencies; industry</x:v>
      </x:c>
      <x:c r="F237" s="51" t="str">
        <x:v>National programme</x:v>
      </x:c>
      <x:c r="G237" s="51" t="str">
        <x:v>Policy authority</x:v>
      </x:c>
      <x:c r="H237" s="51" t="str">
        <x:v>Accelerate data centers, semiconductor fabs, power generation and AI exports</x:v>
      </x:c>
      <x:c r="I237" s="51" t="str">
        <x:v>E1</x:v>
      </x:c>
      <x:c r="J237" s="51" t="str">
        <x:v>SRC-421; SRC-422</x:v>
      </x:c>
      <x:c r="K237" s="51" t="str">
        <x:v>Active</x:v>
      </x:c>
    </x:row>
    <x:row r="238">
      <x:c r="A238" s="51" t="str">
        <x:v>INS-234</x:v>
      </x:c>
      <x:c r="B238" s="51" t="str">
        <x:v>Advanced-computing export-control regime</x:v>
      </x:c>
      <x:c r="C238" s="51" t="str">
        <x:v>Export licensing and enforcement framework</x:v>
      </x:c>
      <x:c r="D238" s="51" t="str">
        <x:v>2025–2026</x:v>
      </x:c>
      <x:c r="E238" s="51" t="str">
        <x:v>BIS; chip companies; cloud providers; foreign entities</x:v>
      </x:c>
      <x:c r="F238" s="51" t="str">
        <x:v>Item- and destination-specific</x:v>
      </x:c>
      <x:c r="G238" s="51" t="str">
        <x:v>Licence authority</x:v>
      </x:c>
      <x:c r="H238" s="51" t="str">
        <x:v>Restrict or condition transfer and use of advanced computing items</x:v>
      </x:c>
      <x:c r="I238" s="51" t="str">
        <x:v>E1</x:v>
      </x:c>
      <x:c r="J238" s="51" t="str">
        <x:v>SRC-424; SRC-425; SRC-426</x:v>
      </x:c>
      <x:c r="K238" s="51" t="str">
        <x:v>Active and changing</x:v>
      </x:c>
    </x:row>
    <x:row r="239">
      <x:c r="A239" s="51" t="str">
        <x:v>INS-235</x:v>
      </x:c>
      <x:c r="B239" s="51" t="str">
        <x:v>OpenAI–Broadcom Jalapeño inference chip</x:v>
      </x:c>
      <x:c r="C239" s="51" t="str">
        <x:v>Custom AI accelerator programme</x:v>
      </x:c>
      <x:c r="D239" s="51" t="str">
        <x:v>2026</x:v>
      </x:c>
      <x:c r="E239" s="51" t="str">
        <x:v>OpenAI; Broadcom; manufacturing partners</x:v>
      </x:c>
      <x:c r="F239" s="51" t="str">
        <x:v>Chip-specific</x:v>
      </x:c>
      <x:c r="G239" s="51" t="str">
        <x:v>Custom silicon</x:v>
      </x:c>
      <x:c r="H239" s="51" t="str">
        <x:v>Reduce dependence and optimise inference economics for OpenAI workloads</x:v>
      </x:c>
      <x:c r="I239" s="51" t="str">
        <x:v>E1</x:v>
      </x:c>
      <x:c r="J239" s="51" t="str">
        <x:v>SRC-399</x:v>
      </x:c>
      <x:c r="K239" s="51" t="str">
        <x:v>Initial silicon delivered</x:v>
      </x:c>
    </x:row>
    <x:row r="240">
      <x:c r="A240" s="51" t="str">
        <x:v>INS-236</x:v>
      </x:c>
      <x:c r="B240" s="51" t="str">
        <x:v>Google TPU platform</x:v>
      </x:c>
      <x:c r="C240" s="51" t="str">
        <x:v>Custom cloud AI accelerator</x:v>
      </x:c>
      <x:c r="D240" s="51" t="str">
        <x:v>Current 2026</x:v>
      </x:c>
      <x:c r="E240" s="51" t="str">
        <x:v>Google; Broadcom; cloud customers; Anthropic</x:v>
      </x:c>
      <x:c r="F240" s="51" t="str">
        <x:v>Multi-generation and multi-gigawatt deployment</x:v>
      </x:c>
      <x:c r="G240" s="51" t="str">
        <x:v>Accelerator capacity</x:v>
      </x:c>
      <x:c r="H240" s="51" t="str">
        <x:v>Train and serve AI models on Google-controlled silicon and cloud</x:v>
      </x:c>
      <x:c r="I240" s="51" t="str">
        <x:v>E1</x:v>
      </x:c>
      <x:c r="J240" s="51" t="str">
        <x:v>SRC-413; SRC-415</x:v>
      </x:c>
      <x:c r="K240" s="51" t="str">
        <x:v>Active and expanding</x:v>
      </x:c>
    </x:row>
    <x:row r="241">
      <x:c r="A241" s="51" t="str">
        <x:v>INS-237</x:v>
      </x:c>
      <x:c r="B241" s="51" t="str">
        <x:v>AWS Trainium platform</x:v>
      </x:c>
      <x:c r="C241" s="51" t="str">
        <x:v>Custom cloud AI accelerator</x:v>
      </x:c>
      <x:c r="D241" s="51" t="str">
        <x:v>Current 2026</x:v>
      </x:c>
      <x:c r="E241" s="51" t="str">
        <x:v>Amazon Web Services; Anthropic; cloud customers</x:v>
      </x:c>
      <x:c r="F241" s="51" t="str">
        <x:v>Nearly 1GW Trainium2/3 capacity expected by end-2026 within broader Anthropic agreement</x:v>
      </x:c>
      <x:c r="G241" s="51" t="str">
        <x:v>Accelerator capacity</x:v>
      </x:c>
      <x:c r="H241" s="51" t="str">
        <x:v>Provide lower-cost training and inference on AWS-controlled silicon</x:v>
      </x:c>
      <x:c r="I241" s="51" t="str">
        <x:v>E1</x:v>
      </x:c>
      <x:c r="J241" s="51" t="str">
        <x:v>SRC-412; SRC-414</x:v>
      </x:c>
      <x:c r="K241" s="51" t="str">
        <x:v>Active and expanding</x:v>
      </x:c>
    </x:row>
    <x:row r="242">
      <x:c r="A242" s="51" t="str">
        <x:v>INS-238</x:v>
      </x:c>
      <x:c r="B242" s="51" t="str">
        <x:v>AI data-center grid and microgrid programme</x:v>
      </x:c>
      <x:c r="C242" s="51" t="str">
        <x:v>Energy infrastructure programme</x:v>
      </x:c>
      <x:c r="D242" s="51" t="str">
        <x:v>2026 onward</x:v>
      </x:c>
      <x:c r="E242" s="51" t="str">
        <x:v>DOE; utilities; data-center developers; generation companies</x:v>
      </x:c>
      <x:c r="F242" s="51" t="str">
        <x:v>US data-center electricity estimated 325–580TWh by 2028 in DOE cited range</x:v>
      </x:c>
      <x:c r="G242" s="51" t="str">
        <x:v>TWh / GW</x:v>
      </x:c>
      <x:c r="H242" s="51" t="str">
        <x:v>Connect, stabilise and supply very large AI loads</x:v>
      </x:c>
      <x:c r="I242" s="51" t="str">
        <x:v>E1</x:v>
      </x:c>
      <x:c r="J242" s="51" t="str">
        <x:v>SRC-427; SRC-428; SRC-429</x:v>
      </x:c>
      <x:c r="K242" s="51" t="str">
        <x:v>Active policy and infrastructure work</x:v>
      </x:c>
    </x:row>
    <x:row r="243">
      <x:c r="A243" s="51" t="str">
        <x:v>INS-239</x:v>
      </x:c>
      <x:c r="B243" s="51" t="str">
        <x:v>Universal and meaningful connectivity framework</x:v>
      </x:c>
      <x:c r="C243" s="51" t="str">
        <x:v>Global connectivity policy framework</x:v>
      </x:c>
      <x:c r="D243" s="51" t="str">
        <x:v>Current 2025–2026</x:v>
      </x:c>
      <x:c r="E243" s="51" t="str">
        <x:v>ITU; governments; operators; users</x:v>
      </x:c>
      <x:c r="F243" s="51" t="str">
        <x:v>6.0 billion Internet users in 2025; 2.2 billion offline</x:v>
      </x:c>
      <x:c r="G243" s="51" t="str">
        <x:v>People / connectivity indicators</x:v>
      </x:c>
      <x:c r="H243" s="51" t="str">
        <x:v>Measure access through availability, quality, affordability, devices, skills and security</x:v>
      </x:c>
      <x:c r="I243" s="51" t="str">
        <x:v>E1</x:v>
      </x:c>
      <x:c r="J243" s="51" t="str">
        <x:v>SRC-442; SRC-443; SRC-490</x:v>
      </x:c>
      <x:c r="K243" s="51" t="str">
        <x:v>Active</x:v>
      </x:c>
    </x:row>
    <x:row r="244">
      <x:c r="A244" s="51" t="str">
        <x:v>INS-240</x:v>
      </x:c>
      <x:c r="B244" s="51" t="str">
        <x:v>Project Waterworth</x:v>
      </x:c>
      <x:c r="C244" s="51" t="str">
        <x:v>Private submarine cable project</x:v>
      </x:c>
      <x:c r="D244" s="51" t="str">
        <x:v>2025–2030s</x:v>
      </x:c>
      <x:c r="E244" s="51" t="str">
        <x:v>Meta; landing partners; cable suppliers; coastal states</x:v>
      </x:c>
      <x:c r="F244" s="51" t="str">
        <x:v>More than 50,000 km across five major continents</x:v>
      </x:c>
      <x:c r="G244" s="51" t="str">
        <x:v>Kilometres / fiber capacity</x:v>
      </x:c>
      <x:c r="H244" s="51" t="str">
        <x:v>Create high-capacity private global routes supporting Meta and broader connectivity</x:v>
      </x:c>
      <x:c r="I244" s="51" t="str">
        <x:v>E1</x:v>
      </x:c>
      <x:c r="J244" s="51" t="str">
        <x:v>SRC-451</x:v>
      </x:c>
      <x:c r="K244" s="51" t="str">
        <x:v>Planned and under development</x:v>
      </x:c>
    </x:row>
    <x:row r="245">
      <x:c r="A245" s="51" t="str">
        <x:v>INS-241</x:v>
      </x:c>
      <x:c r="B245" s="51" t="str">
        <x:v>America-India Connect</x:v>
      </x:c>
      <x:c r="C245" s="51" t="str">
        <x:v>Subsea and terrestrial connectivity initiative</x:v>
      </x:c>
      <x:c r="D245" s="51" t="str">
        <x:v>2026 onward</x:v>
      </x:c>
      <x:c r="E245" s="51" t="str">
        <x:v>Google; local partners; landing stations; terrestrial fiber operators</x:v>
      </x:c>
      <x:c r="F245" s="51" t="str">
        <x:v>Three new subsea paths and four strategic fiber routes</x:v>
      </x:c>
      <x:c r="G245" s="51" t="str">
        <x:v>Routes / capacity</x:v>
      </x:c>
      <x:c r="H245" s="51" t="str">
        <x:v>Create a new Visakhapatnam gateway and resilient US–India connectivity</x:v>
      </x:c>
      <x:c r="I245" s="51" t="str">
        <x:v>E1</x:v>
      </x:c>
      <x:c r="J245" s="51" t="str">
        <x:v>SRC-452</x:v>
      </x:c>
      <x:c r="K245" s="51" t="str">
        <x:v>Announced / under development</x:v>
      </x:c>
    </x:row>
    <x:row r="246">
      <x:c r="A246" s="51" t="str">
        <x:v>INS-242</x:v>
      </x:c>
      <x:c r="B246" s="51" t="str">
        <x:v>Honomoana and South Pacific Connect</x:v>
      </x:c>
      <x:c r="C246" s="51" t="str">
        <x:v>Submarine cable programme</x:v>
      </x:c>
      <x:c r="D246" s="51" t="str">
        <x:v>2023–2026 onward</x:v>
      </x:c>
      <x:c r="E246" s="51" t="str">
        <x:v>Google; Fiji and French Polynesia partners; Vocus; landing partners</x:v>
      </x:c>
      <x:c r="F246" s="51" t="str">
        <x:v>Multi-route Pacific connectivity</x:v>
      </x:c>
      <x:c r="G246" s="51" t="str">
        <x:v>Fiber capacity</x:v>
      </x:c>
      <x:c r="H246" s="51" t="str">
        <x:v>Add route diversity for New Zealand, Australia and Pacific islands</x:v>
      </x:c>
      <x:c r="I246" s="51" t="str">
        <x:v>E1</x:v>
      </x:c>
      <x:c r="J246" s="51" t="str">
        <x:v>SRC-453; SRC-454</x:v>
      </x:c>
      <x:c r="K246" s="51" t="str">
        <x:v>Under construction / staged</x:v>
      </x:c>
    </x:row>
    <x:row r="247">
      <x:c r="A247" s="51" t="str">
        <x:v>INS-243</x:v>
      </x:c>
      <x:c r="B247" s="51" t="str">
        <x:v>ICANN–IANA root-zone management system</x:v>
      </x:c>
      <x:c r="C247" s="51" t="str">
        <x:v>Internet identifier governance and operations</x:v>
      </x:c>
      <x:c r="D247" s="51" t="str">
        <x:v>Ongoing</x:v>
      </x:c>
      <x:c r="E247" s="51" t="str">
        <x:v>ICANN; IANA functions; TLD operators; root-server operators</x:v>
      </x:c>
      <x:c r="F247" s="51" t="str">
        <x:v>Global DNS root</x:v>
      </x:c>
      <x:c r="G247" s="51" t="str">
        <x:v>Identifier delegations and root-zone data</x:v>
      </x:c>
      <x:c r="H247" s="51" t="str">
        <x:v>Coordinate unique domain-name identifiers and root-zone changes</x:v>
      </x:c>
      <x:c r="I247" s="51" t="str">
        <x:v>E1</x:v>
      </x:c>
      <x:c r="J247" s="51" t="str">
        <x:v>SRC-444; SRC-446; SRC-448</x:v>
      </x:c>
      <x:c r="K247" s="51" t="str">
        <x:v>Active</x:v>
      </x:c>
    </x:row>
    <x:row r="248">
      <x:c r="A248" s="51" t="str">
        <x:v>INS-244</x:v>
      </x:c>
      <x:c r="B248" s="51" t="str">
        <x:v>2026 DNSSEC root trust-anchor rollover</x:v>
      </x:c>
      <x:c r="C248" s="51" t="str">
        <x:v>Internet security key rollover</x:v>
      </x:c>
      <x:c r="D248" s="51" t="str">
        <x:v>2026-10-11 planned</x:v>
      </x:c>
      <x:c r="E248" s="51" t="str">
        <x:v>ICANN; IANA; resolver operators; software vendors</x:v>
      </x:c>
      <x:c r="F248" s="51" t="str">
        <x:v>Global DNSSEC trust anchor</x:v>
      </x:c>
      <x:c r="G248" s="51" t="str">
        <x:v>Cryptographic key</x:v>
      </x:c>
      <x:c r="H248" s="51" t="str">
        <x:v>Maintain validation trust while replacing the root key-signing key</x:v>
      </x:c>
      <x:c r="I248" s="51" t="str">
        <x:v>E1</x:v>
      </x:c>
      <x:c r="J248" s="51" t="str">
        <x:v>SRC-445; SRC-447</x:v>
      </x:c>
      <x:c r="K248" s="51" t="str">
        <x:v>Scheduled</x:v>
      </x:c>
    </x:row>
    <x:row r="249">
      <x:c r="A249" s="51" t="str">
        <x:v>INS-245</x:v>
      </x:c>
      <x:c r="B249" s="51" t="str">
        <x:v>.com and .net registry platform</x:v>
      </x:c>
      <x:c r="C249" s="51" t="str">
        <x:v>Top-level domain registry service</x:v>
      </x:c>
      <x:c r="D249" s="51" t="str">
        <x:v>Ongoing</x:v>
      </x:c>
      <x:c r="E249" s="51" t="str">
        <x:v>Verisign; ICANN; registrars; registrants</x:v>
      </x:c>
      <x:c r="F249" s="51" t="str">
        <x:v>Large global domain base; .com wholesale fee scheduled at $10.97 from 2026-11-01</x:v>
      </x:c>
      <x:c r="G249" s="51" t="str">
        <x:v>Domain registrations / USD fee</x:v>
      </x:c>
      <x:c r="H249" s="51" t="str">
        <x:v>Maintain authoritative registry and resolution services</x:v>
      </x:c>
      <x:c r="I249" s="51" t="str">
        <x:v>E1</x:v>
      </x:c>
      <x:c r="J249" s="51" t="str">
        <x:v>SRC-449; SRC-450</x:v>
      </x:c>
      <x:c r="K249" s="51" t="str">
        <x:v>Active</x:v>
      </x:c>
    </x:row>
    <x:row r="250">
      <x:c r="A250" s="51" t="str">
        <x:v>INS-246</x:v>
      </x:c>
      <x:c r="B250" s="51" t="str">
        <x:v>DE-CIX global interconnection platform</x:v>
      </x:c>
      <x:c r="C250" s="51" t="str">
        <x:v>Internet exchange network</x:v>
      </x:c>
      <x:c r="D250" s="51" t="str">
        <x:v>2025–2026</x:v>
      </x:c>
      <x:c r="E250" s="51" t="str">
        <x:v>DE-CIX; ISPs; clouds; content networks; enterprises</x:v>
      </x:c>
      <x:c r="F250" s="51" t="str">
        <x:v>More than 4,300 connected networks; 220 Tbps customer capacity; 79 EB 2025 traffic</x:v>
      </x:c>
      <x:c r="G250" s="51" t="str">
        <x:v>Networks / Tbps / EB</x:v>
      </x:c>
      <x:c r="H250" s="51" t="str">
        <x:v>Enable direct peering and cloud interconnection</x:v>
      </x:c>
      <x:c r="I250" s="51" t="str">
        <x:v>E1</x:v>
      </x:c>
      <x:c r="J250" s="51" t="str">
        <x:v>SRC-455; SRC-456</x:v>
      </x:c>
      <x:c r="K250" s="51" t="str">
        <x:v>Active and expanding</x:v>
      </x:c>
    </x:row>
    <x:row r="251">
      <x:c r="A251" s="51" t="str">
        <x:v>INS-247</x:v>
      </x:c>
      <x:c r="B251" s="51" t="str">
        <x:v>AMS-IX Amsterdam interconnection platform</x:v>
      </x:c>
      <x:c r="C251" s="51" t="str">
        <x:v>Internet exchange network</x:v>
      </x:c>
      <x:c r="D251" s="51" t="str">
        <x:v>2025</x:v>
      </x:c>
      <x:c r="E251" s="51" t="str">
        <x:v>AMS-IX; member networks; content and cloud providers</x:v>
      </x:c>
      <x:c r="F251" s="51" t="str">
        <x:v>35.66 EB traffic in 2025</x:v>
      </x:c>
      <x:c r="G251" s="51" t="str">
        <x:v>Exabytes / ports</x:v>
      </x:c>
      <x:c r="H251" s="51" t="str">
        <x:v>Exchange IP traffic through a neutral shared fabric</x:v>
      </x:c>
      <x:c r="I251" s="51" t="str">
        <x:v>E1</x:v>
      </x:c>
      <x:c r="J251" s="51" t="str">
        <x:v>SRC-457</x:v>
      </x:c>
      <x:c r="K251" s="51" t="str">
        <x:v>Active</x:v>
      </x:c>
    </x:row>
    <x:row r="252">
      <x:c r="A252" s="51" t="str">
        <x:v>INS-248</x:v>
      </x:c>
      <x:c r="B252" s="51" t="str">
        <x:v>Cloudflare global edge network</x:v>
      </x:c>
      <x:c r="C252" s="51" t="str">
        <x:v>Anycast edge, security and cloud platform</x:v>
      </x:c>
      <x:c r="D252" s="51" t="str">
        <x:v>2025–2026</x:v>
      </x:c>
      <x:c r="E252" s="51" t="str">
        <x:v>Cloudflare; ISPs; enterprises; developers</x:v>
      </x:c>
      <x:c r="F252" s="51" t="str">
        <x:v>More than 330 cities, 125 countries and 13,000 interconnected networks</x:v>
      </x:c>
      <x:c r="G252" s="51" t="str">
        <x:v>Cities / countries / networks</x:v>
      </x:c>
      <x:c r="H252" s="51" t="str">
        <x:v>Deliver, secure and execute applications close to users</x:v>
      </x:c>
      <x:c r="I252" s="51" t="str">
        <x:v>E1</x:v>
      </x:c>
      <x:c r="J252" s="51" t="str">
        <x:v>SRC-458; SRC-459</x:v>
      </x:c>
      <x:c r="K252" s="51" t="str">
        <x:v>Active</x:v>
      </x:c>
    </x:row>
    <x:row r="253">
      <x:c r="A253" s="51" t="str">
        <x:v>INS-249</x:v>
      </x:c>
      <x:c r="B253" s="51" t="str">
        <x:v>Akamai distributed edge and cloud platform</x:v>
      </x:c>
      <x:c r="C253" s="51" t="str">
        <x:v>Edge, security and cloud network</x:v>
      </x:c>
      <x:c r="D253" s="51" t="str">
        <x:v>2025–2026</x:v>
      </x:c>
      <x:c r="E253" s="51" t="str">
        <x:v>Akamai; ISPs; data centers; enterprises</x:v>
      </x:c>
      <x:c r="F253" s="51" t="str">
        <x:v>More than 4,300 edge points of presence in over 130 countries and about 700 cities</x:v>
      </x:c>
      <x:c r="G253" s="51" t="str">
        <x:v>PoPs / countries / cities</x:v>
      </x:c>
      <x:c r="H253" s="51" t="str">
        <x:v>Cache, secure and compute near users across third-party networks</x:v>
      </x:c>
      <x:c r="I253" s="51" t="str">
        <x:v>E1</x:v>
      </x:c>
      <x:c r="J253" s="51" t="str">
        <x:v>SRC-461; SRC-462</x:v>
      </x:c>
      <x:c r="K253" s="51" t="str">
        <x:v>Active</x:v>
      </x:c>
    </x:row>
    <x:row r="254">
      <x:c r="A254" s="51" t="str">
        <x:v>INS-250</x:v>
      </x:c>
      <x:c r="B254" s="51" t="str">
        <x:v>Starlink broadband constellation</x:v>
      </x:c>
      <x:c r="C254" s="51" t="str">
        <x:v>LEO satellite broadband system</x:v>
      </x:c>
      <x:c r="D254" s="51" t="str">
        <x:v>2025–2026</x:v>
      </x:c>
      <x:c r="E254" s="51" t="str">
        <x:v>SpaceX; users; telecom partners; gateways; regulators</x:v>
      </x:c>
      <x:c r="F254" s="51" t="str">
        <x:v>Millions of customers; largest LEO constellation; V3 deployment beginning in 2026</x:v>
      </x:c>
      <x:c r="G254" s="51" t="str">
        <x:v>Satellites / customers / capacity</x:v>
      </x:c>
      <x:c r="H254" s="51" t="str">
        <x:v>Provide low-latency broadband, mobility and direct-to-cell services</x:v>
      </x:c>
      <x:c r="I254" s="51" t="str">
        <x:v>E1</x:v>
      </x:c>
      <x:c r="J254" s="51" t="str">
        <x:v>SRC-463; SRC-464; SRC-465</x:v>
      </x:c>
      <x:c r="K254" s="51" t="str">
        <x:v>Active and expanding</x:v>
      </x:c>
    </x:row>
    <x:row r="255">
      <x:c r="A255" s="51" t="str">
        <x:v>INS-251</x:v>
      </x:c>
      <x:c r="B255" s="51" t="str">
        <x:v>Amazon Leo constellation</x:v>
      </x:c>
      <x:c r="C255" s="51" t="str">
        <x:v>LEO satellite broadband system</x:v>
      </x:c>
      <x:c r="D255" s="51" t="str">
        <x:v>2025–2026 rollout</x:v>
      </x:c>
      <x:c r="E255" s="51" t="str">
        <x:v>Amazon; launch providers; gateways; customers</x:v>
      </x:c>
      <x:c r="F255" s="51" t="str">
        <x:v>More than 3,000 planned satellites; 375+ in orbit by 2026 updates</x:v>
      </x:c>
      <x:c r="G255" s="51" t="str">
        <x:v>Satellites / terminals</x:v>
      </x:c>
      <x:c r="H255" s="51" t="str">
        <x:v>Provide enterprise and consumer broadband with cloud integration</x:v>
      </x:c>
      <x:c r="I255" s="51" t="str">
        <x:v>E1</x:v>
      </x:c>
      <x:c r="J255" s="51" t="str">
        <x:v>SRC-468; SRC-469; SRC-470; SRC-471</x:v>
      </x:c>
      <x:c r="K255" s="51" t="str">
        <x:v>Deployment and enterprise preview</x:v>
      </x:c>
    </x:row>
    <x:row r="256">
      <x:c r="A256" s="51" t="str">
        <x:v>INS-252</x:v>
      </x:c>
      <x:c r="B256" s="51" t="str">
        <x:v>Eutelsat OneWeb GEO-LEO platform</x:v>
      </x:c>
      <x:c r="C256" s="51" t="str">
        <x:v>Multi-orbit satellite communications system</x:v>
      </x:c>
      <x:c r="D256" s="51" t="str">
        <x:v>2024–2026</x:v>
      </x:c>
      <x:c r="E256" s="51" t="str">
        <x:v>Eutelsat; governments; enterprises; distributors</x:v>
      </x:c>
      <x:c r="F256" s="51" t="str">
        <x:v>600+ LEO satellites and 34 GEO satellites at June 2025</x:v>
      </x:c>
      <x:c r="G256" s="51" t="str">
        <x:v>Satellites / backlog</x:v>
      </x:c>
      <x:c r="H256" s="51" t="str">
        <x:v>Provide resilient enterprise, government and wholesale connectivity</x:v>
      </x:c>
      <x:c r="I256" s="51" t="str">
        <x:v>E1</x:v>
      </x:c>
      <x:c r="J256" s="51" t="str">
        <x:v>SRC-472; SRC-473</x:v>
      </x:c>
      <x:c r="K256" s="51" t="str">
        <x:v>Operational and expanding</x:v>
      </x:c>
    </x:row>
    <x:row r="257">
      <x:c r="A257" s="51" t="str">
        <x:v>INS-253</x:v>
      </x:c>
      <x:c r="B257" s="51" t="str">
        <x:v>US satellite spectrum modernisation programme</x:v>
      </x:c>
      <x:c r="C257" s="51" t="str">
        <x:v>Spectrum policy and licensing framework</x:v>
      </x:c>
      <x:c r="D257" s="51" t="str">
        <x:v>2025–2026</x:v>
      </x:c>
      <x:c r="E257" s="51" t="str">
        <x:v>FCC; satellite operators; telecom operators</x:v>
      </x:c>
      <x:c r="F257" s="51" t="str">
        <x:v>More than 20,000 MHz identified for satellite-spectrum abundance in FCC statements</x:v>
      </x:c>
      <x:c r="G257" s="51" t="str">
        <x:v>Megahertz / licences</x:v>
      </x:c>
      <x:c r="H257" s="51" t="str">
        <x:v>Expand and coordinate spectrum for satellite broadband</x:v>
      </x:c>
      <x:c r="I257" s="51" t="str">
        <x:v>E1</x:v>
      </x:c>
      <x:c r="J257" s="51" t="str">
        <x:v>SRC-475; SRC-476</x:v>
      </x:c>
      <x:c r="K257" s="51" t="str">
        <x:v>Active policy programme</x:v>
      </x:c>
    </x:row>
    <x:row r="258">
      <x:c r="A258" s="51" t="str">
        <x:v>INS-254</x:v>
      </x:c>
      <x:c r="B258" s="51" t="str">
        <x:v>Apple App Store review and distribution system</x:v>
      </x:c>
      <x:c r="C258" s="51" t="str">
        <x:v>Mobile software marketplace and governance system</x:v>
      </x:c>
      <x:c r="D258" s="51" t="str">
        <x:v>Current 2026</x:v>
      </x:c>
      <x:c r="E258" s="51" t="str">
        <x:v>Apple; developers; users</x:v>
      </x:c>
      <x:c r="F258" s="51" t="str">
        <x:v>$1.4 trillion ecosystem billings and sales in 2025</x:v>
      </x:c>
      <x:c r="G258" s="51" t="str">
        <x:v>USD / app submissions</x:v>
      </x:c>
      <x:c r="H258" s="51" t="str">
        <x:v>Review, rank, distribute and monetise apps on Apple platforms</x:v>
      </x:c>
      <x:c r="I258" s="51" t="str">
        <x:v>E1</x:v>
      </x:c>
      <x:c r="J258" s="51" t="str">
        <x:v>SRC-477; SRC-478; SRC-479</x:v>
      </x:c>
      <x:c r="K258" s="51" t="str">
        <x:v>Active</x:v>
      </x:c>
    </x:row>
    <x:row r="259">
      <x:c r="A259" s="51" t="str">
        <x:v>INS-255</x:v>
      </x:c>
      <x:c r="B259" s="51" t="str">
        <x:v>Google Play developer distribution system</x:v>
      </x:c>
      <x:c r="C259" s="51" t="str">
        <x:v>Mobile software marketplace and governance system</x:v>
      </x:c>
      <x:c r="D259" s="51" t="str">
        <x:v>Current 2026</x:v>
      </x:c>
      <x:c r="E259" s="51" t="str">
        <x:v>Google; developers; Android users</x:v>
      </x:c>
      <x:c r="F259" s="51" t="str">
        <x:v>Global Android app distribution</x:v>
      </x:c>
      <x:c r="G259" s="51" t="str">
        <x:v>App listings / transactions</x:v>
      </x:c>
      <x:c r="H259" s="51" t="str">
        <x:v>Approve, rank, distribute and govern applications under platform policies</x:v>
      </x:c>
      <x:c r="I259" s="51" t="str">
        <x:v>E1</x:v>
      </x:c>
      <x:c r="J259" s="51" t="str">
        <x:v>SRC-482; SRC-483; SRC-484</x:v>
      </x:c>
      <x:c r="K259" s="51" t="str">
        <x:v>Active</x:v>
      </x:c>
    </x:row>
    <x:row r="260">
      <x:c r="A260" s="51" t="str">
        <x:v>INS-256</x:v>
      </x:c>
      <x:c r="B260" s="51" t="str">
        <x:v>Aadhaar authentication ecosystem</x:v>
      </x:c>
      <x:c r="C260" s="51" t="str">
        <x:v>National digital-identity and authentication infrastructure</x:v>
      </x:c>
      <x:c r="D260" s="51" t="str">
        <x:v>Current 2025–2026</x:v>
      </x:c>
      <x:c r="E260" s="51" t="str">
        <x:v>UIDAI; number holders; AUAs; ASAs</x:v>
      </x:c>
      <x:c r="F260" s="51" t="str">
        <x:v>221 crore authentication transactions in August 2025</x:v>
      </x:c>
      <x:c r="G260" s="51" t="str">
        <x:v>Transactions / identity requests</x:v>
      </x:c>
      <x:c r="H260" s="51" t="str">
        <x:v>Authenticate residents for public and private services under UIDAI rules</x:v>
      </x:c>
      <x:c r="I260" s="51" t="str">
        <x:v>E1</x:v>
      </x:c>
      <x:c r="J260" s="51" t="str">
        <x:v>SRC-502; SRC-503; SRC-504</x:v>
      </x:c>
      <x:c r="K260" s="51" t="str">
        <x:v>Active</x:v>
      </x:c>
    </x:row>
    <x:row r="261">
      <x:c r="A261" s="51" t="str">
        <x:v>INS-257</x:v>
      </x:c>
      <x:c r="B261" s="51" t="str">
        <x:v>EU Digital Identity Wallet framework</x:v>
      </x:c>
      <x:c r="C261" s="51" t="str">
        <x:v>Public digital-identity wallet ecosystem</x:v>
      </x:c>
      <x:c r="D261" s="51" t="str">
        <x:v>2024–2026 rollout</x:v>
      </x:c>
      <x:c r="E261" s="51" t="str">
        <x:v>European Commission; Member States; issuers; relying parties</x:v>
      </x:c>
      <x:c r="F261" s="51" t="str">
        <x:v>Member States required to provide wallets by end-2026</x:v>
      </x:c>
      <x:c r="G261" s="51" t="str">
        <x:v>Wallets / credentials</x:v>
      </x:c>
      <x:c r="H261" s="51" t="str">
        <x:v>Enable user-controlled presentation of identity and electronic attestations</x:v>
      </x:c>
      <x:c r="I261" s="51" t="str">
        <x:v>E1</x:v>
      </x:c>
      <x:c r="J261" s="51" t="str">
        <x:v>SRC-505; SRC-506; SRC-507</x:v>
      </x:c>
      <x:c r="K261" s="51" t="str">
        <x:v>Implementation and pilot phase</x:v>
      </x:c>
    </x:row>
    <x:row r="262">
      <x:c r="A262" s="51" t="str">
        <x:v>INS-258</x:v>
      </x:c>
      <x:c r="B262" s="51" t="str">
        <x:v>Visa payment network</x:v>
      </x:c>
      <x:c r="C262" s="51" t="str">
        <x:v>Global card-payment and value-added-services platform</x:v>
      </x:c>
      <x:c r="D262" s="51" t="str">
        <x:v>Fiscal 2025</x:v>
      </x:c>
      <x:c r="E262" s="51" t="str">
        <x:v>Visa; issuers; acquirers; merchants; cardholders</x:v>
      </x:c>
      <x:c r="F262" s="51" t="str">
        <x:v>$17 trillion payments and cash volume; 257.5 billion processed transactions</x:v>
      </x:c>
      <x:c r="G262" s="51" t="str">
        <x:v>USD / transactions</x:v>
      </x:c>
      <x:c r="H262" s="51" t="str">
        <x:v>Authorise, clear, settle and secure Visa-branded payments</x:v>
      </x:c>
      <x:c r="I262" s="51" t="str">
        <x:v>E1</x:v>
      </x:c>
      <x:c r="J262" s="51" t="str">
        <x:v>SRC-491; SRC-492</x:v>
      </x:c>
      <x:c r="K262" s="51" t="str">
        <x:v>Active</x:v>
      </x:c>
    </x:row>
    <x:row r="263">
      <x:c r="A263" s="51" t="str">
        <x:v>INS-259</x:v>
      </x:c>
      <x:c r="B263" s="51" t="str">
        <x:v>Mastercard payment network</x:v>
      </x:c>
      <x:c r="C263" s="51" t="str">
        <x:v>Global card and account-payment network</x:v>
      </x:c>
      <x:c r="D263" s="51" t="str">
        <x:v>Calendar 2025</x:v>
      </x:c>
      <x:c r="E263" s="51" t="str">
        <x:v>Mastercard; issuers; acquirers; merchants; account holders</x:v>
      </x:c>
      <x:c r="F263" s="51" t="str">
        <x:v>Mastercard-branded GDV grew 9%; switched transactions grew 10% in 2025</x:v>
      </x:c>
      <x:c r="G263" s="51" t="str">
        <x:v>Growth rates / messages</x:v>
      </x:c>
      <x:c r="H263" s="51" t="str">
        <x:v>Switch, clear and support payment transactions and related services</x:v>
      </x:c>
      <x:c r="I263" s="51" t="str">
        <x:v>E1</x:v>
      </x:c>
      <x:c r="J263" s="51" t="str">
        <x:v>SRC-493; SRC-494</x:v>
      </x:c>
      <x:c r="K263" s="51" t="str">
        <x:v>Active</x:v>
      </x:c>
    </x:row>
    <x:row r="264">
      <x:c r="A264" s="51" t="str">
        <x:v>INS-260</x:v>
      </x:c>
      <x:c r="B264" s="51" t="str">
        <x:v>Stripe financial-infrastructure platform</x:v>
      </x:c>
      <x:c r="C264" s="51" t="str">
        <x:v>Payment orchestration, billing and embedded-finance platform</x:v>
      </x:c>
      <x:c r="D264" s="51" t="str">
        <x:v>Calendar 2025</x:v>
      </x:c>
      <x:c r="E264" s="51" t="str">
        <x:v>Stripe; businesses; platforms; banks; payment networks</x:v>
      </x:c>
      <x:c r="F264" s="51" t="str">
        <x:v>$1.9 trillion payment volume generated by businesses on Stripe</x:v>
      </x:c>
      <x:c r="G264" s="51" t="str">
        <x:v>USD / businesses / transactions</x:v>
      </x:c>
      <x:c r="H264" s="51" t="str">
        <x:v>Integrate multiple payment methods, billing, fraud and platform payouts</x:v>
      </x:c>
      <x:c r="I264" s="51" t="str">
        <x:v>E1</x:v>
      </x:c>
      <x:c r="J264" s="51" t="str">
        <x:v>SRC-495; SRC-496</x:v>
      </x:c>
      <x:c r="K264" s="51" t="str">
        <x:v>Active</x:v>
      </x:c>
    </x:row>
    <x:row r="265">
      <x:c r="A265" s="51" t="str">
        <x:v>INS-261</x:v>
      </x:c>
      <x:c r="B265" s="51" t="str">
        <x:v>FedNow Service</x:v>
      </x:c>
      <x:c r="C265" s="51" t="str">
        <x:v>Central-bank instant-payment infrastructure</x:v>
      </x:c>
      <x:c r="D265" s="51" t="str">
        <x:v>2025–2026</x:v>
      </x:c>
      <x:c r="E265" s="51" t="str">
        <x:v>Federal Reserve Banks; participating financial institutions</x:v>
      </x:c>
      <x:c r="F265" s="51" t="str">
        <x:v>8.41 million payments and $853.4 billion settled in 2025</x:v>
      </x:c>
      <x:c r="G265" s="51" t="str">
        <x:v>Transactions / USD</x:v>
      </x:c>
      <x:c r="H265" s="51" t="str">
        <x:v>Settle instant interbank payments 24/7 in central-bank infrastructure</x:v>
      </x:c>
      <x:c r="I265" s="51" t="str">
        <x:v>E1</x:v>
      </x:c>
      <x:c r="J265" s="51" t="str">
        <x:v>SRC-497; SRC-498; SRC-535</x:v>
      </x:c>
      <x:c r="K265" s="51" t="str">
        <x:v>Active</x:v>
      </x:c>
    </x:row>
    <x:row r="266">
      <x:c r="A266" s="51" t="str">
        <x:v>INS-262</x:v>
      </x:c>
      <x:c r="B266" s="51" t="str">
        <x:v>RTP network</x:v>
      </x:c>
      <x:c r="C266" s="51" t="str">
        <x:v>Private-sector instant-payment network</x:v>
      </x:c>
      <x:c r="D266" s="51" t="str">
        <x:v>Q2 2026</x:v>
      </x:c>
      <x:c r="E266" s="51" t="str">
        <x:v>The Clearing House; participating institutions</x:v>
      </x:c>
      <x:c r="F266" s="51" t="str">
        <x:v>142 million transactions and $576 billion in Q2 2026; 1,280+ participants</x:v>
      </x:c>
      <x:c r="G266" s="51" t="str">
        <x:v>Transactions / USD</x:v>
      </x:c>
      <x:c r="H266" s="51" t="str">
        <x:v>Clear and settle final ISO 20022 instant payments</x:v>
      </x:c>
      <x:c r="I266" s="51" t="str">
        <x:v>E1</x:v>
      </x:c>
      <x:c r="J266" s="51" t="str">
        <x:v>SRC-499; SRC-500</x:v>
      </x:c>
      <x:c r="K266" s="51" t="str">
        <x:v>Active</x:v>
      </x:c>
    </x:row>
    <x:row r="267">
      <x:c r="A267" s="51" t="str">
        <x:v>INS-263</x:v>
      </x:c>
      <x:c r="B267" s="51" t="str">
        <x:v>TARGET Instant Payment Settlement</x:v>
      </x:c>
      <x:c r="C267" s="51" t="str">
        <x:v>Central-bank instant-settlement platform</x:v>
      </x:c>
      <x:c r="D267" s="51" t="str">
        <x:v>Current 2026</x:v>
      </x:c>
      <x:c r="E267" s="51" t="str">
        <x:v>Eurosystem; payment service providers</x:v>
      </x:c>
      <x:c r="F267" s="51" t="str">
        <x:v>24/7/365 central-bank-money settlement</x:v>
      </x:c>
      <x:c r="G267" s="51" t="str">
        <x:v>Transactions / currencies</x:v>
      </x:c>
      <x:c r="H267" s="51" t="str">
        <x:v>Settle instant retail payments within seconds</x:v>
      </x:c>
      <x:c r="I267" s="51" t="str">
        <x:v>E1</x:v>
      </x:c>
      <x:c r="J267" s="51" t="str">
        <x:v>SRC-501</x:v>
      </x:c>
      <x:c r="K267" s="51" t="str">
        <x:v>Active</x:v>
      </x:c>
    </x:row>
    <x:row r="268">
      <x:c r="A268" s="51" t="str">
        <x:v>INS-264</x:v>
      </x:c>
      <x:c r="B268" s="51" t="str">
        <x:v>Google Ads auction and delivery system</x:v>
      </x:c>
      <x:c r="C268" s="51" t="str">
        <x:v>Digital advertising marketplace</x:v>
      </x:c>
      <x:c r="D268" s="51" t="str">
        <x:v>Current 2026</x:v>
      </x:c>
      <x:c r="E268" s="51" t="str">
        <x:v>Google; advertisers; publishers; users</x:v>
      </x:c>
      <x:c r="F268" s="51" t="str">
        <x:v>Auction executed for eligible ad opportunities</x:v>
      </x:c>
      <x:c r="G268" s="51" t="str">
        <x:v>Bids / impressions / conversions</x:v>
      </x:c>
      <x:c r="H268" s="51" t="str">
        <x:v>Rank and price ads using bid, quality and context signals</x:v>
      </x:c>
      <x:c r="I268" s="51" t="str">
        <x:v>E1</x:v>
      </x:c>
      <x:c r="J268" s="51" t="str">
        <x:v>SRC-510; SRC-511; SRC-531</x:v>
      </x:c>
      <x:c r="K268" s="51" t="str">
        <x:v>Active</x:v>
      </x:c>
    </x:row>
    <x:row r="269">
      <x:c r="A269" s="51" t="str">
        <x:v>INS-265</x:v>
      </x:c>
      <x:c r="B269" s="51" t="str">
        <x:v>Meta Ads auction and delivery system</x:v>
      </x:c>
      <x:c r="C269" s="51" t="str">
        <x:v>Digital advertising marketplace</x:v>
      </x:c>
      <x:c r="D269" s="51" t="str">
        <x:v>Calendar 2025–2026</x:v>
      </x:c>
      <x:c r="E269" s="51" t="str">
        <x:v>Meta; advertisers; users</x:v>
      </x:c>
      <x:c r="F269" s="51" t="str">
        <x:v>Approximately $196.18 billion actual advertising revenue in 2025</x:v>
      </x:c>
      <x:c r="G269" s="51" t="str">
        <x:v>USD / impressions / actions</x:v>
      </x:c>
      <x:c r="H269" s="51" t="str">
        <x:v>Allocate ads using auction and machine-learning predictions</x:v>
      </x:c>
      <x:c r="I269" s="51" t="str">
        <x:v>E1</x:v>
      </x:c>
      <x:c r="J269" s="51" t="str">
        <x:v>SRC-508; SRC-509; SRC-512; SRC-532</x:v>
      </x:c>
      <x:c r="K269" s="51" t="str">
        <x:v>Active</x:v>
      </x:c>
    </x:row>
    <x:row r="270">
      <x:c r="A270" s="51" t="str">
        <x:v>INS-266</x:v>
      </x:c>
      <x:c r="B270" s="51" t="str">
        <x:v>Apple App Tracking Transparency</x:v>
      </x:c>
      <x:c r="C270" s="51" t="str">
        <x:v>Mobile tracking-consent framework</x:v>
      </x:c>
      <x:c r="D270" s="51" t="str">
        <x:v>Current 2026</x:v>
      </x:c>
      <x:c r="E270" s="51" t="str">
        <x:v>Apple; developers; users</x:v>
      </x:c>
      <x:c r="F270" s="51" t="str">
        <x:v>Permission status per app and device</x:v>
      </x:c>
      <x:c r="G270" s="51" t="str">
        <x:v>Consent / device identifiers</x:v>
      </x:c>
      <x:c r="H270" s="51" t="str">
        <x:v>Require user authorisation before defined cross-company tracking</x:v>
      </x:c>
      <x:c r="I270" s="51" t="str">
        <x:v>E1</x:v>
      </x:c>
      <x:c r="J270" s="51" t="str">
        <x:v>SRC-513; SRC-514</x:v>
      </x:c>
      <x:c r="K270" s="51" t="str">
        <x:v>Active</x:v>
      </x:c>
    </x:row>
    <x:row r="271">
      <x:c r="A271" s="51" t="str">
        <x:v>INS-267</x:v>
      </x:c>
      <x:c r="B271" s="51" t="str">
        <x:v>Google Privacy Sandbox</x:v>
      </x:c>
      <x:c r="C271" s="51" t="str">
        <x:v>Browser and advertising API programme</x:v>
      </x:c>
      <x:c r="D271" s="51" t="str">
        <x:v>Current 2026</x:v>
      </x:c>
      <x:c r="E271" s="51" t="str">
        <x:v>Google; advertisers; publishers; developers; users</x:v>
      </x:c>
      <x:c r="F271" s="51" t="str">
        <x:v>API- and browser-release specific</x:v>
      </x:c>
      <x:c r="G271" s="51" t="str">
        <x:v>Browser signals / privacy APIs</x:v>
      </x:c>
      <x:c r="H271" s="51" t="str">
        <x:v>Support advertising and measurement with reduced cross-site identifiers</x:v>
      </x:c>
      <x:c r="I271" s="51" t="str">
        <x:v>E1</x:v>
      </x:c>
      <x:c r="J271" s="51" t="str">
        <x:v>SRC-515</x:v>
      </x:c>
      <x:c r="K271" s="51" t="str">
        <x:v>Active and evolving</x:v>
      </x:c>
    </x:row>
    <x:row r="272">
      <x:c r="A272" s="51" t="str">
        <x:v>INS-268</x:v>
      </x:c>
      <x:c r="B272" s="51" t="str">
        <x:v>LiveRamp Data Collaboration Platform</x:v>
      </x:c>
      <x:c r="C272" s="51" t="str">
        <x:v>Identity resolution and data-collaboration network</x:v>
      </x:c>
      <x:c r="D272" s="51" t="str">
        <x:v>Fiscal 2026</x:v>
      </x:c>
      <x:c r="E272" s="51" t="str">
        <x:v>LiveRamp; brands; data providers; media partners</x:v>
      </x:c>
      <x:c r="F272" s="51" t="str">
        <x:v>500+ ecosystem partners and 225+ data providers described in Form 10-K</x:v>
      </x:c>
      <x:c r="G272" s="51" t="str">
        <x:v>Partners / identifiers / data sets</x:v>
      </x:c>
      <x:c r="H272" s="51" t="str">
        <x:v>Resolve identities and connect first-, second- and third-party data</x:v>
      </x:c>
      <x:c r="I272" s="51" t="str">
        <x:v>E1</x:v>
      </x:c>
      <x:c r="J272" s="51" t="str">
        <x:v>SRC-516; SRC-517</x:v>
      </x:c>
      <x:c r="K272" s="51" t="str">
        <x:v>Active; acquisition agreement pending/announced</x:v>
      </x:c>
    </x:row>
    <x:row r="273">
      <x:c r="A273" s="51" t="str">
        <x:v>INS-269</x:v>
      </x:c>
      <x:c r="B273" s="51" t="str">
        <x:v>LexisNexis Risk Solutions fraud and identity platform</x:v>
      </x:c>
      <x:c r="C273" s="51" t="str">
        <x:v>Risk, fraud, compliance and government analytics</x:v>
      </x:c>
      <x:c r="D273" s="51" t="str">
        <x:v>Calendar 2025–2026</x:v>
      </x:c>
      <x:c r="E273" s="51" t="str">
        <x:v>RELX; financial institutions; insurers; governments</x:v>
      </x:c>
      <x:c r="F273" s="51" t="str">
        <x:v>£3.485 billion 2025 Risk revenue</x:v>
      </x:c>
      <x:c r="G273" s="51" t="str">
        <x:v>GBP / data / decisions</x:v>
      </x:c>
      <x:c r="H273" s="51" t="str">
        <x:v>Combine data, authentication and behavioural intelligence for risk decisions</x:v>
      </x:c>
      <x:c r="I273" s="51" t="str">
        <x:v>E1</x:v>
      </x:c>
      <x:c r="J273" s="51" t="str">
        <x:v>SRC-518; SRC-519</x:v>
      </x:c>
      <x:c r="K273" s="51" t="str">
        <x:v>Active</x:v>
      </x:c>
    </x:row>
    <x:row r="274">
      <x:c r="A274" s="51" t="str">
        <x:v>INS-270</x:v>
      </x:c>
      <x:c r="B274" s="51" t="str">
        <x:v>Palantir operational data platforms</x:v>
      </x:c>
      <x:c r="C274" s="51" t="str">
        <x:v>Government and commercial decision-software platform</x:v>
      </x:c>
      <x:c r="D274" s="51" t="str">
        <x:v>Q1 2026</x:v>
      </x:c>
      <x:c r="E274" s="51" t="str">
        <x:v>Palantir; government and commercial customers</x:v>
      </x:c>
      <x:c r="F274" s="51" t="str">
        <x:v>$1.63 billion Q1 2026 revenue; $687 million US government revenue</x:v>
      </x:c>
      <x:c r="G274" s="51" t="str">
        <x:v>USD / contracts / integrated data</x:v>
      </x:c>
      <x:c r="H274" s="51" t="str">
        <x:v>Integrate data and models into operational workflows</x:v>
      </x:c>
      <x:c r="I274" s="51" t="str">
        <x:v>E1</x:v>
      </x:c>
      <x:c r="J274" s="51" t="str">
        <x:v>SRC-520; SRC-533</x:v>
      </x:c>
      <x:c r="K274" s="51" t="str">
        <x:v>Active</x:v>
      </x:c>
    </x:row>
    <x:row r="275">
      <x:c r="A275" s="51" t="str">
        <x:v>INS-271</x:v>
      </x:c>
      <x:c r="B275" s="51" t="str">
        <x:v>Axon connected public-safety platform</x:v>
      </x:c>
      <x:c r="C275" s="51" t="str">
        <x:v>Sensors, evidence, records and AI platform</x:v>
      </x:c>
      <x:c r="D275" s="51" t="str">
        <x:v>2025–2026</x:v>
      </x:c>
      <x:c r="E275" s="51" t="str">
        <x:v>Axon; police; public-safety agencies</x:v>
      </x:c>
      <x:c r="F275" s="51" t="str">
        <x:v>$807 million Q1 2026 revenue; $111 million Platform Solutions revenue</x:v>
      </x:c>
      <x:c r="G275" s="51" t="str">
        <x:v>USD / devices / evidence</x:v>
      </x:c>
      <x:c r="H275" s="51" t="str">
        <x:v>Join cameras, sensors, evidence, records and operational tools</x:v>
      </x:c>
      <x:c r="I275" s="51" t="str">
        <x:v>E1</x:v>
      </x:c>
      <x:c r="J275" s="51" t="str">
        <x:v>SRC-522; SRC-523; SRC-534</x:v>
      </x:c>
      <x:c r="K275" s="51" t="str">
        <x:v>Active</x:v>
      </x:c>
    </x:row>
    <x:row r="276">
      <x:c r="A276" s="51" t="str">
        <x:v>INS-272</x:v>
      </x:c>
      <x:c r="B276" s="51" t="str">
        <x:v>Flock connected evidence and response platform</x:v>
      </x:c>
      <x:c r="C276" s="51" t="str">
        <x:v>Licence-plate, video, drone and investigation network</x:v>
      </x:c>
      <x:c r="D276" s="51" t="str">
        <x:v>Current 2026</x:v>
      </x:c>
      <x:c r="E276" s="51" t="str">
        <x:v>Flock Safety; local agencies; authorised partner agencies</x:v>
      </x:c>
      <x:c r="F276" s="51" t="str">
        <x:v>Agency- and contract-specific</x:v>
      </x:c>
      <x:c r="G276" s="51" t="str">
        <x:v>Cameras / searches / evidence</x:v>
      </x:c>
      <x:c r="H276" s="51" t="str">
        <x:v>Convert distributed sensor detections into searchable investigative evidence</x:v>
      </x:c>
      <x:c r="I276" s="51" t="str">
        <x:v>E1</x:v>
      </x:c>
      <x:c r="J276" s="51" t="str">
        <x:v>SRC-525; SRC-526; SRC-527</x:v>
      </x:c>
      <x:c r="K276" s="51" t="str">
        <x:v>Active</x:v>
      </x:c>
    </x:row>
    <x:row r="277">
      <x:c r="A277" s="51" t="str">
        <x:v>INS-273</x:v>
      </x:c>
      <x:c r="B277" s="51" t="str">
        <x:v>FATF Recommendations</x:v>
      </x:c>
      <x:c r="C277" s="51" t="str">
        <x:v>International AML/CFT and proliferation-financing standards</x:v>
      </x:c>
      <x:c r="D277" s="51" t="str">
        <x:v>Current through 2026</x:v>
      </x:c>
      <x:c r="E277" s="51" t="str">
        <x:v>FATF; member jurisdictions; regional bodies</x:v>
      </x:c>
      <x:c r="F277" s="51" t="str">
        <x:v>Forty recommendations and assessment methodology</x:v>
      </x:c>
      <x:c r="G277" s="51" t="str">
        <x:v>Standards / evaluations</x:v>
      </x:c>
      <x:c r="H277" s="51" t="str">
        <x:v>Set minimum institutional and legal expectations for financial integrity</x:v>
      </x:c>
      <x:c r="I277" s="51" t="str">
        <x:v>E1</x:v>
      </x:c>
      <x:c r="J277" s="51" t="str">
        <x:v>SRC-536</x:v>
      </x:c>
      <x:c r="K277" s="51" t="str">
        <x:v>Active</x:v>
      </x:c>
    </x:row>
    <x:row r="278">
      <x:c r="A278" s="51" t="str">
        <x:v>INS-274</x:v>
      </x:c>
      <x:c r="B278" s="51" t="str">
        <x:v>FATF Recommendation 16 payment-transparency update</x:v>
      </x:c>
      <x:c r="C278" s="51" t="str">
        <x:v>Cross-border payment-information standard</x:v>
      </x:c>
      <x:c r="D278" s="51" t="str">
        <x:v>2025–2030 transition</x:v>
      </x:c>
      <x:c r="E278" s="51" t="str">
        <x:v>FATF; jurisdictions; payment providers</x:v>
      </x:c>
      <x:c r="F278" s="51" t="str">
        <x:v>Revised data and fraud/error protections</x:v>
      </x:c>
      <x:c r="G278" s="51" t="str">
        <x:v>Payment fields / standards</x:v>
      </x:c>
      <x:c r="H278" s="51" t="str">
        <x:v>Increase originator and beneficiary transparency in cross-border payments</x:v>
      </x:c>
      <x:c r="I278" s="51" t="str">
        <x:v>E1</x:v>
      </x:c>
      <x:c r="J278" s="51" t="str">
        <x:v>SRC-539</x:v>
      </x:c>
      <x:c r="K278" s="51" t="str">
        <x:v>Adopted; implementation period</x:v>
      </x:c>
    </x:row>
    <x:row r="279">
      <x:c r="A279" s="51" t="str">
        <x:v>INS-275</x:v>
      </x:c>
      <x:c r="B279" s="51" t="str">
        <x:v>FATF Recommendations 24 and 25 beneficial-ownership framework</x:v>
      </x:c>
      <x:c r="C279" s="51" t="str">
        <x:v>Beneficial-ownership transparency standard</x:v>
      </x:c>
      <x:c r="D279" s="51" t="str">
        <x:v>2023–2026 implementation</x:v>
      </x:c>
      <x:c r="E279" s="51" t="str">
        <x:v>FATF; jurisdictions; registries; legal persons and arrangements</x:v>
      </x:c>
      <x:c r="F279" s="51" t="str">
        <x:v>Adequate, accurate and up-to-date ownership information</x:v>
      </x:c>
      <x:c r="G279" s="51" t="str">
        <x:v>Ownership records</x:v>
      </x:c>
      <x:c r="H279" s="51" t="str">
        <x:v>Reduce misuse of companies and trusts for illicit finance</x:v>
      </x:c>
      <x:c r="I279" s="51" t="str">
        <x:v>E1</x:v>
      </x:c>
      <x:c r="J279" s="51" t="str">
        <x:v>SRC-537; SRC-538</x:v>
      </x:c>
      <x:c r="K279" s="51" t="str">
        <x:v>Active implementation</x:v>
      </x:c>
    </x:row>
    <x:row r="280">
      <x:c r="A280" s="51" t="str">
        <x:v>INS-276</x:v>
      </x:c>
      <x:c r="B280" s="51" t="str">
        <x:v>FATF increased-monitoring process</x:v>
      </x:c>
      <x:c r="C280" s="51" t="str">
        <x:v>International monitoring and action-plan mechanism</x:v>
      </x:c>
      <x:c r="D280" s="51" t="str">
        <x:v>Current 2026</x:v>
      </x:c>
      <x:c r="E280" s="51" t="str">
        <x:v>FATF; monitored jurisdictions; regional bodies</x:v>
      </x:c>
      <x:c r="F280" s="51" t="str">
        <x:v>Jurisdiction-specific action plans</x:v>
      </x:c>
      <x:c r="G280" s="51" t="str">
        <x:v>Monitoring status</x:v>
      </x:c>
      <x:c r="H280" s="51" t="str">
        <x:v>Create public pressure and implementation commitments without imposing FATF sanctions</x:v>
      </x:c>
      <x:c r="I280" s="51" t="str">
        <x:v>E1</x:v>
      </x:c>
      <x:c r="J280" s="51" t="str">
        <x:v>SRC-541; SRC-542</x:v>
      </x:c>
      <x:c r="K280" s="51" t="str">
        <x:v>Active</x:v>
      </x:c>
    </x:row>
    <x:row r="281">
      <x:c r="A281" s="51" t="str">
        <x:v>INS-277</x:v>
      </x:c>
      <x:c r="B281" s="51" t="str">
        <x:v>Bank Secrecy Act reporting system</x:v>
      </x:c>
      <x:c r="C281" s="51" t="str">
        <x:v>Financial-intelligence reporting framework</x:v>
      </x:c>
      <x:c r="D281" s="51" t="str">
        <x:v>Fiscal 2025–2026</x:v>
      </x:c>
      <x:c r="E281" s="51" t="str">
        <x:v>FinCEN; U.S. financial institutions; law enforcement</x:v>
      </x:c>
      <x:c r="F281" s="51" t="str">
        <x:v>SARs, CTRs and analytical reports</x:v>
      </x:c>
      <x:c r="G281" s="51" t="str">
        <x:v>Reports / cases</x:v>
      </x:c>
      <x:c r="H281" s="51" t="str">
        <x:v>Convert regulated financial activity into financial intelligence</x:v>
      </x:c>
      <x:c r="I281" s="51" t="str">
        <x:v>E1</x:v>
      </x:c>
      <x:c r="J281" s="51" t="str">
        <x:v>SRC-543; SRC-544; SRC-548</x:v>
      </x:c>
      <x:c r="K281" s="51" t="str">
        <x:v>Active</x:v>
      </x:c>
    </x:row>
    <x:row r="282">
      <x:c r="A282" s="51" t="str">
        <x:v>INS-278</x:v>
      </x:c>
      <x:c r="B282" s="51" t="str">
        <x:v>U.S. beneficial-ownership information rule after March 2025 interim final rule</x:v>
      </x:c>
      <x:c r="C282" s="51" t="str">
        <x:v>Corporate transparency reporting rule</x:v>
      </x:c>
      <x:c r="D282" s="51" t="str">
        <x:v>Current 2026</x:v>
      </x:c>
      <x:c r="E282" s="51" t="str">
        <x:v>FinCEN; foreign reporting companies; exempt domestic entities</x:v>
      </x:c>
      <x:c r="F282" s="51" t="str">
        <x:v>Foreign reporting companies only after domestic-company exemption</x:v>
      </x:c>
      <x:c r="G282" s="51" t="str">
        <x:v>Entity reports</x:v>
      </x:c>
      <x:c r="H282" s="51" t="str">
        <x:v>Collect BOI from a narrowed population of foreign-formed U.S.-registered entities</x:v>
      </x:c>
      <x:c r="I282" s="51" t="str">
        <x:v>E1</x:v>
      </x:c>
      <x:c r="J282" s="51" t="str">
        <x:v>SRC-545; SRC-546; SRC-547</x:v>
      </x:c>
      <x:c r="K282" s="51" t="str">
        <x:v>Active interim rule</x:v>
      </x:c>
    </x:row>
    <x:row r="283">
      <x:c r="A283" s="51" t="str">
        <x:v>INS-279</x:v>
      </x:c>
      <x:c r="B283" s="51" t="str">
        <x:v>AMLA EU supervisory architecture</x:v>
      </x:c>
      <x:c r="C283" s="51" t="str">
        <x:v>Supranational AML/CFT supervision and coordination</x:v>
      </x:c>
      <x:c r="D283" s="51" t="str">
        <x:v>2025–2028 rollout</x:v>
      </x:c>
      <x:c r="E283" s="51" t="str">
        <x:v>AMLA; national supervisors; EU FIUs; selected institutions</x:v>
      </x:c>
      <x:c r="F283" s="51" t="str">
        <x:v>Up to 40 directly supervised high-risk groups from 2028</x:v>
      </x:c>
      <x:c r="G283" s="51" t="str">
        <x:v>Institutions / risk data</x:v>
      </x:c>
      <x:c r="H283" s="51" t="str">
        <x:v>Harmonise supervision and centralise oversight of selected high-risk institutions</x:v>
      </x:c>
      <x:c r="I283" s="51" t="str">
        <x:v>E1</x:v>
      </x:c>
      <x:c r="J283" s="51" t="str">
        <x:v>SRC-549; SRC-550; SRC-551</x:v>
      </x:c>
      <x:c r="K283" s="51" t="str">
        <x:v>Implementation</x:v>
      </x:c>
    </x:row>
    <x:row r="284">
      <x:c r="A284" s="51" t="str">
        <x:v>INS-280</x:v>
      </x:c>
      <x:c r="B284" s="51" t="str">
        <x:v>OFAC sanctions-list and 50 Percent Rule framework</x:v>
      </x:c>
      <x:c r="C284" s="51" t="str">
        <x:v>Designation, list and ownership-propagation system</x:v>
      </x:c>
      <x:c r="D284" s="51" t="str">
        <x:v>Current 2026</x:v>
      </x:c>
      <x:c r="E284" s="51" t="str">
        <x:v>OFAC; U.S. persons; blocked persons; compliance teams</x:v>
      </x:c>
      <x:c r="F284" s="51" t="str">
        <x:v>SDN and consolidated lists plus ownership rule</x:v>
      </x:c>
      <x:c r="G284" s="51" t="str">
        <x:v>Names / ownership percentages</x:v>
      </x:c>
      <x:c r="H284" s="51" t="str">
        <x:v>Translate foreign-policy authority into transaction and property restrictions</x:v>
      </x:c>
      <x:c r="I284" s="51" t="str">
        <x:v>E1</x:v>
      </x:c>
      <x:c r="J284" s="51" t="str">
        <x:v>SRC-553; SRC-554; SRC-555</x:v>
      </x:c>
      <x:c r="K284" s="51" t="str">
        <x:v>Active</x:v>
      </x:c>
    </x:row>
    <x:row r="285">
      <x:c r="A285" s="51" t="str">
        <x:v>INS-281</x:v>
      </x:c>
      <x:c r="B285" s="51" t="str">
        <x:v>OFAC blocking, licensing and blocked-property reporting framework</x:v>
      </x:c>
      <x:c r="C285" s="51" t="str">
        <x:v>Property-blocking and authorisation system</x:v>
      </x:c>
      <x:c r="D285" s="51" t="str">
        <x:v>Current 2026</x:v>
      </x:c>
      <x:c r="E285" s="51" t="str">
        <x:v>OFAC; custodians; U.S. persons; licence beneficiaries</x:v>
      </x:c>
      <x:c r="F285" s="51" t="str">
        <x:v>Annual blocked-property reports and programme-specific licences</x:v>
      </x:c>
      <x:c r="G285" s="51" t="str">
        <x:v>Property / reports / licences</x:v>
      </x:c>
      <x:c r="H285" s="51" t="str">
        <x:v>Freeze property interests while permitting defined exceptions</x:v>
      </x:c>
      <x:c r="I285" s="51" t="str">
        <x:v>E1</x:v>
      </x:c>
      <x:c r="J285" s="51" t="str">
        <x:v>SRC-553; SRC-556</x:v>
      </x:c>
      <x:c r="K285" s="51" t="str">
        <x:v>Active</x:v>
      </x:c>
    </x:row>
    <x:row r="286">
      <x:c r="A286" s="51" t="str">
        <x:v>INS-282</x:v>
      </x:c>
      <x:c r="B286" s="51" t="str">
        <x:v>SWIFT financial messaging and compliance infrastructure</x:v>
      </x:c>
      <x:c r="C286" s="51" t="str">
        <x:v>Financial messaging, standards and screening platform</x:v>
      </x:c>
      <x:c r="D286" s="51" t="str">
        <x:v>Current 2026</x:v>
      </x:c>
      <x:c r="E286" s="51" t="str">
        <x:v>SWIFT; member institutions; compliance teams</x:v>
      </x:c>
      <x:c r="F286" s="51" t="str">
        <x:v>11,500+ organisations and 53 million+ FIN messages daily</x:v>
      </x:c>
      <x:c r="G286" s="51" t="str">
        <x:v>Messages / routes</x:v>
      </x:c>
      <x:c r="H286" s="51" t="str">
        <x:v>Transmit standardised financial instructions and support screening without holding customer funds</x:v>
      </x:c>
      <x:c r="I286" s="51" t="str">
        <x:v>E1</x:v>
      </x:c>
      <x:c r="J286" s="51" t="str">
        <x:v>SRC-559; SRC-560; SRC-561; SRC-562</x:v>
      </x:c>
      <x:c r="K286" s="51" t="str">
        <x:v>Active</x:v>
      </x:c>
    </x:row>
    <x:row r="287">
      <x:c r="A287" s="51" t="str">
        <x:v>INS-283</x:v>
      </x:c>
      <x:c r="B287" s="51" t="str">
        <x:v>Common Reporting Standard</x:v>
      </x:c>
      <x:c r="C287" s="51" t="str">
        <x:v>Automatic exchange of financial-account information</x:v>
      </x:c>
      <x:c r="D287" s="51" t="str">
        <x:v>Annual reporting cycles</x:v>
      </x:c>
      <x:c r="E287" s="51" t="str">
        <x:v>OECD Global Forum; jurisdictions; reporting institutions</x:v>
      </x:c>
      <x:c r="F287" s="51" t="str">
        <x:v>100+ implementing jurisdictions referenced by OECD materials</x:v>
      </x:c>
      <x:c r="G287" s="51" t="str">
        <x:v>Accounts / tax records</x:v>
      </x:c>
      <x:c r="H287" s="51" t="str">
        <x:v>Exchange reportable foreign financial-account information annually</x:v>
      </x:c>
      <x:c r="I287" s="51" t="str">
        <x:v>E1</x:v>
      </x:c>
      <x:c r="J287" s="51" t="str">
        <x:v>SRC-563; SRC-564; SRC-566</x:v>
      </x:c>
      <x:c r="K287" s="51" t="str">
        <x:v>Active</x:v>
      </x:c>
    </x:row>
    <x:row r="288">
      <x:c r="A288" s="51" t="str">
        <x:v>INS-284</x:v>
      </x:c>
      <x:c r="B288" s="51" t="str">
        <x:v>Crypto-Asset Reporting Framework</x:v>
      </x:c>
      <x:c r="C288" s="51" t="str">
        <x:v>Automatic exchange of crypto-asset transaction information</x:v>
      </x:c>
      <x:c r="D288" s="51" t="str">
        <x:v>2026 onward implementation</x:v>
      </x:c>
      <x:c r="E288" s="51" t="str">
        <x:v>OECD; tax authorities; crypto-asset service providers</x:v>
      </x:c>
      <x:c r="F288" s="51" t="str">
        <x:v>Multilateral competent-authority signatories</x:v>
      </x:c>
      <x:c r="G288" s="51" t="str">
        <x:v>Crypto transactions / taxpayers</x:v>
      </x:c>
      <x:c r="H288" s="51" t="str">
        <x:v>Extend tax-transparency reporting to covered crypto-asset activity</x:v>
      </x:c>
      <x:c r="I288" s="51" t="str">
        <x:v>E1</x:v>
      </x:c>
      <x:c r="J288" s="51" t="str">
        <x:v>SRC-564; SRC-565; SRC-566</x:v>
      </x:c>
      <x:c r="K288" s="51" t="str">
        <x:v>Implementation</x:v>
      </x:c>
    </x:row>
    <x:row r="289">
      <x:c r="A289" s="51" t="str">
        <x:v>INS-285</x:v>
      </x:c>
      <x:c r="B289" s="51" t="str">
        <x:v>Foreign Account Tax Compliance Act</x:v>
      </x:c>
      <x:c r="C289" s="51" t="str">
        <x:v>U.S. extraterritorial account-reporting and withholding system</x:v>
      </x:c>
      <x:c r="D289" s="51" t="str">
        <x:v>Current 2026</x:v>
      </x:c>
      <x:c r="E289" s="51" t="str">
        <x:v>IRS; foreign financial institutions; partner governments; U.S. taxpayers</x:v>
      </x:c>
      <x:c r="F289" s="51" t="str">
        <x:v>Global registration and reporting network</x:v>
      </x:c>
      <x:c r="G289" s="51" t="str">
        <x:v>Accounts / withholding / tax forms</x:v>
      </x:c>
      <x:c r="H289" s="51" t="str">
        <x:v>Use reporting and withholding leverage to identify U.S.-linked foreign financial assets</x:v>
      </x:c>
      <x:c r="I289" s="51" t="str">
        <x:v>E1</x:v>
      </x:c>
      <x:c r="J289" s="51" t="str">
        <x:v>SRC-567; SRC-568; SRC-569; SRC-570</x:v>
      </x:c>
      <x:c r="K289" s="51" t="str">
        <x:v>Active</x:v>
      </x:c>
    </x:row>
    <x:row r="290">
      <x:c r="A290" s="51" t="str">
        <x:v>INS-286</x:v>
      </x:c>
      <x:c r="B290" s="51" t="str">
        <x:v>World Bank sanctions and cross-debarment system</x:v>
      </x:c>
      <x:c r="C290" s="51" t="str">
        <x:v>Administrative procurement-integrity system</x:v>
      </x:c>
      <x:c r="D290" s="51" t="str">
        <x:v>FY2025–2026</x:v>
      </x:c>
      <x:c r="E290" s="51" t="str">
        <x:v>INT; OSD; Sanctions Board; firms; MDBs</x:v>
      </x:c>
      <x:c r="F290" s="51" t="str">
        <x:v>FY25 case, settlement and sanctions data</x:v>
      </x:c>
      <x:c r="G290" s="51" t="str">
        <x:v>Cases / exclusion periods</x:v>
      </x:c>
      <x:c r="H290" s="51" t="str">
        <x:v>Investigate and exclude firms or individuals from financed procurement</x:v>
      </x:c>
      <x:c r="I290" s="51" t="str">
        <x:v>E1</x:v>
      </x:c>
      <x:c r="J290" s="51" t="str">
        <x:v>SRC-571; SRC-572; SRC-573; SRC-574; SRC-575</x:v>
      </x:c>
      <x:c r="K290" s="51" t="str">
        <x:v>Active</x:v>
      </x:c>
    </x:row>
    <x:row r="291">
      <x:c r="A291" s="51" t="str">
        <x:v>INS-287</x:v>
      </x:c>
      <x:c r="B291" s="51" t="str">
        <x:v>World Bank procurement eligibility and exclusion checks</x:v>
      </x:c>
      <x:c r="C291" s="51" t="str">
        <x:v>Procurement-control framework</x:v>
      </x:c>
      <x:c r="D291" s="51" t="str">
        <x:v>Current 2026</x:v>
      </x:c>
      <x:c r="E291" s="51" t="str">
        <x:v>World Bank; borrowers; procuring entities; bidders</x:v>
      </x:c>
      <x:c r="F291" s="51" t="str">
        <x:v>Project-specific procurement plans and eligibility checks</x:v>
      </x:c>
      <x:c r="G291" s="51" t="str">
        <x:v>Bidders / contracts</x:v>
      </x:c>
      <x:c r="H291" s="51" t="str">
        <x:v>Prevent sanctioned or ineligible entities from receiving financed contracts</x:v>
      </x:c>
      <x:c r="I291" s="51" t="str">
        <x:v>E1</x:v>
      </x:c>
      <x:c r="J291" s="51" t="str">
        <x:v>SRC-573; SRC-576</x:v>
      </x:c>
      <x:c r="K291" s="51" t="str">
        <x:v>Active</x:v>
      </x:c>
    </x:row>
    <x:row r="292">
      <x:c r="A292" s="51" t="str">
        <x:v>INS-288</x:v>
      </x:c>
      <x:c r="B292" s="51" t="str">
        <x:v>DOJ Asset Forfeiture Program</x:v>
      </x:c>
      <x:c r="C292" s="51" t="str">
        <x:v>Seizure, forfeiture, victim compensation and equitable-sharing framework</x:v>
      </x:c>
      <x:c r="D292" s="51" t="str">
        <x:v>FY2025–2026</x:v>
      </x:c>
      <x:c r="E292" s="51" t="str">
        <x:v>DOJ; law enforcement; courts; claimants; state and local agencies</x:v>
      </x:c>
      <x:c r="F292" s="51" t="str">
        <x:v>Fund deposits, expenditures, official use and equitable-sharing reports</x:v>
      </x:c>
      <x:c r="G292" s="51" t="str">
        <x:v>Assets / USD / claims</x:v>
      </x:c>
      <x:c r="H292" s="51" t="str">
        <x:v>Convert suspected crime-linked property into restrained, forfeited or redistributed assets under legal process</x:v>
      </x:c>
      <x:c r="I292" s="51" t="str">
        <x:v>E1</x:v>
      </x:c>
      <x:c r="J292" s="51" t="str">
        <x:v>SRC-577; SRC-578; SRC-579; SRC-580</x:v>
      </x:c>
      <x:c r="K292" s="51" t="str">
        <x:v>Active</x:v>
      </x:c>
    </x:row>
    <x:row r="293">
      <x:c r="A293" s="51" t="str">
        <x:v>INS-289</x:v>
      </x:c>
      <x:c r="B293" s="51" t="str">
        <x:v>REPO Task Force asset-freeze coordination</x:v>
      </x:c>
      <x:c r="C293" s="51" t="str">
        <x:v>Multilateral sanctions-enforcement mechanism</x:v>
      </x:c>
      <x:c r="D293" s="51" t="str">
        <x:v>2022 onward</x:v>
      </x:c>
      <x:c r="E293" s="51" t="str">
        <x:v>G7 partners; Treasury; law enforcement; sanctioned Russian persons</x:v>
      </x:c>
      <x:c r="F293" s="51" t="str">
        <x:v>More than $58 billion blocked or frozen by March 2023 statement</x:v>
      </x:c>
      <x:c r="G293" s="51" t="str">
        <x:v>USD / property</x:v>
      </x:c>
      <x:c r="H293" s="51" t="str">
        <x:v>Coordinate identification and restraint of sanctioned assets across jurisdictions</x:v>
      </x:c>
      <x:c r="I293" s="51" t="str">
        <x:v>E1</x:v>
      </x:c>
      <x:c r="J293" s="51" t="str">
        <x:v>SRC-581</x:v>
      </x:c>
      <x:c r="K293" s="51" t="str">
        <x:v>Active historical programme</x:v>
      </x:c>
    </x:row>
    <x:row r="294">
      <x:c r="A294" s="51" t="str">
        <x:v>INS-290</x:v>
      </x:c>
      <x:c r="B294" s="51" t="str">
        <x:v>President's Council of Advisors on Science and Technology appointments</x:v>
      </x:c>
      <x:c r="C294" s="51" t="str">
        <x:v>Presidential advisory appointments</x:v>
      </x:c>
      <x:c r="D294" s="51" t="str">
        <x:v>2026-03-25</x:v>
      </x:c>
      <x:c r="E294" s="51" t="str">
        <x:v>President; PCAST; technology and science executives</x:v>
      </x:c>
      <x:c r="F294" s="51" t="str">
        <x:v>Up to 24 members; initial appointees announced</x:v>
      </x:c>
      <x:c r="G294" s="51" t="str">
        <x:v>Appointments / advisory roles</x:v>
      </x:c>
      <x:c r="H294" s="51" t="str">
        <x:v>Place private-sector and scientific leaders in formal presidential advisory roles</x:v>
      </x:c>
      <x:c r="I294" s="51" t="str">
        <x:v>E1</x:v>
      </x:c>
      <x:c r="J294" s="51" t="str">
        <x:v>SRC-586</x:v>
      </x:c>
      <x:c r="K294" s="51" t="str">
        <x:v>Active</x:v>
      </x:c>
    </x:row>
    <x:row r="295">
      <x:c r="A295" s="51" t="str">
        <x:v>INS-291</x:v>
      </x:c>
      <x:c r="B295" s="51" t="str">
        <x:v>America's AI Action Plan</x:v>
      </x:c>
      <x:c r="C295" s="51" t="str">
        <x:v>Federal AI policy programme</x:v>
      </x:c>
      <x:c r="D295" s="51" t="str">
        <x:v>2025 onward</x:v>
      </x:c>
      <x:c r="E295" s="51" t="str">
        <x:v>White House; agencies; technology sector</x:v>
      </x:c>
      <x:c r="F295" s="51" t="str">
        <x:v>Policy-wide</x:v>
      </x:c>
      <x:c r="G295" s="51" t="str">
        <x:v>Policy actions</x:v>
      </x:c>
      <x:c r="H295" s="51" t="str">
        <x:v>Coordinate AI innovation, infrastructure and international strategy</x:v>
      </x:c>
      <x:c r="I295" s="51" t="str">
        <x:v>E1</x:v>
      </x:c>
      <x:c r="J295" s="51" t="str">
        <x:v>SRC-587; SRC-588</x:v>
      </x:c>
      <x:c r="K295" s="51" t="str">
        <x:v>Active implementation</x:v>
      </x:c>
    </x:row>
    <x:row r="296">
      <x:c r="A296" s="51" t="str">
        <x:v>INS-292</x:v>
      </x:c>
      <x:c r="B296" s="51" t="str">
        <x:v>Stargate Project announcement</x:v>
      </x:c>
      <x:c r="C296" s="51" t="str">
        <x:v>AI infrastructure investment programme</x:v>
      </x:c>
      <x:c r="D296" s="51" t="str">
        <x:v>2025–2029</x:v>
      </x:c>
      <x:c r="E296" s="51" t="str">
        <x:v>OpenAI; SoftBank; Oracle; MGX; technology partners</x:v>
      </x:c>
      <x:c r="F296" s="51" t="str">
        <x:v>Up to $500 billion over four years; $100 billion announced for immediate deployment</x:v>
      </x:c>
      <x:c r="G296" s="51" t="str">
        <x:v>USD / infrastructure</x:v>
      </x:c>
      <x:c r="H296" s="51" t="str">
        <x:v>Build US AI data-centre and compute infrastructure</x:v>
      </x:c>
      <x:c r="I296" s="51" t="str">
        <x:v>E1</x:v>
      </x:c>
      <x:c r="J296" s="51" t="str">
        <x:v>SRC-590</x:v>
      </x:c>
      <x:c r="K296" s="51" t="str">
        <x:v>Active / staged</x:v>
      </x:c>
    </x:row>
    <x:row r="297">
      <x:c r="A297" s="51" t="str">
        <x:v>INS-293</x:v>
      </x:c>
      <x:c r="B297" s="51" t="str">
        <x:v>Lobbying Disclosure Act reporting system</x:v>
      </x:c>
      <x:c r="C297" s="51" t="str">
        <x:v>Federal lobbying transparency system</x:v>
      </x:c>
      <x:c r="D297" s="51" t="str">
        <x:v>Quarterly and semiannual cycles</x:v>
      </x:c>
      <x:c r="E297" s="51" t="str">
        <x:v>Lobbyists; clients; employers; Congress; public</x:v>
      </x:c>
      <x:c r="F297" s="51" t="str">
        <x:v>Registration, quarterly activity and contribution reports</x:v>
      </x:c>
      <x:c r="G297" s="51" t="str">
        <x:v>Filings / USD</x:v>
      </x:c>
      <x:c r="H297" s="51" t="str">
        <x:v>Disclose federal lobbying clients, issues, lobbyists and reported expenses</x:v>
      </x:c>
      <x:c r="I297" s="51" t="str">
        <x:v>E1</x:v>
      </x:c>
      <x:c r="J297" s="51" t="str">
        <x:v>SRC-591–SRC-595</x:v>
      </x:c>
      <x:c r="K297" s="51" t="str">
        <x:v>Active</x:v>
      </x:c>
    </x:row>
    <x:row r="298">
      <x:c r="A298" s="51" t="str">
        <x:v>INS-294</x:v>
      </x:c>
      <x:c r="B298" s="51" t="str">
        <x:v>OpenAI federal lobbying programme</x:v>
      </x:c>
      <x:c r="C298" s="51" t="str">
        <x:v>Registered federal lobbying activity</x:v>
      </x:c>
      <x:c r="D298" s="51" t="str">
        <x:v>2025–2026</x:v>
      </x:c>
      <x:c r="E298" s="51" t="str">
        <x:v>OpenAI OpCo; DLA Piper; federal policymakers</x:v>
      </x:c>
      <x:c r="F298" s="51" t="str">
        <x:v>Reported quarterly payments and issue disclosures</x:v>
      </x:c>
      <x:c r="G298" s="51" t="str">
        <x:v>USD / issues</x:v>
      </x:c>
      <x:c r="H298" s="51" t="str">
        <x:v>Represent OpenAI on AI, infrastructure, privacy and related federal policy</x:v>
      </x:c>
      <x:c r="I298" s="51" t="str">
        <x:v>E1</x:v>
      </x:c>
      <x:c r="J298" s="51" t="str">
        <x:v>SRC-591</x:v>
      </x:c>
      <x:c r="K298" s="51" t="str">
        <x:v>Active</x:v>
      </x:c>
    </x:row>
    <x:row r="299">
      <x:c r="A299" s="51" t="str">
        <x:v>INS-295</x:v>
      </x:c>
      <x:c r="B299" s="51" t="str">
        <x:v>Microsoft federal lobbying programme</x:v>
      </x:c>
      <x:c r="C299" s="51" t="str">
        <x:v>In-house and external federal lobbying</x:v>
      </x:c>
      <x:c r="D299" s="51" t="str">
        <x:v>2025–2026</x:v>
      </x:c>
      <x:c r="E299" s="51" t="str">
        <x:v>Microsoft; lobbyists; Congress and agencies</x:v>
      </x:c>
      <x:c r="F299" s="51" t="str">
        <x:v>Multi-million-dollar quarterly reported expenses</x:v>
      </x:c>
      <x:c r="G299" s="51" t="str">
        <x:v>USD / issues</x:v>
      </x:c>
      <x:c r="H299" s="51" t="str">
        <x:v>Influence technology, cloud, AI, cybersecurity, privacy and competition policy</x:v>
      </x:c>
      <x:c r="I299" s="51" t="str">
        <x:v>E1</x:v>
      </x:c>
      <x:c r="J299" s="51" t="str">
        <x:v>SRC-592</x:v>
      </x:c>
      <x:c r="K299" s="51" t="str">
        <x:v>Active</x:v>
      </x:c>
    </x:row>
    <x:row r="300">
      <x:c r="A300" s="51" t="str">
        <x:v>INS-296</x:v>
      </x:c>
      <x:c r="B300" s="51" t="str">
        <x:v>Meta federal lobbying programme</x:v>
      </x:c>
      <x:c r="C300" s="51" t="str">
        <x:v>In-house and external federal lobbying</x:v>
      </x:c>
      <x:c r="D300" s="51" t="str">
        <x:v>2025–2026</x:v>
      </x:c>
      <x:c r="E300" s="51" t="str">
        <x:v>Meta Platforms; lobbyists; Congress and agencies</x:v>
      </x:c>
      <x:c r="F300" s="51" t="str">
        <x:v>Multi-million-dollar quarterly reported expenses</x:v>
      </x:c>
      <x:c r="G300" s="51" t="str">
        <x:v>USD / issues</x:v>
      </x:c>
      <x:c r="H300" s="51" t="str">
        <x:v>Influence platform, privacy, content, AI, competition and child-safety policy</x:v>
      </x:c>
      <x:c r="I300" s="51" t="str">
        <x:v>E1</x:v>
      </x:c>
      <x:c r="J300" s="51" t="str">
        <x:v>SRC-593</x:v>
      </x:c>
      <x:c r="K300" s="51" t="str">
        <x:v>Active</x:v>
      </x:c>
    </x:row>
    <x:row r="301">
      <x:c r="A301" s="51" t="str">
        <x:v>INS-297</x:v>
      </x:c>
      <x:c r="B301" s="51" t="str">
        <x:v>Palantir federal lobbying programme</x:v>
      </x:c>
      <x:c r="C301" s="51" t="str">
        <x:v>In-house and external federal lobbying</x:v>
      </x:c>
      <x:c r="D301" s="51" t="str">
        <x:v>2025–2026</x:v>
      </x:c>
      <x:c r="E301" s="51" t="str">
        <x:v>Palantir; lobbyists; Congress and agencies</x:v>
      </x:c>
      <x:c r="F301" s="51" t="str">
        <x:v>Reported quarterly expenses and defence, AI and privacy issues</x:v>
      </x:c>
      <x:c r="G301" s="51" t="str">
        <x:v>USD / issues</x:v>
      </x:c>
      <x:c r="H301" s="51" t="str">
        <x:v>Represent Palantir on procurement, defence, AI, cybersecurity and data policy</x:v>
      </x:c>
      <x:c r="I301" s="51" t="str">
        <x:v>E1</x:v>
      </x:c>
      <x:c r="J301" s="51" t="str">
        <x:v>SRC-594</x:v>
      </x:c>
      <x:c r="K301" s="51" t="str">
        <x:v>Active</x:v>
      </x:c>
    </x:row>
    <x:row r="302">
      <x:c r="A302" s="51" t="str">
        <x:v>INS-298</x:v>
      </x:c>
      <x:c r="B302" s="51" t="str">
        <x:v>MAGA INC. independent-expenditure committee</x:v>
      </x:c>
      <x:c r="C302" s="51" t="str">
        <x:v>Federal super PAC</x:v>
      </x:c>
      <x:c r="D302" s="51" t="str">
        <x:v>2025–2026 cycle</x:v>
      </x:c>
      <x:c r="E302" s="51" t="str">
        <x:v>MAGA INC.; donors; vendors; federal candidates</x:v>
      </x:c>
      <x:c r="F302" s="51" t="str">
        <x:v>$289.1 million 2025 receipts reported in FEC summary table</x:v>
      </x:c>
      <x:c r="G302" s="51" t="str">
        <x:v>USD / independent expenditures</x:v>
      </x:c>
      <x:c r="H302" s="51" t="str">
        <x:v>Raise and spend unlimited funds independently of candidate committees</x:v>
      </x:c>
      <x:c r="I302" s="51" t="str">
        <x:v>E1</x:v>
      </x:c>
      <x:c r="J302" s="51" t="str">
        <x:v>SRC-596; SRC-600</x:v>
      </x:c>
      <x:c r="K302" s="51" t="str">
        <x:v>Active</x:v>
      </x:c>
    </x:row>
    <x:row r="303">
      <x:c r="A303" s="51" t="str">
        <x:v>INS-299</x:v>
      </x:c>
      <x:c r="B303" s="51" t="str">
        <x:v>America PAC independent-expenditure programme</x:v>
      </x:c>
      <x:c r="C303" s="51" t="str">
        <x:v>Federal super PAC</x:v>
      </x:c>
      <x:c r="D303" s="51" t="str">
        <x:v>2024–2026</x:v>
      </x:c>
      <x:c r="E303" s="51" t="str">
        <x:v>America PAC; donors; vendors; federal candidates</x:v>
      </x:c>
      <x:c r="F303" s="51" t="str">
        <x:v>FEC-disclosed receipts and independent expenditures</x:v>
      </x:c>
      <x:c r="G303" s="51" t="str">
        <x:v>USD / communications</x:v>
      </x:c>
      <x:c r="H303" s="51" t="str">
        <x:v>Fund independent electoral communications and field activity</x:v>
      </x:c>
      <x:c r="I303" s="51" t="str">
        <x:v>E1</x:v>
      </x:c>
      <x:c r="J303" s="51" t="str">
        <x:v>SRC-597; SRC-601; SRC-602</x:v>
      </x:c>
      <x:c r="K303" s="51" t="str">
        <x:v>Active</x:v>
      </x:c>
    </x:row>
    <x:row r="304">
      <x:c r="A304" s="51" t="str">
        <x:v>INS-300</x:v>
      </x:c>
      <x:c r="B304" s="51" t="str">
        <x:v>Fairshake independent-expenditure committee</x:v>
      </x:c>
      <x:c r="C304" s="51" t="str">
        <x:v>Federal super PAC</x:v>
      </x:c>
      <x:c r="D304" s="51" t="str">
        <x:v>2024–2026</x:v>
      </x:c>
      <x:c r="E304" s="51" t="str">
        <x:v>Fairshake; donors; federal candidates</x:v>
      </x:c>
      <x:c r="F304" s="51" t="str">
        <x:v>FEC-reported receipts and expenditures</x:v>
      </x:c>
      <x:c r="G304" s="51" t="str">
        <x:v>USD / independent expenditures</x:v>
      </x:c>
      <x:c r="H304" s="51" t="str">
        <x:v>Support or oppose candidates in relation to cryptocurrency-policy priorities</x:v>
      </x:c>
      <x:c r="I304" s="51" t="str">
        <x:v>E1</x:v>
      </x:c>
      <x:c r="J304" s="51" t="str">
        <x:v>SRC-598</x:v>
      </x:c>
      <x:c r="K304" s="51" t="str">
        <x:v>Active</x:v>
      </x:c>
    </x:row>
    <x:row r="305">
      <x:c r="A305" s="51" t="str">
        <x:v>INS-301</x:v>
      </x:c>
      <x:c r="B305" s="51" t="str">
        <x:v>United Democracy Project independent-expenditure committee</x:v>
      </x:c>
      <x:c r="C305" s="51" t="str">
        <x:v>Federal super PAC</x:v>
      </x:c>
      <x:c r="D305" s="51" t="str">
        <x:v>2022–2026</x:v>
      </x:c>
      <x:c r="E305" s="51" t="str">
        <x:v>United Democracy Project; donors; federal candidates</x:v>
      </x:c>
      <x:c r="F305" s="51" t="str">
        <x:v>FEC-reported receipts and expenditures</x:v>
      </x:c>
      <x:c r="G305" s="51" t="str">
        <x:v>USD / independent expenditures</x:v>
      </x:c>
      <x:c r="H305" s="51" t="str">
        <x:v>Conduct independent federal electoral spending</x:v>
      </x:c>
      <x:c r="I305" s="51" t="str">
        <x:v>E1</x:v>
      </x:c>
      <x:c r="J305" s="51" t="str">
        <x:v>SRC-599</x:v>
      </x:c>
      <x:c r="K305" s="51" t="str">
        <x:v>Active</x:v>
      </x:c>
    </x:row>
    <x:row r="306">
      <x:c r="A306" s="51" t="str">
        <x:v>INS-302</x:v>
      </x:c>
      <x:c r="B306" s="51" t="str">
        <x:v>Gates Foundation 2026 annual payout</x:v>
      </x:c>
      <x:c r="C306" s="51" t="str">
        <x:v>Philanthropic annual budget</x:v>
      </x:c>
      <x:c r="D306" s="51" t="str">
        <x:v>2026</x:v>
      </x:c>
      <x:c r="E306" s="51" t="str">
        <x:v>Gates Foundation; Governing Board; grantees</x:v>
      </x:c>
      <x:c r="F306" s="51" t="str">
        <x:v>$9 billion planned annual payout; wider $200 billion through 2045 commitment</x:v>
      </x:c>
      <x:c r="G306" s="51" t="str">
        <x:v>USD / grants</x:v>
      </x:c>
      <x:c r="H306" s="51" t="str">
        <x:v>Accelerate global health, development and US programme commitments</x:v>
      </x:c>
      <x:c r="I306" s="51" t="str">
        <x:v>E1</x:v>
      </x:c>
      <x:c r="J306" s="51" t="str">
        <x:v>SRC-604; SRC-605</x:v>
      </x:c>
      <x:c r="K306" s="51" t="str">
        <x:v>Active</x:v>
      </x:c>
    </x:row>
    <x:row r="307">
      <x:c r="A307" s="51" t="str">
        <x:v>INS-303</x:v>
      </x:c>
      <x:c r="B307" s="51" t="str">
        <x:v>Gates Foundation committed-grants database</x:v>
      </x:c>
      <x:c r="C307" s="51" t="str">
        <x:v>Philanthropic grant registry</x:v>
      </x:c>
      <x:c r="D307" s="51" t="str">
        <x:v>Current 2026</x:v>
      </x:c>
      <x:c r="E307" s="51" t="str">
        <x:v>Gates Foundation; grantees</x:v>
      </x:c>
      <x:c r="F307" s="51" t="str">
        <x:v>Grant-specific</x:v>
      </x:c>
      <x:c r="G307" s="51" t="str">
        <x:v>USD / recipients / purposes</x:v>
      </x:c>
      <x:c r="H307" s="51" t="str">
        <x:v>Publish foundation grant commitments and programme recipients</x:v>
      </x:c>
      <x:c r="I307" s="51" t="str">
        <x:v>E1</x:v>
      </x:c>
      <x:c r="J307" s="51" t="str">
        <x:v>SRC-606; SRC-609</x:v>
      </x:c>
      <x:c r="K307" s="51" t="str">
        <x:v>Active</x:v>
      </x:c>
    </x:row>
    <x:row r="308">
      <x:c r="A308" s="51" t="str">
        <x:v>INS-304</x:v>
      </x:c>
      <x:c r="B308" s="51" t="str">
        <x:v>Gates Foundation external review and governance reforms</x:v>
      </x:c>
      <x:c r="C308" s="51" t="str">
        <x:v>Independent review and governance programme</x:v>
      </x:c>
      <x:c r="D308" s="51" t="str">
        <x:v>2026</x:v>
      </x:c>
      <x:c r="E308" s="51" t="str">
        <x:v>Gates Foundation; WilmerHale; Board; Bill Gates; Mark Suzman</x:v>
      </x:c>
      <x:c r="F308" s="51" t="str">
        <x:v>More than 50 interviews; approximately 30 identified meetings</x:v>
      </x:c>
      <x:c r="G308" s="51" t="str">
        <x:v>Review / policies</x:v>
      </x:c>
      <x:c r="H308" s="51" t="str">
        <x:v>Assess Epstein-related engagement and strengthen vetting, escalation and conflict controls</x:v>
      </x:c>
      <x:c r="I308" s="51" t="str">
        <x:v>E1</x:v>
      </x:c>
      <x:c r="J308" s="51" t="str">
        <x:v>SRC-607; SRC-608; SRC-635; SRC-636</x:v>
      </x:c>
      <x:c r="K308" s="51" t="str">
        <x:v>Completed review; reforms in implementation</x:v>
      </x:c>
    </x:row>
    <x:row r="309">
      <x:c r="A309" s="51" t="str">
        <x:v>INS-305</x:v>
      </x:c>
      <x:c r="B309" s="51" t="str">
        <x:v>Bloomberg Philanthropies annual grantmaking</x:v>
      </x:c>
      <x:c r="C309" s="51" t="str">
        <x:v>Philanthropic programme</x:v>
      </x:c>
      <x:c r="D309" s="51" t="str">
        <x:v>2025–2026</x:v>
      </x:c>
      <x:c r="E309" s="51" t="str">
        <x:v>Michael Bloomberg; Bloomberg Philanthropies; city and nonprofit partners</x:v>
      </x:c>
      <x:c r="F309" s="51" t="str">
        <x:v>$4.3 billion invested in 2025; $25.4 billion lifetime stated by organisation</x:v>
      </x:c>
      <x:c r="G309" s="51" t="str">
        <x:v>USD / programmes</x:v>
      </x:c>
      <x:c r="H309" s="51" t="str">
        <x:v>Fund public health, climate, government innovation, arts and education</x:v>
      </x:c>
      <x:c r="I309" s="51" t="str">
        <x:v>E1</x:v>
      </x:c>
      <x:c r="J309" s="51" t="str">
        <x:v>SRC-610; SRC-611</x:v>
      </x:c>
      <x:c r="K309" s="51" t="str">
        <x:v>Active</x:v>
      </x:c>
    </x:row>
    <x:row r="310">
      <x:c r="A310" s="51" t="str">
        <x:v>INS-306</x:v>
      </x:c>
      <x:c r="B310" s="51" t="str">
        <x:v>Chan Zuckerberg Initiative grants and ventures</x:v>
      </x:c>
      <x:c r="C310" s="51" t="str">
        <x:v>Philanthropic grant and mission-investment platform</x:v>
      </x:c>
      <x:c r="D310" s="51" t="str">
        <x:v>2015–2026</x:v>
      </x:c>
      <x:c r="E310" s="51" t="str">
        <x:v>Mark Zuckerberg; Priscilla Chan; CZI; recipients</x:v>
      </x:c>
      <x:c r="F310" s="51" t="str">
        <x:v>About $7.22 billion in grants and nearly $300 million in ventures stated by CZI</x:v>
      </x:c>
      <x:c r="G310" s="51" t="str">
        <x:v>USD / grants / investments</x:v>
      </x:c>
      <x:c r="H310" s="51" t="str">
        <x:v>Fund science, education and community programmes</x:v>
      </x:c>
      <x:c r="I310" s="51" t="str">
        <x:v>E1</x:v>
      </x:c>
      <x:c r="J310" s="51" t="str">
        <x:v>SRC-614; SRC-615</x:v>
      </x:c>
      <x:c r="K310" s="51" t="str">
        <x:v>Active</x:v>
      </x:c>
    </x:row>
    <x:row r="311">
      <x:c r="A311" s="51" t="str">
        <x:v>INS-307</x:v>
      </x:c>
      <x:c r="B311" s="51" t="str">
        <x:v>Open Philanthropy grantmaking</x:v>
      </x:c>
      <x:c r="C311" s="51" t="str">
        <x:v>Philanthropic research and grant programme</x:v>
      </x:c>
      <x:c r="D311" s="51" t="str">
        <x:v>Current 2026</x:v>
      </x:c>
      <x:c r="E311" s="51" t="str">
        <x:v>Open Philanthropy; Dustin Moskovitz; Cari Tuna; grantees</x:v>
      </x:c>
      <x:c r="F311" s="51" t="str">
        <x:v>Grant-specific</x:v>
      </x:c>
      <x:c r="G311" s="51" t="str">
        <x:v>USD / cause areas</x:v>
      </x:c>
      <x:c r="H311" s="51" t="str">
        <x:v>Allocate philanthropic capital using cause prioritisation and research</x:v>
      </x:c>
      <x:c r="I311" s="51" t="str">
        <x:v>E1</x:v>
      </x:c>
      <x:c r="J311" s="51" t="str">
        <x:v>SRC-616</x:v>
      </x:c>
      <x:c r="K311" s="51" t="str">
        <x:v>Active</x:v>
      </x:c>
    </x:row>
    <x:row r="312">
      <x:c r="A312" s="51" t="str">
        <x:v>INS-308</x:v>
      </x:c>
      <x:c r="B312" s="51" t="str">
        <x:v>Thiel Foundation programmes</x:v>
      </x:c>
      <x:c r="C312" s="51" t="str">
        <x:v>Private-foundation fellowship and intellectual programmes</x:v>
      </x:c>
      <x:c r="D312" s="51" t="str">
        <x:v>Current 2026</x:v>
      </x:c>
      <x:c r="E312" s="51" t="str">
        <x:v>Peter Thiel; Thiel Foundation; fellows and programme participants</x:v>
      </x:c>
      <x:c r="F312" s="51" t="str">
        <x:v>Programme-specific</x:v>
      </x:c>
      <x:c r="G312" s="51" t="str">
        <x:v>Fellowships / grants</x:v>
      </x:c>
      <x:c r="H312" s="51" t="str">
        <x:v>Support young founders and intellectual projects</x:v>
      </x:c>
      <x:c r="I312" s="51" t="str">
        <x:v>E1</x:v>
      </x:c>
      <x:c r="J312" s="51" t="str">
        <x:v>SRC-617</x:v>
      </x:c>
      <x:c r="K312" s="51" t="str">
        <x:v>Active</x:v>
      </x:c>
    </x:row>
    <x:row r="313">
      <x:c r="A313" s="51" t="str">
        <x:v>INS-309</x:v>
      </x:c>
      <x:c r="B313" s="51" t="str">
        <x:v>Brookings donor, board and research structure</x:v>
      </x:c>
      <x:c r="C313" s="51" t="str">
        <x:v>Think-tank funding and governance system</x:v>
      </x:c>
      <x:c r="D313" s="51" t="str">
        <x:v>Fiscal 2025–2026</x:v>
      </x:c>
      <x:c r="E313" s="51" t="str">
        <x:v>Brookings; trustees; donors; scholars</x:v>
      </x:c>
      <x:c r="F313" s="51" t="str">
        <x:v>Donor and financial disclosures in annual reports</x:v>
      </x:c>
      <x:c r="G313" s="51" t="str">
        <x:v>USD / research programmes</x:v>
      </x:c>
      <x:c r="H313" s="51" t="str">
        <x:v>Fund and govern nonpartisan policy research under independence policies</x:v>
      </x:c>
      <x:c r="I313" s="51" t="str">
        <x:v>E1</x:v>
      </x:c>
      <x:c r="J313" s="51" t="str">
        <x:v>SRC-618; SRC-619; SRC-620</x:v>
      </x:c>
      <x:c r="K313" s="51" t="str">
        <x:v>Active</x:v>
      </x:c>
    </x:row>
    <x:row r="314">
      <x:c r="A314" s="51" t="str">
        <x:v>INS-310</x:v>
      </x:c>
      <x:c r="B314" s="51" t="str">
        <x:v>Heritage Foundation policy-production programme</x:v>
      </x:c>
      <x:c r="C314" s="51" t="str">
        <x:v>Think-tank research and advocacy system</x:v>
      </x:c>
      <x:c r="D314" s="51" t="str">
        <x:v>2025–2026</x:v>
      </x:c>
      <x:c r="E314" s="51" t="str">
        <x:v>Heritage; donors; researchers; policymakers</x:v>
      </x:c>
      <x:c r="F314" s="51" t="str">
        <x:v>Annual-report and audited-finance scale</x:v>
      </x:c>
      <x:c r="G314" s="51" t="str">
        <x:v>USD / policy outputs</x:v>
      </x:c>
      <x:c r="H314" s="51" t="str">
        <x:v>Produce conservative research, personnel networks and policy proposals</x:v>
      </x:c>
      <x:c r="I314" s="51" t="str">
        <x:v>E1</x:v>
      </x:c>
      <x:c r="J314" s="51" t="str">
        <x:v>SRC-621; SRC-623</x:v>
      </x:c>
      <x:c r="K314" s="51" t="str">
        <x:v>Active</x:v>
      </x:c>
    </x:row>
    <x:row r="315">
      <x:c r="A315" s="51" t="str">
        <x:v>INS-311</x:v>
      </x:c>
      <x:c r="B315" s="51" t="str">
        <x:v>Project 2025 Mandate for Leadership</x:v>
      </x:c>
      <x:c r="C315" s="51" t="str">
        <x:v>Policy blueprint</x:v>
      </x:c>
      <x:c r="D315" s="51" t="str">
        <x:v>2023–2025 transition cycle</x:v>
      </x:c>
      <x:c r="E315" s="51" t="str">
        <x:v>Heritage-led coalition; authors; future officials</x:v>
      </x:c>
      <x:c r="F315" s="51" t="str">
        <x:v>Approximately 900-page policy volume</x:v>
      </x:c>
      <x:c r="G315" s="51" t="str">
        <x:v>Policy recommendations / personnel</x:v>
      </x:c>
      <x:c r="H315" s="51" t="str">
        <x:v>Provide a detailed programme for executive-branch restructuring and policy</x:v>
      </x:c>
      <x:c r="I315" s="51" t="str">
        <x:v>E1</x:v>
      </x:c>
      <x:c r="J315" s="51" t="str">
        <x:v>SRC-622</x:v>
      </x:c>
      <x:c r="K315" s="51" t="str">
        <x:v>Published / influential reference</x:v>
      </x:c>
    </x:row>
    <x:row r="316">
      <x:c r="A316" s="51" t="str">
        <x:v>INS-312</x:v>
      </x:c>
      <x:c r="B316" s="51" t="str">
        <x:v>Council on Foreign Relations donor, membership and research structure</x:v>
      </x:c>
      <x:c r="C316" s="51" t="str">
        <x:v>Think-tank and membership network</x:v>
      </x:c>
      <x:c r="D316" s="51" t="str">
        <x:v>2025–2026</x:v>
      </x:c>
      <x:c r="E316" s="51" t="str">
        <x:v>CFR; donors; members; fellows; policymakers</x:v>
      </x:c>
      <x:c r="F316" s="51" t="str">
        <x:v>More than $32 million in new major gifts reported for 2025</x:v>
      </x:c>
      <x:c r="G316" s="51" t="str">
        <x:v>USD / convenings / research</x:v>
      </x:c>
      <x:c r="H316" s="51" t="str">
        <x:v>Fund foreign-policy research, publishing and elite convening</x:v>
      </x:c>
      <x:c r="I316" s="51" t="str">
        <x:v>E1</x:v>
      </x:c>
      <x:c r="J316" s="51" t="str">
        <x:v>SRC-624; SRC-625</x:v>
      </x:c>
      <x:c r="K316" s="51" t="str">
        <x:v>Active</x:v>
      </x:c>
    </x:row>
    <x:row r="317">
      <x:c r="A317" s="51" t="str">
        <x:v>INS-313</x:v>
      </x:c>
      <x:c r="B317" s="51" t="str">
        <x:v>Fox Corporation dual-class and family-trust voting structure</x:v>
      </x:c>
      <x:c r="C317" s="51" t="str">
        <x:v>Media ownership and voting-control structure</x:v>
      </x:c>
      <x:c r="D317" s="51" t="str">
        <x:v>2025–2026</x:v>
      </x:c>
      <x:c r="E317" s="51" t="str">
        <x:v>Fox; public shareholders; LGC family trusts; Murdoch family</x:v>
      </x:c>
      <x:c r="F317" s="51" t="str">
        <x:v>Family-associated voting power subject to disclosed structures and caps</x:v>
      </x:c>
      <x:c r="G317" s="51" t="str">
        <x:v>Shares / votes</x:v>
      </x:c>
      <x:c r="H317" s="51" t="str">
        <x:v>Separate economic ownership from concentrated voting influence</x:v>
      </x:c>
      <x:c r="I317" s="51" t="str">
        <x:v>E1</x:v>
      </x:c>
      <x:c r="J317" s="51" t="str">
        <x:v>SRC-626; SRC-627</x:v>
      </x:c>
      <x:c r="K317" s="51" t="str">
        <x:v>Active</x:v>
      </x:c>
    </x:row>
    <x:row r="318">
      <x:c r="A318" s="51" t="str">
        <x:v>INS-314</x:v>
      </x:c>
      <x:c r="B318" s="51" t="str">
        <x:v>Washington Post private ownership and opinion-governance structure</x:v>
      </x:c>
      <x:c r="C318" s="51" t="str">
        <x:v>Private media ownership</x:v>
      </x:c>
      <x:c r="D318" s="51" t="str">
        <x:v>2013–2026</x:v>
      </x:c>
      <x:c r="E318" s="51" t="str">
        <x:v>Jeff Bezos; The Washington Post; newsroom leadership</x:v>
      </x:c>
      <x:c r="F318" s="51" t="str">
        <x:v>Private acquisition and owner-directed 2025 opinion-section change</x:v>
      </x:c>
      <x:c r="G318" s="51" t="str">
        <x:v>Ownership / editorial policy</x:v>
      </x:c>
      <x:c r="H318" s="51" t="str">
        <x:v>Combine private capital ownership with institutional newsroom governance</x:v>
      </x:c>
      <x:c r="I318" s="51" t="str">
        <x:v>E1</x:v>
      </x:c>
      <x:c r="J318" s="51" t="str">
        <x:v>SRC-628; SRC-629</x:v>
      </x:c>
      <x:c r="K318" s="51" t="str">
        <x:v>Active</x:v>
      </x:c>
    </x:row>
    <x:row r="319">
      <x:c r="A319" s="51" t="str">
        <x:v>INS-315</x:v>
      </x:c>
      <x:c r="B319" s="51" t="str">
        <x:v>Department of Justice Epstein Library</x:v>
      </x:c>
      <x:c r="C319" s="51" t="str">
        <x:v>Public-record disclosure system</x:v>
      </x:c>
      <x:c r="D319" s="51" t="str">
        <x:v>2026</x:v>
      </x:c>
      <x:c r="E319" s="51" t="str">
        <x:v>Department of Justice; record subjects; public</x:v>
      </x:c>
      <x:c r="F319" s="51" t="str">
        <x:v>More than 3.5 million responsive pages announced in January 2026</x:v>
      </x:c>
      <x:c r="G319" s="51" t="str">
        <x:v>Documents / names / metadata</x:v>
      </x:c>
      <x:c r="H319" s="51" t="str">
        <x:v>Publish responsive records and statutory reports under the Epstein Files Transparency Act</x:v>
      </x:c>
      <x:c r="I319" s="51" t="str">
        <x:v>E1</x:v>
      </x:c>
      <x:c r="J319" s="51" t="str">
        <x:v>SRC-630; SRC-631; SRC-632</x:v>
      </x:c>
      <x:c r="K319" s="51" t="str">
        <x:v>Active / updated</x:v>
      </x:c>
    </x:row>
    <x:row r="320">
      <x:c r="A320" s="51" t="str">
        <x:v>INS-316</x:v>
      </x:c>
      <x:c r="B320" s="51" t="str">
        <x:v>Supreme Court rules and current membership</x:v>
      </x:c>
      <x:c r="C320" s="51" t="str">
        <x:v>Apex-court governance framework</x:v>
      </x:c>
      <x:c r="D320" s="51" t="str">
        <x:v>2026</x:v>
      </x:c>
      <x:c r="E320" s="51" t="str">
        <x:v>Supreme Court; litigants; counsel</x:v>
      </x:c>
      <x:c r="F320" s="51" t="str">
        <x:v>Nine current Justices; rules effective March 16, 2026</x:v>
      </x:c>
      <x:c r="G320" s="51" t="str">
        <x:v>Rules / cases</x:v>
      </x:c>
      <x:c r="H320" s="51" t="str">
        <x:v>Govern merits review, emergency applications, filings and final federal appellate decisions</x:v>
      </x:c>
      <x:c r="I320" s="51" t="str">
        <x:v>E1</x:v>
      </x:c>
      <x:c r="J320" s="51" t="str">
        <x:v>SRC-638; SRC-639; SRC-682</x:v>
      </x:c>
      <x:c r="K320" s="51" t="str">
        <x:v>Active</x:v>
      </x:c>
    </x:row>
    <x:row r="321">
      <x:c r="A321" s="51" t="str">
        <x:v>INS-317</x:v>
      </x:c>
      <x:c r="B321" s="51" t="str">
        <x:v>Federal judiciary 2025 caseload</x:v>
      </x:c>
      <x:c r="C321" s="51" t="str">
        <x:v>Court-system statistical record</x:v>
      </x:c>
      <x:c r="D321" s="51" t="str">
        <x:v>2025</x:v>
      </x:c>
      <x:c r="E321" s="51" t="str">
        <x:v>Federal courts; litigants; Administrative Office</x:v>
      </x:c>
      <x:c r="F321" s="51" t="str">
        <x:v>382,692 district-court filings; 41,824 appellate filings</x:v>
      </x:c>
      <x:c r="G321" s="51" t="str">
        <x:v>Cases</x:v>
      </x:c>
      <x:c r="H321" s="51" t="str">
        <x:v>Measure the scale and distribution of federal adjudication</x:v>
      </x:c>
      <x:c r="I321" s="51" t="str">
        <x:v>E1</x:v>
      </x:c>
      <x:c r="J321" s="51" t="str">
        <x:v>SRC-640; SRC-641</x:v>
      </x:c>
      <x:c r="K321" s="51" t="str">
        <x:v>Complete 2025 statistics</x:v>
      </x:c>
    </x:row>
    <x:row r="322">
      <x:c r="A322" s="51" t="str">
        <x:v>INS-318</x:v>
      </x:c>
      <x:c r="B322" s="51" t="str">
        <x:v>Federal civil litigation conversion process</x:v>
      </x:c>
      <x:c r="C322" s="51" t="str">
        <x:v>Public adjudication process</x:v>
      </x:c>
      <x:c r="D322" s="51" t="str">
        <x:v>Current 2026</x:v>
      </x:c>
      <x:c r="E322" s="51" t="str">
        <x:v>Plaintiffs; defendants; counsel; district and appellate courts</x:v>
      </x:c>
      <x:c r="F322" s="51" t="str">
        <x:v>Case-specific</x:v>
      </x:c>
      <x:c r="G322" s="51" t="str">
        <x:v>Claims / orders / judgments</x:v>
      </x:c>
      <x:c r="H322" s="51" t="str">
        <x:v>Convert pleaded claims and evidence into enforceable judicial remedies</x:v>
      </x:c>
      <x:c r="I322" s="51" t="str">
        <x:v>E1</x:v>
      </x:c>
      <x:c r="J322" s="51" t="str">
        <x:v>SRC-639; SRC-640; SRC-641</x:v>
      </x:c>
      <x:c r="K322" s="51" t="str">
        <x:v>Active</x:v>
      </x:c>
    </x:row>
    <x:row r="323">
      <x:c r="A323" s="51" t="str">
        <x:v>INS-319</x:v>
      </x:c>
      <x:c r="B323" s="51" t="str">
        <x:v>ICC 2026 Arbitration Rules and 2025 caseload</x:v>
      </x:c>
      <x:c r="C323" s="51" t="str">
        <x:v>Private commercial arbitration system</x:v>
      </x:c>
      <x:c r="D323" s="51" t="str">
        <x:v>2025–2026</x:v>
      </x:c>
      <x:c r="E323" s="51" t="str">
        <x:v>ICC Court; parties; arbitrators</x:v>
      </x:c>
      <x:c r="F323" s="51" t="str">
        <x:v>894 new cases registered in 2025; 1,869 pending at year-end</x:v>
      </x:c>
      <x:c r="G323" s="51" t="str">
        <x:v>Cases / disputed value</x:v>
      </x:c>
      <x:c r="H323" s="51" t="str">
        <x:v>Administer consensual commercial and state-related arbitration</x:v>
      </x:c>
      <x:c r="I323" s="51" t="str">
        <x:v>E1</x:v>
      </x:c>
      <x:c r="J323" s="51" t="str">
        <x:v>SRC-655; SRC-656; SRC-657; SRC-688</x:v>
      </x:c>
      <x:c r="K323" s="51" t="str">
        <x:v>Active</x:v>
      </x:c>
    </x:row>
    <x:row r="324">
      <x:c r="A324" s="51" t="str">
        <x:v>INS-320</x:v>
      </x:c>
      <x:c r="B324" s="51" t="str">
        <x:v>ICSID Convention, 2025 caseload and 2022 Rules</x:v>
      </x:c>
      <x:c r="C324" s="51" t="str">
        <x:v>Treaty-based investment dispute system</x:v>
      </x:c>
      <x:c r="D324" s="51" t="str">
        <x:v>2025–2026</x:v>
      </x:c>
      <x:c r="E324" s="51" t="str">
        <x:v>ICSID; investors; states; tribunals</x:v>
      </x:c>
      <x:c r="F324" s="51" t="str">
        <x:v>1,085 registered cases through 2025; 63 new cases in 2025</x:v>
      </x:c>
      <x:c r="G324" s="51" t="str">
        <x:v>Cases / treaty claims</x:v>
      </x:c>
      <x:c r="H324" s="51" t="str">
        <x:v>Administer investor–state arbitration and conciliation under consent instruments</x:v>
      </x:c>
      <x:c r="I324" s="51" t="str">
        <x:v>E1</x:v>
      </x:c>
      <x:c r="J324" s="51" t="str">
        <x:v>SRC-651; SRC-652; SRC-653; SRC-654; SRC-681</x:v>
      </x:c>
      <x:c r="K324" s="51" t="str">
        <x:v>Active</x:v>
      </x:c>
    </x:row>
    <x:row r="325">
      <x:c r="A325" s="51" t="str">
        <x:v>INS-321</x:v>
      </x:c>
      <x:c r="B325" s="51" t="str">
        <x:v>Permanent Court of Arbitration 2025 caseload</x:v>
      </x:c>
      <x:c r="C325" s="51" t="str">
        <x:v>Intergovernmental arbitration administration</x:v>
      </x:c>
      <x:c r="D325" s="51" t="str">
        <x:v>2025–2026</x:v>
      </x:c>
      <x:c r="E325" s="51" t="str">
        <x:v>PCA; states; investors; tribunals</x:v>
      </x:c>
      <x:c r="F325" s="51" t="str">
        <x:v>251 cases handled in 2025; 53 initiated that year</x:v>
      </x:c>
      <x:c r="G325" s="51" t="str">
        <x:v>Cases</x:v>
      </x:c>
      <x:c r="H325" s="51" t="str">
        <x:v>Provide registry, appointing-authority and hearing support across dispute types</x:v>
      </x:c>
      <x:c r="I325" s="51" t="str">
        <x:v>E1</x:v>
      </x:c>
      <x:c r="J325" s="51" t="str">
        <x:v>SRC-658; SRC-659; SRC-660; SRC-680</x:v>
      </x:c>
      <x:c r="K325" s="51" t="str">
        <x:v>Active</x:v>
      </x:c>
    </x:row>
    <x:row r="326">
      <x:c r="A326" s="51" t="str">
        <x:v>INS-322</x:v>
      </x:c>
      <x:c r="B326" s="51" t="str">
        <x:v>Third-party litigation finance</x:v>
      </x:c>
      <x:c r="C326" s="51" t="str">
        <x:v>Nonrecourse legal-claim financing</x:v>
      </x:c>
      <x:c r="D326" s="51" t="str">
        <x:v>Current 2026</x:v>
      </x:c>
      <x:c r="E326" s="51" t="str">
        <x:v>Funders; investors; claimants; law firms</x:v>
      </x:c>
      <x:c r="F326" s="51" t="str">
        <x:v>Case- and portfolio-specific</x:v>
      </x:c>
      <x:c r="G326" s="51" t="str">
        <x:v>Capital / contingent recovery</x:v>
      </x:c>
      <x:c r="H326" s="51" t="str">
        <x:v>Finance litigation in exchange for a contingent economic interest</x:v>
      </x:c>
      <x:c r="I326" s="51" t="str">
        <x:v>E1</x:v>
      </x:c>
      <x:c r="J326" s="51" t="str">
        <x:v>SRC-673; SRC-674</x:v>
      </x:c>
      <x:c r="K326" s="51" t="str">
        <x:v>Active</x:v>
      </x:c>
    </x:row>
    <x:row r="327">
      <x:c r="A327" s="51" t="str">
        <x:v>INS-323</x:v>
      </x:c>
      <x:c r="B327" s="51" t="str">
        <x:v>Federal TPLF disclosure debate and case-specific orders</x:v>
      </x:c>
      <x:c r="C327" s="51" t="str">
        <x:v>Civil-procedure transparency framework</x:v>
      </x:c>
      <x:c r="D327" s="51" t="str">
        <x:v>2025–2026</x:v>
      </x:c>
      <x:c r="E327" s="51" t="str">
        <x:v>Civil Rules Committee; courts; funded parties; funders</x:v>
      </x:c>
      <x:c r="F327" s="51" t="str">
        <x:v>Rulemaking under study; selected court orders require disclosure</x:v>
      </x:c>
      <x:c r="G327" s="51" t="str">
        <x:v>Contracts / disclosures</x:v>
      </x:c>
      <x:c r="H327" s="51" t="str">
        <x:v>Determine when litigation funding relationships must be disclosed</x:v>
      </x:c>
      <x:c r="I327" s="51" t="str">
        <x:v>E1</x:v>
      </x:c>
      <x:c r="J327" s="51" t="str">
        <x:v>SRC-675; SRC-676; SRC-677</x:v>
      </x:c>
      <x:c r="K327" s="51" t="str">
        <x:v>Under study / locally applied</x:v>
      </x:c>
    </x:row>
    <x:row r="328">
      <x:c r="A328" s="51" t="str">
        <x:v>INS-324</x:v>
      </x:c>
      <x:c r="B328" s="51" t="str">
        <x:v>Chapter 11 reorganisation</x:v>
      </x:c>
      <x:c r="C328" s="51" t="str">
        <x:v>Corporate restructuring process</x:v>
      </x:c>
      <x:c r="D328" s="51" t="str">
        <x:v>Current 2026</x:v>
      </x:c>
      <x:c r="E328" s="51" t="str">
        <x:v>Debtor; creditors; court; U.S. Trustee; professionals</x:v>
      </x:c>
      <x:c r="F328" s="51" t="str">
        <x:v>Chapter 11 filings down 1% in Judicial Business 2025; business filings increased overall</x:v>
      </x:c>
      <x:c r="G328" s="51" t="str">
        <x:v>Cases / claims</x:v>
      </x:c>
      <x:c r="H328" s="51" t="str">
        <x:v>Preserve or reorganise enterprise value through a court-approved plan or sale</x:v>
      </x:c>
      <x:c r="I328" s="51" t="str">
        <x:v>E1</x:v>
      </x:c>
      <x:c r="J328" s="51" t="str">
        <x:v>SRC-642; SRC-643; SRC-644; SRC-678</x:v>
      </x:c>
      <x:c r="K328" s="51" t="str">
        <x:v>Active</x:v>
      </x:c>
    </x:row>
    <x:row r="329">
      <x:c r="A329" s="51" t="str">
        <x:v>INS-325</x:v>
      </x:c>
      <x:c r="B329" s="51" t="str">
        <x:v>Debtor-in-possession control, cash collateral and financing</x:v>
      </x:c>
      <x:c r="C329" s="51" t="str">
        <x:v>Bankruptcy capital-control framework</x:v>
      </x:c>
      <x:c r="D329" s="51" t="str">
        <x:v>Current 2026</x:v>
      </x:c>
      <x:c r="E329" s="51" t="str">
        <x:v>Debtor in possession; secured creditors; DIP lenders; court</x:v>
      </x:c>
      <x:c r="F329" s="51" t="str">
        <x:v>Case-specific</x:v>
      </x:c>
      <x:c r="G329" s="51" t="str">
        <x:v>Cash / collateral / priority claims</x:v>
      </x:c>
      <x:c r="H329" s="51" t="str">
        <x:v>Allocate interim control of cash and new financing during reorganisation</x:v>
      </x:c>
      <x:c r="I329" s="51" t="str">
        <x:v>E1</x:v>
      </x:c>
      <x:c r="J329" s="51" t="str">
        <x:v>SRC-643; SRC-644; SRC-683</x:v>
      </x:c>
      <x:c r="K329" s="51" t="str">
        <x:v>Active</x:v>
      </x:c>
    </x:row>
    <x:row r="330">
      <x:c r="A330" s="51" t="str">
        <x:v>INS-326</x:v>
      </x:c>
      <x:c r="B330" s="51" t="str">
        <x:v>Chapter 11 plan confirmation and creditor voting</x:v>
      </x:c>
      <x:c r="C330" s="51" t="str">
        <x:v>Bankruptcy ownership-reallocation mechanism</x:v>
      </x:c>
      <x:c r="D330" s="51" t="str">
        <x:v>Current 2026</x:v>
      </x:c>
      <x:c r="E330" s="51" t="str">
        <x:v>Debtor; creditor classes; equity; court</x:v>
      </x:c>
      <x:c r="F330" s="51" t="str">
        <x:v>Case-specific</x:v>
      </x:c>
      <x:c r="G330" s="51" t="str">
        <x:v>Claims / votes / enterprise value</x:v>
      </x:c>
      <x:c r="H330" s="51" t="str">
        <x:v>Convert claims and negotiated distributions into a binding capital structure</x:v>
      </x:c>
      <x:c r="I330" s="51" t="str">
        <x:v>E1</x:v>
      </x:c>
      <x:c r="J330" s="51" t="str">
        <x:v>SRC-643; SRC-644</x:v>
      </x:c>
      <x:c r="K330" s="51" t="str">
        <x:v>Active</x:v>
      </x:c>
    </x:row>
    <x:row r="331">
      <x:c r="A331" s="51" t="str">
        <x:v>INS-327</x:v>
      </x:c>
      <x:c r="B331" s="51" t="str">
        <x:v>Bankruptcy asset sale process</x:v>
      </x:c>
      <x:c r="C331" s="51" t="str">
        <x:v>Court-supervised asset-transfer mechanism</x:v>
      </x:c>
      <x:c r="D331" s="51" t="str">
        <x:v>Current 2026</x:v>
      </x:c>
      <x:c r="E331" s="51" t="str">
        <x:v>Debtor; buyers; creditors; court</x:v>
      </x:c>
      <x:c r="F331" s="51" t="str">
        <x:v>Case-specific</x:v>
      </x:c>
      <x:c r="G331" s="51" t="str">
        <x:v>Assets / bids / liens</x:v>
      </x:c>
      <x:c r="H331" s="51" t="str">
        <x:v>Transfer assets under court supervision, frequently free and clear of specified interests</x:v>
      </x:c>
      <x:c r="I331" s="51" t="str">
        <x:v>E1</x:v>
      </x:c>
      <x:c r="J331" s="51" t="str">
        <x:v>SRC-643; SRC-644</x:v>
      </x:c>
      <x:c r="K331" s="51" t="str">
        <x:v>Active</x:v>
      </x:c>
    </x:row>
    <x:row r="332">
      <x:c r="A332" s="51" t="str">
        <x:v>INS-328</x:v>
      </x:c>
      <x:c r="B332" s="51" t="str">
        <x:v>Chapter 15 cross-border insolvency recognition</x:v>
      </x:c>
      <x:c r="C332" s="51" t="str">
        <x:v>Cross-border judicial cooperation framework</x:v>
      </x:c>
      <x:c r="D332" s="51" t="str">
        <x:v>Current 2026</x:v>
      </x:c>
      <x:c r="E332" s="51" t="str">
        <x:v>Foreign representative; U.S. court; creditors</x:v>
      </x:c>
      <x:c r="F332" s="51" t="str">
        <x:v>Case-specific</x:v>
      </x:c>
      <x:c r="G332" s="51" t="str">
        <x:v>Foreign proceeding / assets / stays</x:v>
      </x:c>
      <x:c r="H332" s="51" t="str">
        <x:v>Recognise and coordinate foreign insolvency proceedings in the United States</x:v>
      </x:c>
      <x:c r="I332" s="51" t="str">
        <x:v>E1</x:v>
      </x:c>
      <x:c r="J332" s="51" t="str">
        <x:v>SRC-645</x:v>
      </x:c>
      <x:c r="K332" s="51" t="str">
        <x:v>Active</x:v>
      </x:c>
    </x:row>
    <x:row r="333">
      <x:c r="A333" s="51" t="str">
        <x:v>INS-329</x:v>
      </x:c>
      <x:c r="B333" s="51" t="str">
        <x:v>U.S. Trustee oversight and professional-fee review</x:v>
      </x:c>
      <x:c r="C333" s="51" t="str">
        <x:v>Bankruptcy administration and integrity system</x:v>
      </x:c>
      <x:c r="D333" s="51" t="str">
        <x:v>FY2025–2026</x:v>
      </x:c>
      <x:c r="E333" s="51" t="str">
        <x:v>USTP; trustees; debtors; professionals; courts</x:v>
      </x:c>
      <x:c r="F333" s="51" t="str">
        <x:v>More than 25,000 civil enforcement actions with over $915 million potential impact in FY2025</x:v>
      </x:c>
      <x:c r="G333" s="51" t="str">
        <x:v>Actions / fees / reports</x:v>
      </x:c>
      <x:c r="H333" s="51" t="str">
        <x:v>Oversee case administration, committees, reporting and professional compensation</x:v>
      </x:c>
      <x:c r="I333" s="51" t="str">
        <x:v>E1</x:v>
      </x:c>
      <x:c r="J333" s="51" t="str">
        <x:v>SRC-646; SRC-647; SRC-648; SRC-649; SRC-650; SRC-684; SRC-685</x:v>
      </x:c>
      <x:c r="K333" s="51" t="str">
        <x:v>Active</x:v>
      </x:c>
    </x:row>
    <x:row r="334">
      <x:c r="A334" s="51" t="str">
        <x:v>INS-330</x:v>
      </x:c>
      <x:c r="B334" s="51" t="str">
        <x:v>WIPO global intellectual-property filing and treaty system</x:v>
      </x:c>
      <x:c r="C334" s="51" t="str">
        <x:v>International IP administration and statistics network</x:v>
      </x:c>
      <x:c r="D334" s="51" t="str">
        <x:v>2024–2026</x:v>
      </x:c>
      <x:c r="E334" s="51" t="str">
        <x:v>WIPO; member states; applicants; national offices</x:v>
      </x:c>
      <x:c r="F334" s="51" t="str">
        <x:v>3.7 million patent applications worldwide in 2024</x:v>
      </x:c>
      <x:c r="G334" s="51" t="str">
        <x:v>Applications / treaties</x:v>
      </x:c>
      <x:c r="H334" s="51" t="str">
        <x:v>Coordinate international filing systems, treaties and IP data</x:v>
      </x:c>
      <x:c r="I334" s="51" t="str">
        <x:v>E1</x:v>
      </x:c>
      <x:c r="J334" s="51" t="str">
        <x:v>SRC-661; SRC-662; SRC-663; SRC-664; SRC-687</x:v>
      </x:c>
      <x:c r="K334" s="51" t="str">
        <x:v>Active</x:v>
      </x:c>
    </x:row>
    <x:row r="335">
      <x:c r="A335" s="51" t="str">
        <x:v>INS-331</x:v>
      </x:c>
      <x:c r="B335" s="51" t="str">
        <x:v>USPTO patent and trademark examination system</x:v>
      </x:c>
      <x:c r="C335" s="51" t="str">
        <x:v>National IP examination and registration system</x:v>
      </x:c>
      <x:c r="D335" s="51" t="str">
        <x:v>FY2025–2026</x:v>
      </x:c>
      <x:c r="E335" s="51" t="str">
        <x:v>USPTO; applicants; examiners; public</x:v>
      </x:c>
      <x:c r="F335" s="51" t="str">
        <x:v>Fee-funded agency performance and pendency metrics</x:v>
      </x:c>
      <x:c r="G335" s="51" t="str">
        <x:v>Applications / grants / registrations</x:v>
      </x:c>
      <x:c r="H335" s="51" t="str">
        <x:v>Convert applications into territorially enforceable patent and trademark rights</x:v>
      </x:c>
      <x:c r="I335" s="51" t="str">
        <x:v>E1</x:v>
      </x:c>
      <x:c r="J335" s="51" t="str">
        <x:v>SRC-665; SRC-666; SRC-667; SRC-668</x:v>
      </x:c>
      <x:c r="K335" s="51" t="str">
        <x:v>Active</x:v>
      </x:c>
    </x:row>
    <x:row r="336">
      <x:c r="A336" s="51" t="str">
        <x:v>INS-332</x:v>
      </x:c>
      <x:c r="B336" s="51" t="str">
        <x:v>Patent Cooperation Treaty filing route</x:v>
      </x:c>
      <x:c r="C336" s="51" t="str">
        <x:v>International patent-application filing system</x:v>
      </x:c>
      <x:c r="D336" s="51" t="str">
        <x:v>2025–2026</x:v>
      </x:c>
      <x:c r="E336" s="51" t="str">
        <x:v>WIPO; applicants; receiving offices; national patent offices</x:v>
      </x:c>
      <x:c r="F336" s="51" t="str">
        <x:v>275,900 PCT applications in 2025</x:v>
      </x:c>
      <x:c r="G336" s="51" t="str">
        <x:v>Applications</x:v>
      </x:c>
      <x:c r="H336" s="51" t="str">
        <x:v>Preserve multi-jurisdiction filing options through one international application process</x:v>
      </x:c>
      <x:c r="I336" s="51" t="str">
        <x:v>E1</x:v>
      </x:c>
      <x:c r="J336" s="51" t="str">
        <x:v>SRC-663; SRC-664</x:v>
      </x:c>
      <x:c r="K336" s="51" t="str">
        <x:v>Active</x:v>
      </x:c>
    </x:row>
    <x:row r="337">
      <x:c r="A337" s="51" t="str">
        <x:v>INS-333</x:v>
      </x:c>
      <x:c r="B337" s="51" t="str">
        <x:v>USITC Section 337 investigation and exclusion-order process</x:v>
      </x:c>
      <x:c r="C337" s="51" t="str">
        <x:v>Trade and IP adjudication system</x:v>
      </x:c>
      <x:c r="D337" s="51" t="str">
        <x:v>FY2025–2026</x:v>
      </x:c>
      <x:c r="E337" s="51" t="str">
        <x:v>USITC; complainants; respondents; CBP</x:v>
      </x:c>
      <x:c r="F337" s="51" t="str">
        <x:v>152 new and 166 completed agency investigations across programme areas in FY2025</x:v>
      </x:c>
      <x:c r="G337" s="51" t="str">
        <x:v>Investigations / orders</x:v>
      </x:c>
      <x:c r="H337" s="51" t="str">
        <x:v>Convert findings of unfair importation into border exclusion or cease-and-desist remedies</x:v>
      </x:c>
      <x:c r="I337" s="51" t="str">
        <x:v>E1</x:v>
      </x:c>
      <x:c r="J337" s="51" t="str">
        <x:v>SRC-669; SRC-670; SRC-671; SRC-672; SRC-679; SRC-686</x:v>
      </x:c>
      <x:c r="K337" s="51" t="str">
        <x:v>Active</x:v>
      </x:c>
    </x:row>
    <x:row r="338">
      <x:c r="A338" s="51" t="str">
        <x:v>INS-334</x:v>
      </x:c>
      <x:c r="B338" s="51" t="str">
        <x:v>Patent-litigation funding market</x:v>
      </x:c>
      <x:c r="C338" s="51" t="str">
        <x:v>Legal-asset finance submarket</x:v>
      </x:c>
      <x:c r="D338" s="51" t="str">
        <x:v>Current 2026</x:v>
      </x:c>
      <x:c r="E338" s="51" t="str">
        <x:v>Funders; patent owners; defendants; law firms</x:v>
      </x:c>
      <x:c r="F338" s="51" t="str">
        <x:v>Extent remains difficult to measure</x:v>
      </x:c>
      <x:c r="G338" s="51" t="str">
        <x:v>Capital / patent claims</x:v>
      </x:c>
      <x:c r="H338" s="51" t="str">
        <x:v>Finance enforcement of patent claims and portfolios</x:v>
      </x:c>
      <x:c r="I338" s="51" t="str">
        <x:v>E1</x:v>
      </x:c>
      <x:c r="J338" s="51" t="str">
        <x:v>SRC-674; SRC-676</x:v>
      </x:c>
      <x:c r="K338" s="51" t="str">
        <x:v>Active / disclosure under study</x:v>
      </x:c>
    </x:row>
    <x:row r="339">
      <x:c r="A339" s="51" t="str">
        <x:v>INS-335</x:v>
      </x:c>
      <x:c r="B339" s="51" t="str">
        <x:v>Insurance Capital Standard</x:v>
      </x:c>
      <x:c r="C339" s="51" t="str">
        <x:v>Global group-wide insurance capital standard</x:v>
      </x:c>
      <x:c r="D339" s="51" t="str">
        <x:v>2025 onward implementation</x:v>
      </x:c>
      <x:c r="E339" s="51" t="str">
        <x:v>IAIS; insurance supervisors; internationally active insurance groups</x:v>
      </x:c>
      <x:c r="F339" s="51" t="str">
        <x:v>Risk-based prescribed capital requirement</x:v>
      </x:c>
      <x:c r="G339" s="51" t="str">
        <x:v>Capital ratio / risk measures</x:v>
      </x:c>
      <x:c r="H339" s="51" t="str">
        <x:v>Create comparable group-wide capital adequacy requirements for internationally active insurers</x:v>
      </x:c>
      <x:c r="I339" s="51" t="str">
        <x:v>E1</x:v>
      </x:c>
      <x:c r="J339" s="51" t="str">
        <x:v>SRC-689; SRC-690</x:v>
      </x:c>
      <x:c r="K339" s="51" t="str">
        <x:v>Adopted / implementation</x:v>
      </x:c>
    </x:row>
    <x:row r="340">
      <x:c r="A340" s="51" t="str">
        <x:v>INS-336</x:v>
      </x:c>
      <x:c r="B340" s="51" t="str">
        <x:v>Insurance Core Principles and ComFrame</x:v>
      </x:c>
      <x:c r="C340" s="51" t="str">
        <x:v>International insurance-supervision framework</x:v>
      </x:c>
      <x:c r="D340" s="51" t="str">
        <x:v>Current 2026</x:v>
      </x:c>
      <x:c r="E340" s="51" t="str">
        <x:v>IAIS; national supervisors; insurers</x:v>
      </x:c>
      <x:c r="F340" s="51" t="str">
        <x:v>Twenty-five ICPs plus group supervision framework</x:v>
      </x:c>
      <x:c r="G340" s="51" t="str">
        <x:v>Standards / supervisory assessments</x:v>
      </x:c>
      <x:c r="H340" s="51" t="str">
        <x:v>Set expectations for licensing, governance, risk management, capital and market conduct</x:v>
      </x:c>
      <x:c r="I340" s="51" t="str">
        <x:v>E1</x:v>
      </x:c>
      <x:c r="J340" s="51" t="str">
        <x:v>SRC-691; SRC-692</x:v>
      </x:c>
      <x:c r="K340" s="51" t="str">
        <x:v>Active</x:v>
      </x:c>
    </x:row>
    <x:row r="341">
      <x:c r="A341" s="51" t="str">
        <x:v>INS-337</x:v>
      </x:c>
      <x:c r="B341" s="51" t="str">
        <x:v>Primary insurance contract</x:v>
      </x:c>
      <x:c r="C341" s="51" t="str">
        <x:v>Contractual risk-transfer instrument</x:v>
      </x:c>
      <x:c r="D341" s="51" t="str">
        <x:v>Ongoing</x:v>
      </x:c>
      <x:c r="E341" s="51" t="str">
        <x:v>Policyholder; primary insurer; broker; claims professionals</x:v>
      </x:c>
      <x:c r="F341" s="51" t="str">
        <x:v>Premium and policy limit specific</x:v>
      </x:c>
      <x:c r="G341" s="51" t="str">
        <x:v>Premium / covered loss</x:v>
      </x:c>
      <x:c r="H341" s="51" t="str">
        <x:v>Transfer defined financial consequences of covered events from policyholder to insurer</x:v>
      </x:c>
      <x:c r="I341" s="51" t="str">
        <x:v>E1</x:v>
      </x:c>
      <x:c r="J341" s="51" t="str">
        <x:v>SRC-691; SRC-693</x:v>
      </x:c>
      <x:c r="K341" s="51" t="str">
        <x:v>Active</x:v>
      </x:c>
    </x:row>
    <x:row r="342">
      <x:c r="A342" s="51" t="str">
        <x:v>INS-338</x:v>
      </x:c>
      <x:c r="B342" s="51" t="str">
        <x:v>Reinsurance treaty and facultative cover</x:v>
      </x:c>
      <x:c r="C342" s="51" t="str">
        <x:v>Insurance-to-insurance risk-transfer contract</x:v>
      </x:c>
      <x:c r="D342" s="51" t="str">
        <x:v>Ongoing</x:v>
      </x:c>
      <x:c r="E342" s="51" t="str">
        <x:v>Primary insurer; reinsurer; broker</x:v>
      </x:c>
      <x:c r="F342" s="51" t="str">
        <x:v>Quota share, excess-of-loss or facultative terms</x:v>
      </x:c>
      <x:c r="G342" s="51" t="str">
        <x:v>Premium / ceded loss</x:v>
      </x:c>
      <x:c r="H342" s="51" t="str">
        <x:v>Transfer defined underwriting losses and volatility from insurer to reinsurer</x:v>
      </x:c>
      <x:c r="I342" s="51" t="str">
        <x:v>E1</x:v>
      </x:c>
      <x:c r="J342" s="51" t="str">
        <x:v>SRC-698; SRC-702</x:v>
      </x:c>
      <x:c r="K342" s="51" t="str">
        <x:v>Active</x:v>
      </x:c>
    </x:row>
    <x:row r="343">
      <x:c r="A343" s="51" t="str">
        <x:v>INS-339</x:v>
      </x:c>
      <x:c r="B343" s="51" t="str">
        <x:v>Retrocession contract</x:v>
      </x:c>
      <x:c r="C343" s="51" t="str">
        <x:v>Reinsurer-to-reinsurer risk-transfer contract</x:v>
      </x:c>
      <x:c r="D343" s="51" t="str">
        <x:v>Ongoing</x:v>
      </x:c>
      <x:c r="E343" s="51" t="str">
        <x:v>Reinsurer; retrocessionaire; broker</x:v>
      </x:c>
      <x:c r="F343" s="51" t="str">
        <x:v>Contract-specific</x:v>
      </x:c>
      <x:c r="G343" s="51" t="str">
        <x:v>Premium / ceded reinsurance loss</x:v>
      </x:c>
      <x:c r="H343" s="51" t="str">
        <x:v>Transfer selected reinsurance accumulation and catastrophe risk to another risk bearer</x:v>
      </x:c>
      <x:c r="I343" s="51" t="str">
        <x:v>E1</x:v>
      </x:c>
      <x:c r="J343" s="51" t="str">
        <x:v>SRC-698; SRC-702</x:v>
      </x:c>
      <x:c r="K343" s="51" t="str">
        <x:v>Active</x:v>
      </x:c>
    </x:row>
    <x:row r="344">
      <x:c r="A344" s="51" t="str">
        <x:v>INS-340</x:v>
      </x:c>
      <x:c r="B344" s="51" t="str">
        <x:v>Lloyd's chain of security</x:v>
      </x:c>
      <x:c r="C344" s="51" t="str">
        <x:v>Multi-layer policyholder-protection structure</x:v>
      </x:c>
      <x:c r="D344" s="51" t="str">
        <x:v>2025–2026</x:v>
      </x:c>
      <x:c r="E344" s="51" t="str">
        <x:v>Lloyd's syndicates; members; Central Fund; Corporation of Lloyd's</x:v>
      </x:c>
      <x:c r="F344" s="51" t="str">
        <x:v>£49.8 billion total capital reported for 2025 market</x:v>
      </x:c>
      <x:c r="G344" s="51" t="str">
        <x:v>GBP / capital resources</x:v>
      </x:c>
      <x:c r="H344" s="51" t="str">
        <x:v>Combine syndicate assets, members' funds and central resources behind policy obligations</x:v>
      </x:c>
      <x:c r="I344" s="51" t="str">
        <x:v>E1</x:v>
      </x:c>
      <x:c r="J344" s="51" t="str">
        <x:v>SRC-693; SRC-694</x:v>
      </x:c>
      <x:c r="K344" s="51" t="str">
        <x:v>Active</x:v>
      </x:c>
    </x:row>
    <x:row r="345">
      <x:c r="A345" s="51" t="str">
        <x:v>INS-341</x:v>
      </x:c>
      <x:c r="B345" s="51" t="str">
        <x:v>Lloyd's 2025 market underwriting</x:v>
      </x:c>
      <x:c r="C345" s="51" t="str">
        <x:v>Specialty insurance marketplace activity</x:v>
      </x:c>
      <x:c r="D345" s="51" t="str">
        <x:v>2025</x:v>
      </x:c>
      <x:c r="E345" s="51" t="str">
        <x:v>Lloyd's market; syndicates; policyholders; brokers</x:v>
      </x:c>
      <x:c r="F345" s="51" t="str">
        <x:v>£57.9 billion gross written premium; £10.6 billion profit before tax</x:v>
      </x:c>
      <x:c r="G345" s="51" t="str">
        <x:v>GBP / premiums / claims</x:v>
      </x:c>
      <x:c r="H345" s="51" t="str">
        <x:v>Pool specialist underwriting and diverse capital across a marketplace</x:v>
      </x:c>
      <x:c r="I345" s="51" t="str">
        <x:v>E1</x:v>
      </x:c>
      <x:c r="J345" s="51" t="str">
        <x:v>SRC-693; SRC-694</x:v>
      </x:c>
      <x:c r="K345" s="51" t="str">
        <x:v>Completed reporting year</x:v>
      </x:c>
    </x:row>
    <x:row r="346">
      <x:c r="A346" s="51" t="str">
        <x:v>INS-342</x:v>
      </x:c>
      <x:c r="B346" s="51" t="str">
        <x:v>Strait of Hormuz marine war-risk consortium</x:v>
      </x:c>
      <x:c r="C346" s="51" t="str">
        <x:v>Pooled specialty insurance facility</x:v>
      </x:c>
      <x:c r="D346" s="51" t="str">
        <x:v>2026</x:v>
      </x:c>
      <x:c r="E346" s="51" t="str">
        <x:v>Lloyd's market consortium; vessel and cargo insureds</x:v>
      </x:c>
      <x:c r="F346" s="51" t="str">
        <x:v>Up to $200 million hull and P&amp;I capacity plus $200 million cargo capacity</x:v>
      </x:c>
      <x:c r="G346" s="51" t="str">
        <x:v>USD / policy limits</x:v>
      </x:c>
      <x:c r="H346" s="51" t="str">
        <x:v>Add war-risk insurance capacity for vessels and cargo transiting a geopolitical chokepoint</x:v>
      </x:c>
      <x:c r="I346" s="51" t="str">
        <x:v>E1</x:v>
      </x:c>
      <x:c r="J346" s="51" t="str">
        <x:v>SRC-697</x:v>
      </x:c>
      <x:c r="K346" s="51" t="str">
        <x:v>Active</x:v>
      </x:c>
    </x:row>
    <x:row r="347">
      <x:c r="A347" s="51" t="str">
        <x:v>INS-343</x:v>
      </x:c>
      <x:c r="B347" s="51" t="str">
        <x:v>Munich Re 2025 reinsurance balance sheet</x:v>
      </x:c>
      <x:c r="C347" s="51" t="str">
        <x:v>Global reinsurance capital and underwriting platform</x:v>
      </x:c>
      <x:c r="D347" s="51" t="str">
        <x:v>2025</x:v>
      </x:c>
      <x:c r="E347" s="51" t="str">
        <x:v>Munich Re; cedants; policyholders; investors</x:v>
      </x:c>
      <x:c r="F347" s="51" t="str">
        <x:v>€60.4 billion insurance revenue; €222.7 billion investments; €33.4 billion equity</x:v>
      </x:c>
      <x:c r="G347" s="51" t="str">
        <x:v>EUR / reserves / investments</x:v>
      </x:c>
      <x:c r="H347" s="51" t="str">
        <x:v>Absorb diversified insurance risk using underwriting capital, reserves and investment assets</x:v>
      </x:c>
      <x:c r="I347" s="51" t="str">
        <x:v>E1</x:v>
      </x:c>
      <x:c r="J347" s="51" t="str">
        <x:v>SRC-698</x:v>
      </x:c>
      <x:c r="K347" s="51" t="str">
        <x:v>Completed reporting year</x:v>
      </x:c>
    </x:row>
    <x:row r="348">
      <x:c r="A348" s="51" t="str">
        <x:v>INS-344</x:v>
      </x:c>
      <x:c r="B348" s="51" t="str">
        <x:v>Swiss Re 2025 reinsurance platform</x:v>
      </x:c>
      <x:c r="C348" s="51" t="str">
        <x:v>Global reinsurance and corporate-insurance platform</x:v>
      </x:c>
      <x:c r="D348" s="51" t="str">
        <x:v>2025</x:v>
      </x:c>
      <x:c r="E348" s="51" t="str">
        <x:v>Swiss Re; cedants; corporate clients; investors</x:v>
      </x:c>
      <x:c r="F348" s="51" t="str">
        <x:v>P&amp;C Re net income $2.8 billion; company technical provisions CHF 85.2 billion</x:v>
      </x:c>
      <x:c r="G348" s="51" t="str">
        <x:v>USD / CHF / reserves</x:v>
      </x:c>
      <x:c r="H348" s="51" t="str">
        <x:v>Pool global catastrophe, casualty, life and corporate risk across a diversified balance sheet</x:v>
      </x:c>
      <x:c r="I348" s="51" t="str">
        <x:v>E1</x:v>
      </x:c>
      <x:c r="J348" s="51" t="str">
        <x:v>SRC-702</x:v>
      </x:c>
      <x:c r="K348" s="51" t="str">
        <x:v>Completed reporting year</x:v>
      </x:c>
    </x:row>
    <x:row r="349">
      <x:c r="A349" s="51" t="str">
        <x:v>INS-345</x:v>
      </x:c>
      <x:c r="B349" s="51" t="str">
        <x:v>Insurance-linked securities market</x:v>
      </x:c>
      <x:c r="C349" s="51" t="str">
        <x:v>Capital-market insurance-risk transfer</x:v>
      </x:c>
      <x:c r="D349" s="51" t="str">
        <x:v>2025–2026</x:v>
      </x:c>
      <x:c r="E349" s="51" t="str">
        <x:v>Sponsors; special purpose reinsurers; investors; arrangers</x:v>
      </x:c>
      <x:c r="F349" s="51" t="str">
        <x:v>$24.7 billion issued in 2025; outstanding notional near $60 billion at year-end</x:v>
      </x:c>
      <x:c r="G349" s="51" t="str">
        <x:v>USD / principal-at-risk notes</x:v>
      </x:c>
      <x:c r="H349" s="51" t="str">
        <x:v>Transfer specified insurance events into collateralised securities held by investors</x:v>
      </x:c>
      <x:c r="I349" s="51" t="str">
        <x:v>E1</x:v>
      </x:c>
      <x:c r="J349" s="51" t="str">
        <x:v>SRC-703; SRC-704; SRC-705</x:v>
      </x:c>
      <x:c r="K349" s="51" t="str">
        <x:v>Active</x:v>
      </x:c>
    </x:row>
    <x:row r="350">
      <x:c r="A350" s="51" t="str">
        <x:v>INS-346</x:v>
      </x:c>
      <x:c r="B350" s="51" t="str">
        <x:v>Topanga Re Series 2025-1 catastrophe bond</x:v>
      </x:c>
      <x:c r="C350" s="51" t="str">
        <x:v>Collateralised catastrophe reinsurance transaction</x:v>
      </x:c>
      <x:c r="D350" s="51" t="str">
        <x:v>2025-12</x:v>
      </x:c>
      <x:c r="E350" s="51" t="str">
        <x:v>Farmers Insurance Group; Topanga Re; investors; Swiss Re Capital Markets</x:v>
      </x:c>
      <x:c r="F350" s="51" t="str">
        <x:v>$400 million</x:v>
      </x:c>
      <x:c r="G350" s="51" t="str">
        <x:v>USD / principal-at-risk notes</x:v>
      </x:c>
      <x:c r="H350" s="51" t="str">
        <x:v>Protect Farmers against named storms, earthquakes, severe weather and fire in the United States</x:v>
      </x:c>
      <x:c r="I350" s="51" t="str">
        <x:v>E1</x:v>
      </x:c>
      <x:c r="J350" s="51" t="str">
        <x:v>SRC-706</x:v>
      </x:c>
      <x:c r="K350" s="51" t="str">
        <x:v>Outstanding / active</x:v>
      </x:c>
    </x:row>
    <x:row r="351">
      <x:c r="A351" s="51" t="str">
        <x:v>INS-347</x:v>
      </x:c>
      <x:c r="B351" s="51" t="str">
        <x:v>CFTC-regulated U.S. derivatives market</x:v>
      </x:c>
      <x:c r="C351" s="51" t="str">
        <x:v>Futures and swaps market oversight framework</x:v>
      </x:c>
      <x:c r="D351" s="51" t="str">
        <x:v>FY2025–2026</x:v>
      </x:c>
      <x:c r="E351" s="51" t="str">
        <x:v>CFTC; exchanges; DCOs; FCMs; dealers; end users</x:v>
      </x:c>
      <x:c r="F351" s="51" t="str">
        <x:v>Estimated $31 trillion futures and $352 trillion swaps notional in 2025</x:v>
      </x:c>
      <x:c r="G351" s="51" t="str">
        <x:v>USD notional / contracts</x:v>
      </x:c>
      <x:c r="H351" s="51" t="str">
        <x:v>Regulate derivatives trading, clearing, reporting and intermediary conduct</x:v>
      </x:c>
      <x:c r="I351" s="51" t="str">
        <x:v>E1</x:v>
      </x:c>
      <x:c r="J351" s="51" t="str">
        <x:v>SRC-707; SRC-708; SRC-710; SRC-711</x:v>
      </x:c>
      <x:c r="K351" s="51" t="str">
        <x:v>Active</x:v>
      </x:c>
    </x:row>
    <x:row r="352">
      <x:c r="A352" s="51" t="str">
        <x:v>INS-348</x:v>
      </x:c>
      <x:c r="B352" s="51" t="str">
        <x:v>Central clearing and novation</x:v>
      </x:c>
      <x:c r="C352" s="51" t="str">
        <x:v>Counterparty-risk transformation process</x:v>
      </x:c>
      <x:c r="D352" s="51" t="str">
        <x:v>Ongoing</x:v>
      </x:c>
      <x:c r="E352" s="51" t="str">
        <x:v>CCP; clearing members; clients</x:v>
      </x:c>
      <x:c r="F352" s="51" t="str">
        <x:v>Trade-specific</x:v>
      </x:c>
      <x:c r="G352" s="51" t="str">
        <x:v>Contracts / obligations</x:v>
      </x:c>
      <x:c r="H352" s="51" t="str">
        <x:v>Replace bilateral exposures with matched obligations to a central counterparty</x:v>
      </x:c>
      <x:c r="I352" s="51" t="str">
        <x:v>E1</x:v>
      </x:c>
      <x:c r="J352" s="51" t="str">
        <x:v>SRC-712; SRC-714; SRC-719; SRC-724; SRC-728</x:v>
      </x:c>
      <x:c r="K352" s="51" t="str">
        <x:v>Active</x:v>
      </x:c>
    </x:row>
    <x:row r="353">
      <x:c r="A353" s="51" t="str">
        <x:v>INS-349</x:v>
      </x:c>
      <x:c r="B353" s="51" t="str">
        <x:v>Initial margin framework</x:v>
      </x:c>
      <x:c r="C353" s="51" t="str">
        <x:v>Potential-future-exposure collateral system</x:v>
      </x:c>
      <x:c r="D353" s="51" t="str">
        <x:v>Ongoing</x:v>
      </x:c>
      <x:c r="E353" s="51" t="str">
        <x:v>CCPs; clearing members; clients</x:v>
      </x:c>
      <x:c r="F353" s="51" t="str">
        <x:v>Portfolio- and model-specific</x:v>
      </x:c>
      <x:c r="G353" s="51" t="str">
        <x:v>Cash / securities collateral</x:v>
      </x:c>
      <x:c r="H353" s="51" t="str">
        <x:v>Cover potential losses during the close-out period after participant default</x:v>
      </x:c>
      <x:c r="I353" s="51" t="str">
        <x:v>E1</x:v>
      </x:c>
      <x:c r="J353" s="51" t="str">
        <x:v>SRC-712; SRC-713; SRC-719; SRC-724; SRC-730</x:v>
      </x:c>
      <x:c r="K353" s="51" t="str">
        <x:v>Active</x:v>
      </x:c>
    </x:row>
    <x:row r="354">
      <x:c r="A354" s="51" t="str">
        <x:v>INS-350</x:v>
      </x:c>
      <x:c r="B354" s="51" t="str">
        <x:v>Variation margin settlement</x:v>
      </x:c>
      <x:c r="C354" s="51" t="str">
        <x:v>Current-exposure settlement system</x:v>
      </x:c>
      <x:c r="D354" s="51" t="str">
        <x:v>Daily and intraday</x:v>
      </x:c>
      <x:c r="E354" s="51" t="str">
        <x:v>CCPs; clearing members; clients</x:v>
      </x:c>
      <x:c r="F354" s="51" t="str">
        <x:v>Mark-to-market-specific</x:v>
      </x:c>
      <x:c r="G354" s="51" t="str">
        <x:v>Cash and eligible collateral</x:v>
      </x:c>
      <x:c r="H354" s="51" t="str">
        <x:v>Transfer current gains and losses so exposures do not accumulate untreated</x:v>
      </x:c>
      <x:c r="I354" s="51" t="str">
        <x:v>E1</x:v>
      </x:c>
      <x:c r="J354" s="51" t="str">
        <x:v>SRC-712; SRC-719; SRC-724; SRC-730</x:v>
      </x:c>
      <x:c r="K354" s="51" t="str">
        <x:v>Active</x:v>
      </x:c>
    </x:row>
    <x:row r="355">
      <x:c r="A355" s="51" t="str">
        <x:v>INS-351</x:v>
      </x:c>
      <x:c r="B355" s="51" t="str">
        <x:v>CCP default waterfall</x:v>
      </x:c>
      <x:c r="C355" s="51" t="str">
        <x:v>Layered default-loss allocation system</x:v>
      </x:c>
      <x:c r="D355" s="51" t="str">
        <x:v>Ongoing</x:v>
      </x:c>
      <x:c r="E355" s="51" t="str">
        <x:v>Defaulting member; CCP; default fund; non-defaulting members</x:v>
      </x:c>
      <x:c r="F355" s="51" t="str">
        <x:v>CCP-specific</x:v>
      </x:c>
      <x:c r="G355" s="51" t="str">
        <x:v>Margin / CCP capital / mutualised resources</x:v>
      </x:c>
      <x:c r="H355" s="51" t="str">
        <x:v>Apply resources in a predetermined sequence after clearing-member default</x:v>
      </x:c>
      <x:c r="I355" s="51" t="str">
        <x:v>E1</x:v>
      </x:c>
      <x:c r="J355" s="51" t="str">
        <x:v>SRC-719; SRC-720; SRC-724; SRC-725; SRC-728</x:v>
      </x:c>
      <x:c r="K355" s="51" t="str">
        <x:v>Active</x:v>
      </x:c>
    </x:row>
    <x:row r="356">
      <x:c r="A356" s="51" t="str">
        <x:v>INS-352</x:v>
      </x:c>
      <x:c r="B356" s="51" t="str">
        <x:v>CCP margin transparency reforms</x:v>
      </x:c>
      <x:c r="C356" s="51" t="str">
        <x:v>Initial-margin predictability and disclosure programme</x:v>
      </x:c>
      <x:c r="D356" s="51" t="str">
        <x:v>2025–2026</x:v>
      </x:c>
      <x:c r="E356" s="51" t="str">
        <x:v>BCBS; CPMI; IOSCO; CCPs; clearing members</x:v>
      </x:c>
      <x:c r="F356" s="51" t="str">
        <x:v>Ten final policy proposals plus 2026 implementation consultation</x:v>
      </x:c>
      <x:c r="G356" s="51" t="str">
        <x:v>Models / disclosures</x:v>
      </x:c>
      <x:c r="H356" s="51" t="str">
        <x:v>Improve margin simulation, responsiveness metrics, governance and public disclosure</x:v>
      </x:c>
      <x:c r="I356" s="51" t="str">
        <x:v>E1</x:v>
      </x:c>
      <x:c r="J356" s="51" t="str">
        <x:v>SRC-712; SRC-713</x:v>
      </x:c>
      <x:c r="K356" s="51" t="str">
        <x:v>Implementation / consultation</x:v>
      </x:c>
    </x:row>
    <x:row r="357">
      <x:c r="A357" s="51" t="str">
        <x:v>INS-353</x:v>
      </x:c>
      <x:c r="B357" s="51" t="str">
        <x:v>CCP resolution resources and tools</x:v>
      </x:c>
      <x:c r="C357" s="51" t="str">
        <x:v>Resolution-planning framework</x:v>
      </x:c>
      <x:c r="D357" s="51" t="str">
        <x:v>2024–2026</x:v>
      </x:c>
      <x:c r="E357" s="51" t="str">
        <x:v>FSB; resolution authorities; CCPs; members</x:v>
      </x:c>
      <x:c r="F357" s="51" t="str">
        <x:v>Resolution-specific resources plus unused recovery resources</x:v>
      </x:c>
      <x:c r="G357" s="51" t="str">
        <x:v>Capital / liquidity / powers</x:v>
      </x:c>
      <x:c r="H357" s="51" t="str">
        <x:v>Support orderly resolution when recovery tools are insufficient</x:v>
      </x:c>
      <x:c r="I357" s="51" t="str">
        <x:v>E1</x:v>
      </x:c>
      <x:c r="J357" s="51" t="str">
        <x:v>SRC-715; SRC-716; SRC-717</x:v>
      </x:c>
      <x:c r="K357" s="51" t="str">
        <x:v>Implementation</x:v>
      </x:c>
    </x:row>
    <x:row r="358">
      <x:c r="A358" s="51" t="str">
        <x:v>INS-354</x:v>
      </x:c>
      <x:c r="B358" s="51" t="str">
        <x:v>CME Clearing financial safeguards waterfall</x:v>
      </x:c>
      <x:c r="C358" s="51" t="str">
        <x:v>CCP default-management framework</x:v>
      </x:c>
      <x:c r="D358" s="51" t="str">
        <x:v>Current 2026</x:v>
      </x:c>
      <x:c r="E358" s="51" t="str">
        <x:v>CME Clearing; clearing members; clients</x:v>
      </x:c>
      <x:c r="F358" s="51" t="str">
        <x:v>$100 million CME contribution for base products and $150 million for IRS before mutualised fund layers</x:v>
      </x:c>
      <x:c r="G358" s="51" t="str">
        <x:v>USD / margin / guaranty funds</x:v>
      </x:c>
      <x:c r="H358" s="51" t="str">
        <x:v>Manage defaults through defaulter resources, CCP capital, guaranty funds and capped assessments</x:v>
      </x:c>
      <x:c r="I358" s="51" t="str">
        <x:v>E1</x:v>
      </x:c>
      <x:c r="J358" s="51" t="str">
        <x:v>SRC-719; SRC-720; SRC-721; SRC-722</x:v>
      </x:c>
      <x:c r="K358" s="51" t="str">
        <x:v>Active</x:v>
      </x:c>
    </x:row>
    <x:row r="359">
      <x:c r="A359" s="51" t="str">
        <x:v>INS-355</x:v>
      </x:c>
      <x:c r="B359" s="51" t="str">
        <x:v>LCH clearing and default-management framework</x:v>
      </x:c>
      <x:c r="C359" s="51" t="str">
        <x:v>CCP clearing and service-specific waterfall</x:v>
      </x:c>
      <x:c r="D359" s="51" t="str">
        <x:v>2025–2026</x:v>
      </x:c>
      <x:c r="E359" s="51" t="str">
        <x:v>LCH Limited; clearing members; clients</x:v>
      </x:c>
      <x:c r="F359" s="51" t="str">
        <x:v>1.08 billion trade sides in EquityClear during 2025; service-specific risk resources</x:v>
      </x:c>
      <x:c r="G359" s="51" t="str">
        <x:v>Trades / margin / default funds</x:v>
      </x:c>
      <x:c r="H359" s="51" t="str">
        <x:v>Clear multiple asset classes through dedicated margin and default-resource structures</x:v>
      </x:c>
      <x:c r="I359" s="51" t="str">
        <x:v>E1</x:v>
      </x:c>
      <x:c r="J359" s="51" t="str">
        <x:v>SRC-723; SRC-724; SRC-725; SRC-726</x:v>
      </x:c>
      <x:c r="K359" s="51" t="str">
        <x:v>Active</x:v>
      </x:c>
    </x:row>
    <x:row r="360">
      <x:c r="A360" s="51" t="str">
        <x:v>INS-356</x:v>
      </x:c>
      <x:c r="B360" s="51" t="str">
        <x:v>ICE Clear Credit financial resource package</x:v>
      </x:c>
      <x:c r="C360" s="51" t="str">
        <x:v>CDS and Treasury-clearing default framework</x:v>
      </x:c>
      <x:c r="D360" s="51" t="str">
        <x:v>2025–2026</x:v>
      </x:c>
      <x:c r="E360" s="51" t="str">
        <x:v>ICE Clear Credit; clearing participants; clients</x:v>
      </x:c>
      <x:c r="F360" s="51" t="str">
        <x:v>$68.436 billion current margin on deposit; $6.065 billion minimum additional default resources disclosed</x:v>
      </x:c>
      <x:c r="G360" s="51" t="str">
        <x:v>USD / margin / guaranty funds</x:v>
      </x:c>
      <x:c r="H360" s="51" t="str">
        <x:v>Mutualise extreme residual default losses after defaulter resources and CCP contributions</x:v>
      </x:c>
      <x:c r="I360" s="51" t="str">
        <x:v>E1</x:v>
      </x:c>
      <x:c r="J360" s="51" t="str">
        <x:v>SRC-727; SRC-728; SRC-729</x:v>
      </x:c>
      <x:c r="K360" s="51" t="str">
        <x:v>Active</x:v>
      </x:c>
    </x:row>
    <x:row r="361">
      <x:c r="A361" s="51" t="str">
        <x:v>INS-357</x:v>
      </x:c>
      <x:c r="B361" s="51" t="str">
        <x:v>Non-cleared derivatives collateral and netting</x:v>
      </x:c>
      <x:c r="C361" s="51" t="str">
        <x:v>Bilateral counterparty-risk mitigation system</x:v>
      </x:c>
      <x:c r="D361" s="51" t="str">
        <x:v>2025–2026</x:v>
      </x:c>
      <x:c r="E361" s="51" t="str">
        <x:v>Swap dealers; end users; custodians</x:v>
      </x:c>
      <x:c r="F361" s="51" t="str">
        <x:v>51.7% of received collateral was non-cash at year-end 2025 in ISDA survey</x:v>
      </x:c>
      <x:c r="G361" s="51" t="str">
        <x:v>Collateral / close-out netting</x:v>
      </x:c>
      <x:c r="H361" s="51" t="str">
        <x:v>Reduce bilateral replacement-cost exposure through legal netting and collateral transfer</x:v>
      </x:c>
      <x:c r="I361" s="51" t="str">
        <x:v>E2</x:v>
      </x:c>
      <x:c r="J361" s="51" t="str">
        <x:v>SRC-731; SRC-732; SRC-733; SRC-734</x:v>
      </x:c>
      <x:c r="K361" s="51" t="str">
        <x:v>Active</x:v>
      </x:c>
    </x:row>
    <x:row r="362">
      <x:c r="A362" s="51" t="str">
        <x:v>INS-358</x:v>
      </x:c>
      <x:c r="B362" s="51" t="str">
        <x:v>Global natural-catastrophe loss record 2025</x:v>
      </x:c>
      <x:c r="C362" s="51" t="str">
        <x:v>Catastrophe-loss measurement system</x:v>
      </x:c>
      <x:c r="D362" s="51" t="str">
        <x:v>2025</x:v>
      </x:c>
      <x:c r="E362" s="51" t="str">
        <x:v>Insurers; reinsurers; policyholders; governments</x:v>
      </x:c>
      <x:c r="F362" s="51" t="str">
        <x:v>$224 billion total losses; $108 billion insured losses</x:v>
      </x:c>
      <x:c r="G362" s="51" t="str">
        <x:v>USD / event losses</x:v>
      </x:c>
      <x:c r="H362" s="51" t="str">
        <x:v>Measure the insured and uninsured allocation of catastrophe losses</x:v>
      </x:c>
      <x:c r="I362" s="51" t="str">
        <x:v>E1</x:v>
      </x:c>
      <x:c r="J362" s="51" t="str">
        <x:v>SRC-699; SRC-701</x:v>
      </x:c>
      <x:c r="K362" s="51" t="str">
        <x:v>Completed reporting year</x:v>
      </x:c>
    </x:row>
    <x:row r="363">
      <x:c r="A363" s="51" t="str">
        <x:v>INS-359</x:v>
      </x:c>
      <x:c r="B363" s="51" t="str">
        <x:v>Commercial bank loan and deposit creation</x:v>
      </x:c>
      <x:c r="C363" s="51" t="str">
        <x:v>Bank balance-sheet expansion</x:v>
      </x:c>
      <x:c r="D363" s="51" t="str">
        <x:v>Ongoing</x:v>
      </x:c>
      <x:c r="E363" s="51" t="str">
        <x:v>Commercial bank; borrower; recipient bank</x:v>
      </x:c>
      <x:c r="F363" s="51" t="str">
        <x:v>Bank- and transaction-specific</x:v>
      </x:c>
      <x:c r="G363" s="51" t="str">
        <x:v>Loan / deposit liability</x:v>
      </x:c>
      <x:c r="H363" s="51" t="str">
        <x:v>Create a bank asset and matching deposit liability when credit is extended or assets are purchased from nonbanks</x:v>
      </x:c>
      <x:c r="I363" s="51" t="str">
        <x:v>E1</x:v>
      </x:c>
      <x:c r="J363" s="51" t="str">
        <x:v>SRC-736; SRC-737; SRC-738</x:v>
      </x:c>
      <x:c r="K363" s="51" t="str">
        <x:v>Active</x:v>
      </x:c>
    </x:row>
    <x:row r="364">
      <x:c r="A364" s="51" t="str">
        <x:v>INS-360</x:v>
      </x:c>
      <x:c r="B364" s="51" t="str">
        <x:v>U.S. commercial-bank balance sheet</x:v>
      </x:c>
      <x:c r="C364" s="51" t="str">
        <x:v>Banking-system statistical record</x:v>
      </x:c>
      <x:c r="D364" s="51" t="str">
        <x:v>2026-07</x:v>
      </x:c>
      <x:c r="E364" s="51" t="str">
        <x:v>Commercial banks; depositors; borrowers</x:v>
      </x:c>
      <x:c r="F364" s="51" t="str">
        <x:v>Approximately $17.9 trillion deposits in July 2026 H.8 reporting</x:v>
      </x:c>
      <x:c r="G364" s="51" t="str">
        <x:v>USD / assets and liabilities</x:v>
      </x:c>
      <x:c r="H364" s="51" t="str">
        <x:v>Measure loans, securities, deposits, borrowings and cash assets of U.S. commercial banks</x:v>
      </x:c>
      <x:c r="I364" s="51" t="str">
        <x:v>E1</x:v>
      </x:c>
      <x:c r="J364" s="51" t="str">
        <x:v>SRC-738</x:v>
      </x:c>
      <x:c r="K364" s="51" t="str">
        <x:v>Current statistical record</x:v>
      </x:c>
    </x:row>
    <x:row r="365">
      <x:c r="A365" s="51" t="str">
        <x:v>INS-361</x:v>
      </x:c>
      <x:c r="B365" s="51" t="str">
        <x:v>Basel Liquidity Coverage Ratio</x:v>
      </x:c>
      <x:c r="C365" s="51" t="str">
        <x:v>Short-term bank-liquidity standard</x:v>
      </x:c>
      <x:c r="D365" s="51" t="str">
        <x:v>Current 2026</x:v>
      </x:c>
      <x:c r="E365" s="51" t="str">
        <x:v>Basel Committee; supervisors; banks</x:v>
      </x:c>
      <x:c r="F365" s="51" t="str">
        <x:v>Minimum ratio based on 30-day stress outflows</x:v>
      </x:c>
      <x:c r="G365" s="51" t="str">
        <x:v>Liquidity ratio / HQLA</x:v>
      </x:c>
      <x:c r="H365" s="51" t="str">
        <x:v>Require sufficient unencumbered high-quality liquid assets for acute liquidity stress</x:v>
      </x:c>
      <x:c r="I365" s="51" t="str">
        <x:v>E1</x:v>
      </x:c>
      <x:c r="J365" s="51" t="str">
        <x:v>SRC-754; SRC-755; SRC-757</x:v>
      </x:c>
      <x:c r="K365" s="51" t="str">
        <x:v>Active</x:v>
      </x:c>
    </x:row>
    <x:row r="366">
      <x:c r="A366" s="51" t="str">
        <x:v>INS-362</x:v>
      </x:c>
      <x:c r="B366" s="51" t="str">
        <x:v>Basel Net Stable Funding Ratio</x:v>
      </x:c>
      <x:c r="C366" s="51" t="str">
        <x:v>Structural bank-funding standard</x:v>
      </x:c>
      <x:c r="D366" s="51" t="str">
        <x:v>Current 2026</x:v>
      </x:c>
      <x:c r="E366" s="51" t="str">
        <x:v>Basel Committee; supervisors; banks</x:v>
      </x:c>
      <x:c r="F366" s="51" t="str">
        <x:v>Required stable funding relative to asset and off-balance-sheet profile</x:v>
      </x:c>
      <x:c r="G366" s="51" t="str">
        <x:v>Funding ratio</x:v>
      </x:c>
      <x:c r="H366" s="51" t="str">
        <x:v>Reduce excessive reliance on unstable short-term funding for illiquid assets</x:v>
      </x:c>
      <x:c r="I366" s="51" t="str">
        <x:v>E1</x:v>
      </x:c>
      <x:c r="J366" s="51" t="str">
        <x:v>SRC-754; SRC-756; SRC-757</x:v>
      </x:c>
      <x:c r="K366" s="51" t="str">
        <x:v>Active</x:v>
      </x:c>
    </x:row>
    <x:row r="367">
      <x:c r="A367" s="51" t="str">
        <x:v>INS-363</x:v>
      </x:c>
      <x:c r="B367" s="51" t="str">
        <x:v>FDIC deposit insurance</x:v>
      </x:c>
      <x:c r="C367" s="51" t="str">
        <x:v>Statutory depositor-protection scheme</x:v>
      </x:c>
      <x:c r="D367" s="51" t="str">
        <x:v>Current 2026</x:v>
      </x:c>
      <x:c r="E367" s="51" t="str">
        <x:v>FDIC; insured banks; depositors</x:v>
      </x:c>
      <x:c r="F367" s="51" t="str">
        <x:v>$250,000 per depositor, per insured bank, per ownership category</x:v>
      </x:c>
      <x:c r="G367" s="51" t="str">
        <x:v>USD / eligible deposits</x:v>
      </x:c>
      <x:c r="H367" s="51" t="str">
        <x:v>Protect eligible deposit claims after an insured bank failure</x:v>
      </x:c>
      <x:c r="I367" s="51" t="str">
        <x:v>E1</x:v>
      </x:c>
      <x:c r="J367" s="51" t="str">
        <x:v>SRC-739; SRC-794</x:v>
      </x:c>
      <x:c r="K367" s="51" t="str">
        <x:v>Active</x:v>
      </x:c>
    </x:row>
    <x:row r="368">
      <x:c r="A368" s="51" t="str">
        <x:v>INS-364</x:v>
      </x:c>
      <x:c r="B368" s="51" t="str">
        <x:v>Deposit Insurance Fund</x:v>
      </x:c>
      <x:c r="C368" s="51" t="str">
        <x:v>Industry-funded insurance and resolution fund</x:v>
      </x:c>
      <x:c r="D368" s="51" t="str">
        <x:v>2025–2026</x:v>
      </x:c>
      <x:c r="E368" s="51" t="str">
        <x:v>FDIC; insured institutions; depositors</x:v>
      </x:c>
      <x:c r="F368" s="51" t="str">
        <x:v>$157.4 billion balance and 1.43% reserve ratio at March 31, 2026</x:v>
      </x:c>
      <x:c r="G368" s="51" t="str">
        <x:v>USD / assessments / Treasury investments</x:v>
      </x:c>
      <x:c r="H368" s="51" t="str">
        <x:v>Fund insured-depositor protection and failed-bank resolution</x:v>
      </x:c>
      <x:c r="I368" s="51" t="str">
        <x:v>E1</x:v>
      </x:c>
      <x:c r="J368" s="51" t="str">
        <x:v>SRC-740; SRC-741; SRC-748; SRC-793</x:v>
      </x:c>
      <x:c r="K368" s="51" t="str">
        <x:v>Active</x:v>
      </x:c>
    </x:row>
    <x:row r="369">
      <x:c r="A369" s="51" t="str">
        <x:v>INS-365</x:v>
      </x:c>
      <x:c r="B369" s="51" t="str">
        <x:v>Risk-based FDIC assessments</x:v>
      </x:c>
      <x:c r="C369" s="51" t="str">
        <x:v>Deposit-insurance premium system</x:v>
      </x:c>
      <x:c r="D369" s="51" t="str">
        <x:v>Quarterly</x:v>
      </x:c>
      <x:c r="E369" s="51" t="str">
        <x:v>FDIC-insured institutions; FDIC</x:v>
      </x:c>
      <x:c r="F369" s="51" t="str">
        <x:v>Institution-specific assessment base and rate</x:v>
      </x:c>
      <x:c r="G369" s="51" t="str">
        <x:v>USD / assessments</x:v>
      </x:c>
      <x:c r="H369" s="51" t="str">
        <x:v>Mutualise deposit-insurance and resolution costs across insured banks</x:v>
      </x:c>
      <x:c r="I369" s="51" t="str">
        <x:v>E1</x:v>
      </x:c>
      <x:c r="J369" s="51" t="str">
        <x:v>SRC-748; SRC-793</x:v>
      </x:c>
      <x:c r="K369" s="51" t="str">
        <x:v>Active</x:v>
      </x:c>
    </x:row>
    <x:row r="370">
      <x:c r="A370" s="51" t="str">
        <x:v>INS-366</x:v>
      </x:c>
      <x:c r="B370" s="51" t="str">
        <x:v>FDIC least-cost resolution process</x:v>
      </x:c>
      <x:c r="C370" s="51" t="str">
        <x:v>Failed-bank resolution selection mechanism</x:v>
      </x:c>
      <x:c r="D370" s="51" t="str">
        <x:v>Failure-specific</x:v>
      </x:c>
      <x:c r="E370" s="51" t="str">
        <x:v>FDIC; bidders; failed bank; DIF</x:v>
      </x:c>
      <x:c r="F370" s="51" t="str">
        <x:v>Modelled resolution cost</x:v>
      </x:c>
      <x:c r="G370" s="51" t="str">
        <x:v>USD / bids / expected recoveries</x:v>
      </x:c>
      <x:c r="H370" s="51" t="str">
        <x:v>Select the resolution method expected to minimise cost to the Deposit Insurance Fund</x:v>
      </x:c>
      <x:c r="I370" s="51" t="str">
        <x:v>E1</x:v>
      </x:c>
      <x:c r="J370" s="51" t="str">
        <x:v>SRC-744; SRC-745; SRC-795</x:v>
      </x:c>
      <x:c r="K370" s="51" t="str">
        <x:v>Active</x:v>
      </x:c>
    </x:row>
    <x:row r="371">
      <x:c r="A371" s="51" t="str">
        <x:v>INS-367</x:v>
      </x:c>
      <x:c r="B371" s="51" t="str">
        <x:v>Purchase-and-assumption and bridge-bank resolution</x:v>
      </x:c>
      <x:c r="C371" s="51" t="str">
        <x:v>Bank transfer and continuity tools</x:v>
      </x:c>
      <x:c r="D371" s="51" t="str">
        <x:v>Failure-specific</x:v>
      </x:c>
      <x:c r="E371" s="51" t="str">
        <x:v>FDIC; acquiring bank; bridge bank; depositors</x:v>
      </x:c>
      <x:c r="F371" s="51" t="str">
        <x:v>Failure-specific</x:v>
      </x:c>
      <x:c r="G371" s="51" t="str">
        <x:v>Deposits / assets / contracts</x:v>
      </x:c>
      <x:c r="H371" s="51" t="str">
        <x:v>Transfer deposits and assets while maintaining critical banking services</x:v>
      </x:c>
      <x:c r="I371" s="51" t="str">
        <x:v>E1</x:v>
      </x:c>
      <x:c r="J371" s="51" t="str">
        <x:v>SRC-744; SRC-753; SRC-794</x:v>
      </x:c>
      <x:c r="K371" s="51" t="str">
        <x:v>Active</x:v>
      </x:c>
    </x:row>
    <x:row r="372">
      <x:c r="A372" s="51" t="str">
        <x:v>INS-368</x:v>
      </x:c>
      <x:c r="B372" s="51" t="str">
        <x:v>Receivership creditor priority</x:v>
      </x:c>
      <x:c r="C372" s="51" t="str">
        <x:v>Statutory loss-allocation hierarchy</x:v>
      </x:c>
      <x:c r="D372" s="51" t="str">
        <x:v>Failure-specific</x:v>
      </x:c>
      <x:c r="E372" s="51" t="str">
        <x:v>FDIC receiver; depositors; general creditors; shareholders</x:v>
      </x:c>
      <x:c r="F372" s="51" t="str">
        <x:v>Recovery-specific</x:v>
      </x:c>
      <x:c r="G372" s="51" t="str">
        <x:v>Receivership proceeds</x:v>
      </x:c>
      <x:c r="H372" s="51" t="str">
        <x:v>Distribute failed-bank recoveries according to statutory priority</x:v>
      </x:c>
      <x:c r="I372" s="51" t="str">
        <x:v>E1</x:v>
      </x:c>
      <x:c r="J372" s="51" t="str">
        <x:v>SRC-746; SRC-794</x:v>
      </x:c>
      <x:c r="K372" s="51" t="str">
        <x:v>Active</x:v>
      </x:c>
    </x:row>
    <x:row r="373">
      <x:c r="A373" s="51" t="str">
        <x:v>INS-369</x:v>
      </x:c>
      <x:c r="B373" s="51" t="str">
        <x:v>Large-bank resolution planning</x:v>
      </x:c>
      <x:c r="C373" s="51" t="str">
        <x:v>Supervisory planning requirement</x:v>
      </x:c>
      <x:c r="D373" s="51" t="str">
        <x:v>2025–2026</x:v>
      </x:c>
      <x:c r="E373" s="51" t="str">
        <x:v>FDIC; large insured banks; other authorities</x:v>
      </x:c>
      <x:c r="F373" s="51" t="str">
        <x:v>Covered-bank-specific</x:v>
      </x:c>
      <x:c r="G373" s="51" t="str">
        <x:v>Plans / data / operational capabilities</x:v>
      </x:c>
      <x:c r="H373" s="51" t="str">
        <x:v>Prepare authorities and firms for rapid resolution and valuation</x:v>
      </x:c>
      <x:c r="I373" s="51" t="str">
        <x:v>E1</x:v>
      </x:c>
      <x:c r="J373" s="51" t="str">
        <x:v>SRC-749; SRC-751</x:v>
      </x:c>
      <x:c r="K373" s="51" t="str">
        <x:v>Implementation</x:v>
      </x:c>
    </x:row>
    <x:row r="374">
      <x:c r="A374" s="51" t="str">
        <x:v>INS-370</x:v>
      </x:c>
      <x:c r="B374" s="51" t="str">
        <x:v>G-SIB capital surcharge and TLAC</x:v>
      </x:c>
      <x:c r="C374" s="51" t="str">
        <x:v>Systemic-bank resilience and bail-in framework</x:v>
      </x:c>
      <x:c r="D374" s="51" t="str">
        <x:v>2025–2027 requirements</x:v>
      </x:c>
      <x:c r="E374" s="51" t="str">
        <x:v>FSB; Basel Committee; national authorities; G-SIBs</x:v>
      </x:c>
      <x:c r="F374" s="51" t="str">
        <x:v>29 G-SIBs on 2025 list; TLAC minimum standards</x:v>
      </x:c>
      <x:c r="G374" s="51" t="str">
        <x:v>Capital / eligible liabilities</x:v>
      </x:c>
      <x:c r="H374" s="51" t="str">
        <x:v>Require additional capital and loss-absorbing liabilities at systemically important banks</x:v>
      </x:c>
      <x:c r="I374" s="51" t="str">
        <x:v>E1</x:v>
      </x:c>
      <x:c r="J374" s="51" t="str">
        <x:v>SRC-750; SRC-752; SRC-796</x:v>
      </x:c>
      <x:c r="K374" s="51" t="str">
        <x:v>Active</x:v>
      </x:c>
    </x:row>
    <x:row r="375">
      <x:c r="A375" s="51" t="str">
        <x:v>INS-371</x:v>
      </x:c>
      <x:c r="B375" s="51" t="str">
        <x:v>Open-bank and transfer-tool resolution</x:v>
      </x:c>
      <x:c r="C375" s="51" t="str">
        <x:v>Bank resolution execution framework</x:v>
      </x:c>
      <x:c r="D375" s="51" t="str">
        <x:v>Current 2026</x:v>
      </x:c>
      <x:c r="E375" s="51" t="str">
        <x:v>Resolution authorities; G-SIBs; creditors; transferees</x:v>
      </x:c>
      <x:c r="F375" s="51" t="str">
        <x:v>Firm-specific</x:v>
      </x:c>
      <x:c r="G375" s="51" t="str">
        <x:v>Bail-in / transfer / bridge</x:v>
      </x:c>
      <x:c r="H375" s="51" t="str">
        <x:v>Recapitalise or transfer critical functions without relying primarily on taxpayer bailout</x:v>
      </x:c>
      <x:c r="I375" s="51" t="str">
        <x:v>E1</x:v>
      </x:c>
      <x:c r="J375" s="51" t="str">
        <x:v>SRC-751; SRC-753; SRC-797</x:v>
      </x:c>
      <x:c r="K375" s="51" t="str">
        <x:v>Implementation</x:v>
      </x:c>
    </x:row>
    <x:row r="376">
      <x:c r="A376" s="51" t="str">
        <x:v>INS-372</x:v>
      </x:c>
      <x:c r="B376" s="51" t="str">
        <x:v>Federal Reserve discount window</x:v>
      </x:c>
      <x:c r="C376" s="51" t="str">
        <x:v>Collateralised central-bank credit facility</x:v>
      </x:c>
      <x:c r="D376" s="51" t="str">
        <x:v>Current 2026</x:v>
      </x:c>
      <x:c r="E376" s="51" t="str">
        <x:v>Federal Reserve Banks; eligible depository institutions</x:v>
      </x:c>
      <x:c r="F376" s="51" t="str">
        <x:v>Primary credit up to 90 days; collateral-specific lending value</x:v>
      </x:c>
      <x:c r="G376" s="51" t="str">
        <x:v>USD / collateralised loan</x:v>
      </x:c>
      <x:c r="H376" s="51" t="str">
        <x:v>Provide backup liquidity against a broad range of bank assets</x:v>
      </x:c>
      <x:c r="I376" s="51" t="str">
        <x:v>E1</x:v>
      </x:c>
      <x:c r="J376" s="51" t="str">
        <x:v>SRC-759; SRC-763; SRC-792</x:v>
      </x:c>
      <x:c r="K376" s="51" t="str">
        <x:v>Active</x:v>
      </x:c>
    </x:row>
    <x:row r="377">
      <x:c r="A377" s="51" t="str">
        <x:v>INS-373</x:v>
      </x:c>
      <x:c r="B377" s="51" t="str">
        <x:v>Standing Repo Facility</x:v>
      </x:c>
      <x:c r="C377" s="51" t="str">
        <x:v>Standing Treasury and agency repo backstop</x:v>
      </x:c>
      <x:c r="D377" s="51" t="str">
        <x:v>Since 2021</x:v>
      </x:c>
      <x:c r="E377" s="51" t="str">
        <x:v>Federal Reserve; primary dealers and eligible counterparties</x:v>
      </x:c>
      <x:c r="F377" s="51" t="str">
        <x:v>Operation-specific</x:v>
      </x:c>
      <x:c r="G377" s="51" t="str">
        <x:v>USD / Treasury and agency collateral</x:v>
      </x:c>
      <x:c r="H377" s="51" t="str">
        <x:v>Limit upward repo-rate pressure and provide reserve liquidity against eligible securities</x:v>
      </x:c>
      <x:c r="I377" s="51" t="str">
        <x:v>E1</x:v>
      </x:c>
      <x:c r="J377" s="51" t="str">
        <x:v>SRC-758; SRC-761; SRC-762</x:v>
      </x:c>
      <x:c r="K377" s="51" t="str">
        <x:v>Active</x:v>
      </x:c>
    </x:row>
    <x:row r="378">
      <x:c r="A378" s="51" t="str">
        <x:v>INS-374</x:v>
      </x:c>
      <x:c r="B378" s="51" t="str">
        <x:v>Overnight Reverse Repo Facility</x:v>
      </x:c>
      <x:c r="C378" s="51" t="str">
        <x:v>Central-bank cash-investment facility</x:v>
      </x:c>
      <x:c r="D378" s="51" t="str">
        <x:v>Current 2026</x:v>
      </x:c>
      <x:c r="E378" s="51" t="str">
        <x:v>Federal Reserve; eligible money funds and counterparties</x:v>
      </x:c>
      <x:c r="F378" s="51" t="str">
        <x:v>Facility-specific</x:v>
      </x:c>
      <x:c r="G378" s="51" t="str">
        <x:v>USD / overnight reverse repo</x:v>
      </x:c>
      <x:c r="H378" s="51" t="str">
        <x:v>Provide an overnight investment and help support a floor under money-market rates</x:v>
      </x:c>
      <x:c r="I378" s="51" t="str">
        <x:v>E1</x:v>
      </x:c>
      <x:c r="J378" s="51" t="str">
        <x:v>SRC-758; SRC-760; SRC-782; SRC-783</x:v>
      </x:c>
      <x:c r="K378" s="51" t="str">
        <x:v>Active</x:v>
      </x:c>
    </x:row>
    <x:row r="379">
      <x:c r="A379" s="51" t="str">
        <x:v>INS-375</x:v>
      </x:c>
      <x:c r="B379" s="51" t="str">
        <x:v>FIMA Repo Facility</x:v>
      </x:c>
      <x:c r="C379" s="51" t="str">
        <x:v>Foreign-official dollar-liquidity facility</x:v>
      </x:c>
      <x:c r="D379" s="51" t="str">
        <x:v>Current 2026</x:v>
      </x:c>
      <x:c r="E379" s="51" t="str">
        <x:v>Federal Reserve; foreign official institutions</x:v>
      </x:c>
      <x:c r="F379" s="51" t="str">
        <x:v>Facility-specific</x:v>
      </x:c>
      <x:c r="G379" s="51" t="str">
        <x:v>USD / Treasury collateral</x:v>
      </x:c>
      <x:c r="H379" s="51" t="str">
        <x:v>Allow foreign official holders to raise dollars against Treasury securities instead of selling them</x:v>
      </x:c>
      <x:c r="I379" s="51" t="str">
        <x:v>E1</x:v>
      </x:c>
      <x:c r="J379" s="51" t="str">
        <x:v>SRC-758</x:v>
      </x:c>
      <x:c r="K379" s="51" t="str">
        <x:v>Active</x:v>
      </x:c>
    </x:row>
    <x:row r="380">
      <x:c r="A380" s="51" t="str">
        <x:v>INS-376</x:v>
      </x:c>
      <x:c r="B380" s="51" t="str">
        <x:v>Federal Home Loan Bank advances</x:v>
      </x:c>
      <x:c r="C380" s="51" t="str">
        <x:v>Secured member-liquidity system</x:v>
      </x:c>
      <x:c r="D380" s="51" t="str">
        <x:v>2025–2026</x:v>
      </x:c>
      <x:c r="E380" s="51" t="str">
        <x:v>Federal Home Loan Banks; member institutions</x:v>
      </x:c>
      <x:c r="F380" s="51" t="str">
        <x:v>$676 billion advances outstanding at year-end 2025</x:v>
      </x:c>
      <x:c r="G380" s="51" t="str">
        <x:v>USD / secured advances</x:v>
      </x:c>
      <x:c r="H380" s="51" t="str">
        <x:v>Provide collateralised wholesale funding to banks, credit unions, insurers and CDFIs</x:v>
      </x:c>
      <x:c r="I380" s="51" t="str">
        <x:v>E1</x:v>
      </x:c>
      <x:c r="J380" s="51" t="str">
        <x:v>SRC-764; SRC-765</x:v>
      </x:c>
      <x:c r="K380" s="51" t="str">
        <x:v>Active</x:v>
      </x:c>
    </x:row>
    <x:row r="381">
      <x:c r="A381" s="51" t="str">
        <x:v>INS-377</x:v>
      </x:c>
      <x:c r="B381" s="51" t="str">
        <x:v>U.S. repo market</x:v>
      </x:c>
      <x:c r="C381" s="51" t="str">
        <x:v>Collateralised short-term funding market</x:v>
      </x:c>
      <x:c r="D381" s="51" t="str">
        <x:v>2025–2026</x:v>
      </x:c>
      <x:c r="E381" s="51" t="str">
        <x:v>Cash lenders; cash borrowers; dealers; funds; banks</x:v>
      </x:c>
      <x:c r="F381" s="51" t="str">
        <x:v>Approximately $12.5–$12.6 trillion average daily exposures</x:v>
      </x:c>
      <x:c r="G381" s="51" t="str">
        <x:v>USD / repo obligations</x:v>
      </x:c>
      <x:c r="H381" s="51" t="str">
        <x:v>Finance securities inventories and provide cash-management investments</x:v>
      </x:c>
      <x:c r="I381" s="51" t="str">
        <x:v>E1</x:v>
      </x:c>
      <x:c r="J381" s="51" t="str">
        <x:v>SRC-770; SRC-772; SRC-773</x:v>
      </x:c>
      <x:c r="K381" s="51" t="str">
        <x:v>Active</x:v>
      </x:c>
    </x:row>
    <x:row r="382">
      <x:c r="A382" s="51" t="str">
        <x:v>INS-378</x:v>
      </x:c>
      <x:c r="B382" s="51" t="str">
        <x:v>Tri-party repo</x:v>
      </x:c>
      <x:c r="C382" s="51" t="str">
        <x:v>Third-party collateralised funding structure</x:v>
      </x:c>
      <x:c r="D382" s="51" t="str">
        <x:v>Current 2026</x:v>
      </x:c>
      <x:c r="E382" s="51" t="str">
        <x:v>Cash lender; dealer; BNY; collateral</x:v>
      </x:c>
      <x:c r="F382" s="51" t="str">
        <x:v>Venue-specific</x:v>
      </x:c>
      <x:c r="G382" s="51" t="str">
        <x:v>USD / securities collateral</x:v>
      </x:c>
      <x:c r="H382" s="51" t="str">
        <x:v>Use a collateral agent to settle, value and manage repo collateral</x:v>
      </x:c>
      <x:c r="I382" s="51" t="str">
        <x:v>E1</x:v>
      </x:c>
      <x:c r="J382" s="51" t="str">
        <x:v>SRC-783; SRC-785; SRC-787; SRC-788</x:v>
      </x:c>
      <x:c r="K382" s="51" t="str">
        <x:v>Active</x:v>
      </x:c>
    </x:row>
    <x:row r="383">
      <x:c r="A383" s="51" t="str">
        <x:v>INS-379</x:v>
      </x:c>
      <x:c r="B383" s="51" t="str">
        <x:v>FICC Government Securities Division clearing</x:v>
      </x:c>
      <x:c r="C383" s="51" t="str">
        <x:v>Treasury and repo central clearing</x:v>
      </x:c>
      <x:c r="D383" s="51" t="str">
        <x:v>2025–2026</x:v>
      </x:c>
      <x:c r="E383" s="51" t="str">
        <x:v>FICC; members; sponsored clients; Treasury market</x:v>
      </x:c>
      <x:c r="F383" s="51" t="str">
        <x:v>Peak $11.8 trillion daily cleared volume on June 30, 2025</x:v>
      </x:c>
      <x:c r="G383" s="51" t="str">
        <x:v>USD / trades / margin</x:v>
      </x:c>
      <x:c r="H383" s="51" t="str">
        <x:v>Net, novate and settle Treasury cash and repo transactions</x:v>
      </x:c>
      <x:c r="I383" s="51" t="str">
        <x:v>E1</x:v>
      </x:c>
      <x:c r="J383" s="51" t="str">
        <x:v>SRC-777; SRC-778; SRC-780; SRC-781</x:v>
      </x:c>
      <x:c r="K383" s="51" t="str">
        <x:v>Active</x:v>
      </x:c>
    </x:row>
    <x:row r="384">
      <x:c r="A384" s="51" t="str">
        <x:v>INS-380</x:v>
      </x:c>
      <x:c r="B384" s="51" t="str">
        <x:v>FICC sponsored repo</x:v>
      </x:c>
      <x:c r="C384" s="51" t="str">
        <x:v>Sponsored central-clearing access model</x:v>
      </x:c>
      <x:c r="D384" s="51" t="str">
        <x:v>Current 2026</x:v>
      </x:c>
      <x:c r="E384" s="51" t="str">
        <x:v>Sponsoring member; sponsored member; FICC</x:v>
      </x:c>
      <x:c r="F384" s="51" t="str">
        <x:v>Daily market volumes</x:v>
      </x:c>
      <x:c r="G384" s="51" t="str">
        <x:v>USD / repo</x:v>
      </x:c>
      <x:c r="H384" s="51" t="str">
        <x:v>Allow qualifying non-members to clear Treasury repo through a member sponsor</x:v>
      </x:c>
      <x:c r="I384" s="51" t="str">
        <x:v>E1</x:v>
      </x:c>
      <x:c r="J384" s="51" t="str">
        <x:v>SRC-774; SRC-779; SRC-781</x:v>
      </x:c>
      <x:c r="K384" s="51" t="str">
        <x:v>Active</x:v>
      </x:c>
    </x:row>
    <x:row r="385">
      <x:c r="A385" s="51" t="str">
        <x:v>INS-381</x:v>
      </x:c>
      <x:c r="B385" s="51" t="str">
        <x:v>SEC Treasury clearing mandate</x:v>
      </x:c>
      <x:c r="C385" s="51" t="str">
        <x:v>Mandatory Treasury central-clearing expansion</x:v>
      </x:c>
      <x:c r="D385" s="51" t="str">
        <x:v>2026–2027</x:v>
      </x:c>
      <x:c r="E385" s="51" t="str">
        <x:v>SEC; covered clearing agencies; members; Treasury participants</x:v>
      </x:c>
      <x:c r="F385" s="51" t="str">
        <x:v>Cash compliance Dec. 31, 2026; repo compliance June 30, 2027</x:v>
      </x:c>
      <x:c r="G385" s="51" t="str">
        <x:v>Rules / transactions</x:v>
      </x:c>
      <x:c r="H385" s="51" t="str">
        <x:v>Expand central clearing of eligible U.S. Treasury cash and repo transactions</x:v>
      </x:c>
      <x:c r="I385" s="51" t="str">
        <x:v>E1</x:v>
      </x:c>
      <x:c r="J385" s="51" t="str">
        <x:v>SRC-766; SRC-767</x:v>
      </x:c>
      <x:c r="K385" s="51" t="str">
        <x:v>Implementation</x:v>
      </x:c>
    </x:row>
    <x:row r="386">
      <x:c r="A386" s="51" t="str">
        <x:v>INS-382</x:v>
      </x:c>
      <x:c r="B386" s="51" t="str">
        <x:v>Rule 2a-7 money market fund framework</x:v>
      </x:c>
      <x:c r="C386" s="51" t="str">
        <x:v>Money-fund liquidity and redemption regulation</x:v>
      </x:c>
      <x:c r="D386" s="51" t="str">
        <x:v>Current 2026</x:v>
      </x:c>
      <x:c r="E386" s="51" t="str">
        <x:v>SEC; money funds; sponsors; investors</x:v>
      </x:c>
      <x:c r="F386" s="51" t="str">
        <x:v>25% daily and 50% weekly liquid asset minimums</x:v>
      </x:c>
      <x:c r="G386" s="51" t="str">
        <x:v>Liquidity / fees / disclosures</x:v>
      </x:c>
      <x:c r="H386" s="51" t="str">
        <x:v>Regulate portfolio liquidity, fees, valuation and investor redemptions</x:v>
      </x:c>
      <x:c r="I386" s="51" t="str">
        <x:v>E1</x:v>
      </x:c>
      <x:c r="J386" s="51" t="str">
        <x:v>SRC-768</x:v>
      </x:c>
      <x:c r="K386" s="51" t="str">
        <x:v>Active</x:v>
      </x:c>
    </x:row>
    <x:row r="387">
      <x:c r="A387" s="51" t="str">
        <x:v>INS-383</x:v>
      </x:c>
      <x:c r="B387" s="51" t="str">
        <x:v>U.S. money market fund asset pool</x:v>
      </x:c>
      <x:c r="C387" s="51" t="str">
        <x:v>Short-term investment-fund sector</x:v>
      </x:c>
      <x:c r="D387" s="51" t="str">
        <x:v>2026-07-22</x:v>
      </x:c>
      <x:c r="E387" s="51" t="str">
        <x:v>Money funds; investors; government and private issuers</x:v>
      </x:c>
      <x:c r="F387" s="51" t="str">
        <x:v>$7.86 trillion total assets</x:v>
      </x:c>
      <x:c r="G387" s="51" t="str">
        <x:v>USD / redeemable shares</x:v>
      </x:c>
      <x:c r="H387" s="51" t="str">
        <x:v>Pool investor cash into short-term instruments and repo</x:v>
      </x:c>
      <x:c r="I387" s="51" t="str">
        <x:v>E2</x:v>
      </x:c>
      <x:c r="J387" s="51" t="str">
        <x:v>SRC-769; SRC-776</x:v>
      </x:c>
      <x:c r="K387" s="51" t="str">
        <x:v>Current</x:v>
      </x:c>
    </x:row>
    <x:row r="388">
      <x:c r="A388" s="51" t="str">
        <x:v>INS-384</x:v>
      </x:c>
      <x:c r="B388" s="51" t="str">
        <x:v>Securities lending</x:v>
      </x:c>
      <x:c r="C388" s="51" t="str">
        <x:v>Temporary securities-transfer contract</x:v>
      </x:c>
      <x:c r="D388" s="51" t="str">
        <x:v>Ongoing</x:v>
      </x:c>
      <x:c r="E388" s="51" t="str">
        <x:v>Securities lender; borrower; agent; collateral provider</x:v>
      </x:c>
      <x:c r="F388" s="51" t="str">
        <x:v>Loan-specific</x:v>
      </x:c>
      <x:c r="G388" s="51" t="str">
        <x:v>Securities / collateral / fee</x:v>
      </x:c>
      <x:c r="H388" s="51" t="str">
        <x:v>Provide temporary use of securities for settlement, short selling and inventory management</x:v>
      </x:c>
      <x:c r="I388" s="51" t="str">
        <x:v>E1</x:v>
      </x:c>
      <x:c r="J388" s="51" t="str">
        <x:v>SRC-775</x:v>
      </x:c>
      <x:c r="K388" s="51" t="str">
        <x:v>Active</x:v>
      </x:c>
    </x:row>
    <x:row r="389">
      <x:c r="A389" s="51" t="str">
        <x:v>INS-385</x:v>
      </x:c>
      <x:c r="B389" s="51" t="str">
        <x:v>BNY tri-party and collateral-management platform</x:v>
      </x:c>
      <x:c r="C389" s="51" t="str">
        <x:v>Custody and collateral infrastructure</x:v>
      </x:c>
      <x:c r="D389" s="51" t="str">
        <x:v>2025–2026</x:v>
      </x:c>
      <x:c r="E389" s="51" t="str">
        <x:v>BNY; dealers; funds; banks; market infrastructures</x:v>
      </x:c>
      <x:c r="F389" s="51" t="str">
        <x:v>BNY reports multi-trillion-dollar collateral and post-trade activity</x:v>
      </x:c>
      <x:c r="G389" s="51" t="str">
        <x:v>USD / securities / settlement</x:v>
      </x:c>
      <x:c r="H389" s="51" t="str">
        <x:v>Value, allocate, substitute and settle collateral across repo, lending and derivatives</x:v>
      </x:c>
      <x:c r="I389" s="51" t="str">
        <x:v>E1</x:v>
      </x:c>
      <x:c r="J389" s="51" t="str">
        <x:v>SRC-784; SRC-785; SRC-786</x:v>
      </x:c>
      <x:c r="K389" s="51" t="str">
        <x:v>Active</x:v>
      </x:c>
    </x:row>
    <x:row r="390">
      <x:c r="A390" s="51" t="str">
        <x:v>INS-386</x:v>
      </x:c>
      <x:c r="B390" s="51" t="str">
        <x:v>Bank unrealised securities-loss exposure</x:v>
      </x:c>
      <x:c r="C390" s="51" t="str">
        <x:v>Interest-rate and accounting-risk measure</x:v>
      </x:c>
      <x:c r="D390" s="51" t="str">
        <x:v>2024–2026</x:v>
      </x:c>
      <x:c r="E390" s="51" t="str">
        <x:v>FDIC-insured depositories; supervisors; depositors</x:v>
      </x:c>
      <x:c r="F390" s="51" t="str">
        <x:v>$481 billion aggregate unrealised securities losses at Dec. 31, 2024</x:v>
      </x:c>
      <x:c r="G390" s="51" t="str">
        <x:v>USD / fair-value loss</x:v>
      </x:c>
      <x:c r="H390" s="51" t="str">
        <x:v>Measure interest-rate sensitivity and potential liquidity-sale losses in bank securities portfolios</x:v>
      </x:c>
      <x:c r="I390" s="51" t="str">
        <x:v>E1</x:v>
      </x:c>
      <x:c r="J390" s="51" t="str">
        <x:v>SRC-789</x:v>
      </x:c>
      <x:c r="K390" s="51" t="str">
        <x:v>Current risk reference</x:v>
      </x:c>
    </x:row>
  </x:sheetData>
  <x:mergeCells>
    <x:mergeCell ref="A1:K1"/>
    <x:mergeCell ref="A2:K2"/>
  </x:mergeCells>
  <x:conditionalFormatting sqref="I5:I390">
    <x:cfRule type="expression" dxfId="78" priority="1">
      <x:formula>I5="E1"</x:formula>
    </x:cfRule>
    <x:cfRule type="expression" dxfId="79" priority="2">
      <x:formula>I5="E2"</x:formula>
    </x:cfRule>
    <x:cfRule type="expression" dxfId="80" priority="3">
      <x:formula>I5="S1"</x:formula>
    </x:cfRule>
    <x:cfRule type="expression" dxfId="81" priority="4">
      <x:formula>I5="A1"</x:formula>
    </x:cfRule>
    <x:cfRule type="expression" dxfId="82" priority="5">
      <x:formula>I5="U1"</x:formula>
    </x:cfRule>
    <x:cfRule type="expression" dxfId="83" priority="6">
      <x:formula>I5="N1"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7501d150634e81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58" hidden="0" customWidth="1"/>
    <x:col min="4" max="4" width="58" hidden="0" customWidth="1"/>
    <x:col min="5" max="5" width="85" hidden="0" customWidth="1"/>
    <x:col min="6" max="6" width="14" hidden="0" customWidth="1"/>
    <x:col min="7" max="7" width="75" hidden="0" customWidth="1"/>
  </x:cols>
  <x:sheetData>
    <x:row r="1" ht="31" customHeight="1">
      <x:c r="A1" s="5" t="str">
        <x:v>Conversion-Mechanism Taxonomy — V17</x:v>
      </x:c>
    </x:row>
    <x:row r="2">
      <x:c r="A2" s="12" t="str">
        <x:v>Version 17, verified through 2026-07-27. Deposits, collateral, liquidity, solvency, insurance and final loss remain separate.</x:v>
      </x:c>
    </x:row>
    <x:row r="4">
      <x:c r="A4" s="50" t="str">
        <x:v>Mechanism ID</x:v>
      </x:c>
      <x:c r="B4" s="50" t="str">
        <x:v>Mechanism</x:v>
      </x:c>
      <x:c r="C4" s="50" t="str">
        <x:v>Input</x:v>
      </x:c>
      <x:c r="D4" s="50" t="str">
        <x:v>Output</x:v>
      </x:c>
      <x:c r="E4" s="50" t="str">
        <x:v>Statement</x:v>
      </x:c>
      <x:c r="F4" s="50" t="str">
        <x:v>Grade</x:v>
      </x:c>
      <x:c r="G4" s="50" t="str">
        <x:v>Limitation</x:v>
      </x:c>
    </x:row>
    <x:row r="5">
      <x:c r="A5" s="51" t="str">
        <x:v>MECH-001</x:v>
      </x:c>
      <x:c r="B5" s="51" t="str">
        <x:v>Dollar liquidity hierarchy</x:v>
      </x:c>
      <x:c r="C5" s="51" t="str">
        <x:v>Domestic currency issuance and central-bank network</x:v>
      </x:c>
      <x:c r="D5" s="51" t="str">
        <x:v>Emergency dollar liquidity</x:v>
      </x:c>
      <x:c r="E5" s="51" t="str">
        <x:v>Issuer plus selected swap partners can stabilise funding markets and reinforce currency centrality.</x:v>
      </x:c>
      <x:c r="F5" s="51" t="str">
        <x:v>S1</x:v>
      </x:c>
      <x:c r="G5" s="51" t="str">
        <x:v>Selective access and collateral; not a universal guarantee.</x:v>
      </x:c>
    </x:row>
    <x:row r="6">
      <x:c r="A6" s="51" t="str">
        <x:v>MECH-002</x:v>
      </x:c>
      <x:c r="B6" s="51" t="str">
        <x:v>Debt pipeline</x:v>
      </x:c>
      <x:c r="C6" s="51" t="str">
        <x:v>Present external finance</x:v>
      </x:c>
      <x:c r="D6" s="51" t="str">
        <x:v>Claims on future taxes, exports and policy room</x:v>
      </x:c>
      <x:c r="E6" s="51" t="str">
        <x:v>Currency, maturity and refinancing conditions transmit financial claims into future national surplus.</x:v>
      </x:c>
      <x:c r="F6" s="51" t="str">
        <x:v>S1</x:v>
      </x:c>
      <x:c r="G6" s="51" t="str">
        <x:v>Productive use and domestic choices can alter outcomes.</x:v>
      </x:c>
    </x:row>
    <x:row r="7">
      <x:c r="A7" s="51" t="str">
        <x:v>MECH-003</x:v>
      </x:c>
      <x:c r="B7" s="51" t="str">
        <x:v>Collateral hierarchy</x:v>
      </x:c>
      <x:c r="C7" s="51" t="str">
        <x:v>Existing assets</x:v>
      </x:c>
      <x:c r="D7" s="51" t="str">
        <x:v>Cheaper credit and additional ownership</x:v>
      </x:c>
      <x:c r="E7" s="51" t="str">
        <x:v>Past ownership becomes present financing advantage and future ownership concentration.</x:v>
      </x:c>
      <x:c r="F7" s="51" t="str">
        <x:v>S1</x:v>
      </x:c>
      <x:c r="G7" s="51" t="str">
        <x:v>Collateral also genuinely reduces lender risk.</x:v>
      </x:c>
    </x:row>
    <x:row r="8">
      <x:c r="A8" s="51" t="str">
        <x:v>MECH-004</x:v>
      </x:c>
      <x:c r="B8" s="51" t="str">
        <x:v>Delegated-governance conversion</x:v>
      </x:c>
      <x:c r="C8" s="51" t="str">
        <x:v>Beneficiary savings</x:v>
      </x:c>
      <x:c r="D8" s="51" t="str">
        <x:v>Votes, engagement and board access</x:v>
      </x:c>
      <x:c r="E8" s="51" t="str">
        <x:v>Pooled funds separate beneficial ownership from practical voting authority.</x:v>
      </x:c>
      <x:c r="F8" s="51" t="str">
        <x:v>S1</x:v>
      </x:c>
      <x:c r="G8" s="51" t="str">
        <x:v>Fiduciary law and voting choice constrain managers.</x:v>
      </x:c>
    </x:row>
    <x:row r="9">
      <x:c r="A9" s="51" t="str">
        <x:v>MECH-005</x:v>
      </x:c>
      <x:c r="B9" s="51" t="str">
        <x:v>Risk-ontology power</x:v>
      </x:c>
      <x:c r="C9" s="51" t="str">
        <x:v>Portfolio and market data</x:v>
      </x:c>
      <x:c r="D9" s="51" t="str">
        <x:v>Common representation of risk/options</x:v>
      </x:c>
      <x:c r="E9" s="51" t="str">
        <x:v>A platform can shape institutional cognition by defining objects, scenarios and workflows.</x:v>
      </x:c>
      <x:c r="F9" s="51" t="str">
        <x:v>S1</x:v>
      </x:c>
      <x:c r="G9" s="51" t="str">
        <x:v>Users remain responsible and can supplement models.</x:v>
      </x:c>
    </x:row>
    <x:row r="10">
      <x:c r="A10" s="51" t="str">
        <x:v>MECH-006</x:v>
      </x:c>
      <x:c r="B10" s="51" t="str">
        <x:v>Resource-to-strategic-asset conversion</x:v>
      </x:c>
      <x:c r="C10" s="51" t="str">
        <x:v>Hydrocarbon/public surplus</x:v>
      </x:c>
      <x:c r="D10" s="51" t="str">
        <x:v>Global ownership, technology and compute</x:v>
      </x:c>
      <x:c r="E10" s="51" t="str">
        <x:v>Sovereign funds convert resource rents into diversified productive capacity.</x:v>
      </x:c>
      <x:c r="F10" s="51" t="str">
        <x:v>S1</x:v>
      </x:c>
      <x:c r="G10" s="51" t="str">
        <x:v>Financial return and diversification explain many investments.</x:v>
      </x:c>
    </x:row>
    <x:row r="11">
      <x:c r="A11" s="51" t="str">
        <x:v>MECH-007</x:v>
      </x:c>
      <x:c r="B11" s="51" t="str">
        <x:v>Chokepoint leverage</x:v>
      </x:c>
      <x:c r="C11" s="51" t="str">
        <x:v>Control of scarce route or processing step</x:v>
      </x:c>
      <x:c r="D11" s="51" t="str">
        <x:v>Higher exit cost and bargaining leverage</x:v>
      </x:c>
      <x:c r="E11" s="51" t="str">
        <x:v>A scarce conversion step can matter more than abundant upstream ownership.</x:v>
      </x:c>
      <x:c r="F11" s="51" t="str">
        <x:v>S1</x:v>
      </x:c>
      <x:c r="G11" s="51" t="str">
        <x:v>Substitution and new investment can erode leverage.</x:v>
      </x:c>
    </x:row>
    <x:row r="12">
      <x:c r="A12" s="51" t="str">
        <x:v>MECH-008</x:v>
      </x:c>
      <x:c r="B12" s="51" t="str">
        <x:v>Epistemic conversion</x:v>
      </x:c>
      <x:c r="C12" s="51" t="str">
        <x:v>Fragmented records</x:v>
      </x:c>
      <x:c r="D12" s="51" t="str">
        <x:v>Operational entities, relationships and priorities</x:v>
      </x:c>
      <x:c r="E12" s="51" t="str">
        <x:v>Data-integration platforms create decision-ready representations.</x:v>
      </x:c>
      <x:c r="F12" s="51" t="str">
        <x:v>S1</x:v>
      </x:c>
      <x:c r="G12" s="51" t="str">
        <x:v>Representations can be wrong; authority remains distributed.</x:v>
      </x:c>
    </x:row>
    <x:row r="13">
      <x:c r="A13" s="51" t="str">
        <x:v>MECH-009</x:v>
      </x:c>
      <x:c r="B13" s="51" t="str">
        <x:v>Relational brokerage</x:v>
      </x:c>
      <x:c r="C13" s="51" t="str">
        <x:v>Separated elite communities</x:v>
      </x:c>
      <x:c r="D13" s="51" t="str">
        <x:v>Introductions, trust, information and transactions</x:v>
      </x:c>
      <x:c r="E13" s="51" t="str">
        <x:v>Brokers gain power by connecting institutions that cannot easily verify one another.</x:v>
      </x:c>
      <x:c r="F13" s="51" t="str">
        <x:v>S1</x:v>
      </x:c>
      <x:c r="G13" s="51" t="str">
        <x:v>Contact does not imply coordination, motive or crime.</x:v>
      </x:c>
    </x:row>
    <x:row r="14">
      <x:c r="A14" s="51" t="str">
        <x:v>MECH-010</x:v>
      </x:c>
      <x:c r="B14" s="51" t="str">
        <x:v>State–corporate symbiosis</x:v>
      </x:c>
      <x:c r="C14" s="51" t="str">
        <x:v>Public authority/data plus private capital/technology</x:v>
      </x:c>
      <x:c r="D14" s="51" t="str">
        <x:v>Operational capability and mutual dependence</x:v>
      </x:c>
      <x:c r="E14" s="51" t="str">
        <x:v>Complementary assets create reinforcing contracts and institutions.</x:v>
      </x:c>
      <x:c r="F14" s="51" t="str">
        <x:v>S1</x:v>
      </x:c>
      <x:c r="G14" s="51" t="str">
        <x:v>Mutual dependence is not total corporate or state control.</x:v>
      </x:c>
    </x:row>
    <x:row r="15">
      <x:c r="A15" s="51" t="str">
        <x:v>MECH-011</x:v>
      </x:c>
      <x:c r="B15" s="51" t="str">
        <x:v>Asymmetric legibility</x:v>
      </x:c>
      <x:c r="C15" s="51" t="str">
        <x:v>Population data and persistent identity</x:v>
      </x:c>
      <x:c r="D15" s="51" t="str">
        <x:v>Downward visibility with upward opacity</x:v>
      </x:c>
      <x:c r="E15" s="51" t="str">
        <x:v>Subjects become machine-readable faster than governing networks become transparent.</x:v>
      </x:c>
      <x:c r="F15" s="51" t="str">
        <x:v>S1</x:v>
      </x:c>
      <x:c r="G15" s="51" t="str">
        <x:v>Courts, audits and journalism provide partial counter-legibility.</x:v>
      </x:c>
    </x:row>
    <x:row r="16">
      <x:c r="A16" s="51" t="str">
        <x:v>MECH-012</x:v>
      </x:c>
      <x:c r="B16" s="51" t="str">
        <x:v>Cybernetic feedback</x:v>
      </x:c>
      <x:c r="C16" s="51" t="str">
        <x:v>Observation plus intervention</x:v>
      </x:c>
      <x:c r="D16" s="51" t="str">
        <x:v>Learning and revised intervention</x:v>
      </x:c>
      <x:c r="E16" s="51" t="str">
        <x:v>Institutions measure response and retain interventions that better achieve objectives.</x:v>
      </x:c>
      <x:c r="F16" s="51" t="str">
        <x:v>S1</x:v>
      </x:c>
      <x:c r="G16" s="51" t="str">
        <x:v>Gaming, errors and goal conflict create brittleness.</x:v>
      </x:c>
    </x:row>
    <x:row r="17">
      <x:c r="A17" s="51" t="str">
        <x:v>MECH-013</x:v>
      </x:c>
      <x:c r="B17" s="51" t="str">
        <x:v>Objective-function sovereignty</x:v>
      </x:c>
      <x:c r="C17" s="51" t="str">
        <x:v>Political authority</x:v>
      </x:c>
      <x:c r="D17" s="51" t="str">
        <x:v>System targets, metrics and constraints</x:v>
      </x:c>
      <x:c r="E17" s="51" t="str">
        <x:v>The power to choose what AI-enabled institutions optimise is a core form of sovereignty.</x:v>
      </x:c>
      <x:c r="F17" s="51" t="str">
        <x:v>S1</x:v>
      </x:c>
      <x:c r="G17" s="51" t="str">
        <x:v>Institutions pursue multiple conflicting objectives.</x:v>
      </x:c>
    </x:row>
    <x:row r="18">
      <x:c r="A18" s="51" t="str">
        <x:v>MECH-014</x:v>
      </x:c>
      <x:c r="B18" s="51" t="str">
        <x:v>Pre-emption advantage</x:v>
      </x:c>
      <x:c r="C18" s="51" t="str">
        <x:v>Early digital traces of organisation</x:v>
      </x:c>
      <x:c r="D18" s="51" t="str">
        <x:v>Selective intervention before visible mobilisation</x:v>
      </x:c>
      <x:c r="E18" s="51" t="str">
        <x:v>Cybernetic systems may prevent dispersed pressure becoming coordinated force.</x:v>
      </x:c>
      <x:c r="F18" s="51" t="str">
        <x:v>S1</x:v>
      </x:c>
      <x:c r="G18" s="51" t="str">
        <x:v>Prediction is imperfect and organisation can migrate offline.</x:v>
      </x:c>
    </x:row>
    <x:row r="19">
      <x:c r="A19" s="51" t="str">
        <x:v>MECH-015</x:v>
      </x:c>
      <x:c r="B19" s="51" t="str">
        <x:v>Constitutional cybernetics</x:v>
      </x:c>
      <x:c r="C19" s="51" t="str">
        <x:v>Digital state capacity</x:v>
      </x:c>
      <x:c r="D19" s="51" t="str">
        <x:v>Bounded, appealable and inspectable intervention</x:v>
      </x:c>
      <x:c r="E19" s="51" t="str">
        <x:v>Separation, purpose limits, appeal, expiry and exit preserve capacity while limiting domination.</x:v>
      </x:c>
      <x:c r="F19" s="51" t="str">
        <x:v>N1</x:v>
      </x:c>
      <x:c r="G19" s="51" t="str">
        <x:v>Safeguards require independent enforcement.</x:v>
      </x:c>
    </x:row>
    <x:row r="20">
      <x:c r="A20" s="51" t="str">
        <x:v>MECH-016</x:v>
      </x:c>
      <x:c r="B20" s="51" t="str">
        <x:v>Adaptive network power</x:v>
      </x:c>
      <x:c r="C20" s="51" t="str">
        <x:v>Dependence, conversion control, information, brokerage, enforcement and feedback</x:v>
      </x:c>
      <x:c r="D20" s="51" t="str">
        <x:v>Durable and revisable power</x:v>
      </x:c>
      <x:c r="E20" s="51" t="str">
        <x:v>Power lies in controlling enough interfaces to observe, intervene and learn without owning every asset.</x:v>
      </x:c>
      <x:c r="F20" s="51" t="str">
        <x:v>S1</x:v>
      </x:c>
      <x:c r="G20" s="51" t="str">
        <x:v>No actor controls all terms; coalitions fragment and fail.</x:v>
      </x:c>
    </x:row>
    <x:row r="21">
      <x:c r="A21" s="51" t="str">
        <x:v>MECH-017</x:v>
      </x:c>
      <x:c r="B21" s="51" t="str">
        <x:v>Office–asset reflexivity</x:v>
      </x:c>
      <x:c r="C21" s="51" t="str">
        <x:v>Political office and policy expectations</x:v>
      </x:c>
      <x:c r="D21" s="51" t="str">
        <x:v>Private asset value, fundraising and market demand</x:v>
      </x:c>
      <x:c r="E21" s="51" t="str">
        <x:v>A public officeholder's brand and regulatory authority can raise the value and network reach of family-linked financial instruments without a formally proven quid pro quo.</x:v>
      </x:c>
      <x:c r="F21" s="51" t="str">
        <x:v>S1</x:v>
      </x:c>
      <x:c r="G21" s="51" t="str">
        <x:v>Market demand may reflect ideology, speculation or genuine product utility; transaction-specific proof is required for corruption claims.</x:v>
      </x:c>
    </x:row>
    <x:row r="22">
      <x:c r="A22" s="51" t="str">
        <x:v>MECH-018</x:v>
      </x:c>
      <x:c r="B22" s="51" t="str">
        <x:v>Foreign-capital political adjacency</x:v>
      </x:c>
      <x:c r="C22" s="51" t="str">
        <x:v>Foreign sovereign/elite capital</x:v>
      </x:c>
      <x:c r="D22" s="51" t="str">
        <x:v>Ownership or large transactions with politically connected private firms</x:v>
      </x:c>
      <x:c r="E22" s="51" t="str">
        <x:v>Capital can purchase economic rights and durable access near public authority even where no explicit policy bargain is documented.</x:v>
      </x:c>
      <x:c r="F22" s="51" t="str">
        <x:v>S1</x:v>
      </x:c>
      <x:c r="G22" s="51" t="str">
        <x:v>Investment is not proof of influence purchase; governance rights, timing and communications matter.</x:v>
      </x:c>
    </x:row>
    <x:row r="23">
      <x:c r="A23" s="51" t="str">
        <x:v>MECH-019</x:v>
      </x:c>
      <x:c r="B23" s="51" t="str">
        <x:v>Philanthropic legitimacy conversion</x:v>
      </x:c>
      <x:c r="C23" s="51" t="str">
        <x:v>Private wealth and brokerage</x:v>
      </x:c>
      <x:c r="D23" s="51" t="str">
        <x:v>Scientific, humanitarian and institutional prestige</x:v>
      </x:c>
      <x:c r="E23" s="51" t="str">
        <x:v>Donations and proposed donor networks can rehabilitate or amplify an elite broker by embedding them in respected institutions.</x:v>
      </x:c>
      <x:c r="F23" s="51" t="str">
        <x:v>S1</x:v>
      </x:c>
      <x:c r="G23" s="51" t="str">
        <x:v>Recipients may seek legitimate funding and may lack knowledge of concealed wrongdoing.</x:v>
      </x:c>
    </x:row>
    <x:row r="24">
      <x:c r="A24" s="51" t="str">
        <x:v>MECH-020</x:v>
      </x:c>
      <x:c r="B24" s="51" t="str">
        <x:v>Institutional due-diligence failure</x:v>
      </x:c>
      <x:c r="C24" s="51" t="str">
        <x:v>Fragmented warnings and relationship-manager incentives</x:v>
      </x:c>
      <x:c r="D24" s="51" t="str">
        <x:v>Continued access to banking, philanthropy or academia</x:v>
      </x:c>
      <x:c r="E24" s="51" t="str">
        <x:v>Organisations can preserve a risky relationship when incentives and information are distributed across departments.</x:v>
      </x:c>
      <x:c r="F24" s="51" t="str">
        <x:v>S1</x:v>
      </x:c>
      <x:c r="G24" s="51" t="str">
        <x:v>Failure does not require a central conspiracy and responsibility differs across employees.</x:v>
      </x:c>
    </x:row>
    <x:row r="25">
      <x:c r="A25" s="51" t="str">
        <x:v>MECH-021</x:v>
      </x:c>
      <x:c r="B25" s="51" t="str">
        <x:v>Appearance inflation</x:v>
      </x:c>
      <x:c r="C25" s="51" t="str">
        <x:v>A name, photo, email, calendar entry or guest list</x:v>
      </x:c>
      <x:c r="D25" s="51" t="str">
        <x:v>Claimed close relationship or guilt</x:v>
      </x:c>
      <x:c r="E25" s="51" t="str">
        <x:v>Weak documentary adjacency is often inflated into motive, knowledge or criminal participation.</x:v>
      </x:c>
      <x:c r="F25" s="51" t="str">
        <x:v>U1</x:v>
      </x:c>
      <x:c r="G25" s="51" t="str">
        <x:v>Some appearances do lead to stronger evidence, but only through independent corroboration.</x:v>
      </x:c>
    </x:row>
    <x:row r="26">
      <x:c r="A26" s="51" t="str">
        <x:v>MECH-022</x:v>
      </x:c>
      <x:c r="B26" s="51" t="str">
        <x:v>Chronology collapse</x:v>
      </x:c>
      <x:c r="C26" s="51" t="str">
        <x:v>Relationships occurring at different dates</x:v>
      </x:c>
      <x:c r="D26" s="51" t="str">
        <x:v>Illusory simultaneous command network</x:v>
      </x:c>
      <x:c r="E26" s="51" t="str">
        <x:v>Analysts create false coordination by placing historical and current edges on one undated graph.</x:v>
      </x:c>
      <x:c r="F26" s="51" t="str">
        <x:v>U1</x:v>
      </x:c>
      <x:c r="G26" s="51" t="str">
        <x:v>Temporal graphs and start/end dates reduce but do not eliminate ambiguity.</x:v>
      </x:c>
    </x:row>
    <x:row r="27">
      <x:c r="A27" s="51" t="str">
        <x:v>MECH-023</x:v>
      </x:c>
      <x:c r="B27" s="51" t="str">
        <x:v>AI capital–compute circularity</x:v>
      </x:c>
      <x:c r="C27" s="51" t="str">
        <x:v>Model-lab demand, chip/cloud supply and strategic investment</x:v>
      </x:c>
      <x:c r="D27" s="51" t="str">
        <x:v>Mutual financing, purchase commitments and infrastructure lock-in</x:v>
      </x:c>
      <x:c r="E27" s="51" t="str">
        <x:v>Suppliers invest in model labs that commit to buying their chips or cloud, converting anticipated demand into financeable infrastructure.</x:v>
      </x:c>
      <x:c r="F27" s="51" t="str">
        <x:v>S1</x:v>
      </x:c>
      <x:c r="G27" s="51" t="str">
        <x:v>Such arrangements may accelerate useful investment but can create concentration, valuation reflexivity and counterparty risk.</x:v>
      </x:c>
    </x:row>
    <x:row r="28">
      <x:c r="A28" s="51" t="str">
        <x:v>MECH-024</x:v>
      </x:c>
      <x:c r="B28" s="51" t="str">
        <x:v>Advisory-council conversion</x:v>
      </x:c>
      <x:c r="C28" s="51" t="str">
        <x:v>Private corporate and investor status</x:v>
      </x:c>
      <x:c r="D28" s="51" t="str">
        <x:v>Privileged access to public policy formation</x:v>
      </x:c>
      <x:c r="E28" s="51" t="str">
        <x:v>Presidential councils convert elite technical reputation into formal advisory proximity to executive power.</x:v>
      </x:c>
      <x:c r="F28" s="51" t="str">
        <x:v>S1</x:v>
      </x:c>
      <x:c r="G28" s="51" t="str">
        <x:v>Advisory access is not legal command and members may disagree.</x:v>
      </x:c>
    </x:row>
    <x:row r="29">
      <x:c r="A29" s="51" t="str">
        <x:v>MECH-025</x:v>
      </x:c>
      <x:c r="B29" s="51" t="str">
        <x:v>Hybrid mission governance</x:v>
      </x:c>
      <x:c r="C29" s="51" t="str">
        <x:v>Nonprofit foundation or purpose trust plus private capital</x:v>
      </x:c>
      <x:c r="D29" s="51" t="str">
        <x:v>Plural control over a frontier AI company</x:v>
      </x:c>
      <x:c r="E29" s="51" t="str">
        <x:v>OpenAI and Anthropic use legal structures intended to preserve mission authority while raising enormous private capital.</x:v>
      </x:c>
      <x:c r="F29" s="51" t="str">
        <x:v>S1</x:v>
      </x:c>
      <x:c r="G29" s="51" t="str">
        <x:v>Formal rights may not predict practical power under financing, talent and compute constraints.</x:v>
      </x:c>
    </x:row>
    <x:row r="30">
      <x:c r="A30" s="51" t="str">
        <x:v>MECH-026</x:v>
      </x:c>
      <x:c r="B30" s="51" t="str">
        <x:v>Contract-dependence counterpower</x:v>
      </x:c>
      <x:c r="C30" s="51" t="str">
        <x:v>Government procurement and regulatory authority</x:v>
      </x:c>
      <x:c r="D30" s="51" t="str">
        <x:v>Leverage over politically active technology executives</x:v>
      </x:c>
      <x:c r="E30" s="51" t="str">
        <x:v>The state can pressure private infrastructure providers through contracts even when those firms have major political influence.</x:v>
      </x:c>
      <x:c r="F30" s="51" t="str">
        <x:v>S1</x:v>
      </x:c>
      <x:c r="G30" s="51" t="str">
        <x:v>Procurement law, courts and operational dependence constrain arbitrary action.</x:v>
      </x:c>
    </x:row>
    <x:row r="31">
      <x:c r="A31" s="51" t="str">
        <x:v>MECH-027</x:v>
      </x:c>
      <x:c r="B31" s="51" t="str">
        <x:v>Settlement finality conversion</x:v>
      </x:c>
      <x:c r="C31" s="51" t="str">
        <x:v>Payment instructions and participant balances</x:v>
      </x:c>
      <x:c r="D31" s="51" t="str">
        <x:v>Legally final central-bank or private-system settlement</x:v>
      </x:c>
      <x:c r="E31" s="51" t="str">
        <x:v>Fedwire, CHIPS and CLS turn messages and liquidity into final obligations, making payment infrastructure a constitutional layer of markets.</x:v>
      </x:c>
      <x:c r="F31" s="51" t="str">
        <x:v>S1</x:v>
      </x:c>
      <x:c r="G31" s="51" t="str">
        <x:v>Finality of the payment leg does not validate the underlying commercial or political transaction.</x:v>
      </x:c>
    </x:row>
    <x:row r="32">
      <x:c r="A32" s="51" t="str">
        <x:v>MECH-028</x:v>
      </x:c>
      <x:c r="B32" s="51" t="str">
        <x:v>Liquidity compression power</x:v>
      </x:c>
      <x:c r="C32" s="51" t="str">
        <x:v>Multilateral payment obligations</x:v>
      </x:c>
      <x:c r="D32" s="51" t="str">
        <x:v>Lower prefunding and capital requirements</x:v>
      </x:c>
      <x:c r="E32" s="51" t="str">
        <x:v>Netting algorithms allow a small amount of liquidity to support a much larger volume of settled claims, concentrating operational importance in the clearing system.</x:v>
      </x:c>
      <x:c r="F32" s="51" t="str">
        <x:v>S1</x:v>
      </x:c>
      <x:c r="G32" s="51" t="str">
        <x:v>Efficiency creates dependence and systemic concentration; failures or exclusions can propagate widely.</x:v>
      </x:c>
    </x:row>
    <x:row r="33">
      <x:c r="A33" s="51" t="str">
        <x:v>MECH-029</x:v>
      </x:c>
      <x:c r="B33" s="51" t="str">
        <x:v>Custody sovereignty</x:v>
      </x:c>
      <x:c r="C33" s="51" t="str">
        <x:v>Legal ownership plus assets held through a foreign custodian</x:v>
      </x:c>
      <x:c r="D33" s="51" t="str">
        <x:v>Practical access, immobilisation or redirected income</x:v>
      </x:c>
      <x:c r="E33" s="51" t="str">
        <x:v>The jurisdiction and intermediary holding an asset can matter more in crisis than the nominal owner legal title.</x:v>
      </x:c>
      <x:c r="F33" s="51" t="str">
        <x:v>S1</x:v>
      </x:c>
      <x:c r="G33" s="51" t="str">
        <x:v>Freeze, income use and confiscation of principal remain legally distinct.</x:v>
      </x:c>
    </x:row>
    <x:row r="34">
      <x:c r="A34" s="51" t="str">
        <x:v>MECH-030</x:v>
      </x:c>
      <x:c r="B34" s="51" t="str">
        <x:v>Private dollar extension</x:v>
      </x:c>
      <x:c r="C34" s="51" t="str">
        <x:v>Treasury/cash reserves and issuer governance</x:v>
      </x:c>
      <x:c r="D34" s="51" t="str">
        <x:v>Blockchain-based dollar claims</x:v>
      </x:c>
      <x:c r="E34" s="51" t="str">
        <x:v>Stablecoin issuers extend dollar use beyond banking hours and borders while retaining reserve, redemption and administrative-control chokepoints.</x:v>
      </x:c>
      <x:c r="F34" s="51" t="str">
        <x:v>S1</x:v>
      </x:c>
      <x:c r="G34" s="51" t="str">
        <x:v>Private tokens lack central-bank finality and may carry issuer, bank, market and software risk.</x:v>
      </x:c>
    </x:row>
    <x:row r="35">
      <x:c r="A35" s="51" t="str">
        <x:v>MECH-031</x:v>
      </x:c>
      <x:c r="B35" s="51" t="str">
        <x:v>Issuer-mediated sanctions</x:v>
      </x:c>
      <x:c r="C35" s="51" t="str">
        <x:v>Government designation and address intelligence</x:v>
      </x:c>
      <x:c r="D35" s="51" t="str">
        <x:v>On-chain freeze or blacklist</x:v>
      </x:c>
      <x:c r="E35" s="51" t="str">
        <x:v>Sanctions authority reaches public blockchains when a centralised issuer can administratively immobilise tokens.</x:v>
      </x:c>
      <x:c r="F35" s="51" t="str">
        <x:v>S1</x:v>
      </x:c>
      <x:c r="G35" s="51" t="str">
        <x:v>Timing, chain ordering and non-custodial assets can limit enforcement.</x:v>
      </x:c>
    </x:row>
    <x:row r="36">
      <x:c r="A36" s="51" t="str">
        <x:v>MECH-032</x:v>
      </x:c>
      <x:c r="B36" s="51" t="str">
        <x:v>Private-credit compute finance</x:v>
      </x:c>
      <x:c r="C36" s="51" t="str">
        <x:v>Future AI lease payments</x:v>
      </x:c>
      <x:c r="D36" s="51" t="str">
        <x:v>Present acquisition of GPUs and data-centre assets</x:v>
      </x:c>
      <x:c r="E36" s="51" t="str">
        <x:v>Special-purpose vehicles and private credit move compute assets off model-lab balance sheets and make future demand financeable.</x:v>
      </x:c>
      <x:c r="F36" s="51" t="str">
        <x:v>S1</x:v>
      </x:c>
      <x:c r="G36" s="51" t="str">
        <x:v>Credit wrapping transfers risk; it does not remove obsolescence, tenant or power risk.</x:v>
      </x:c>
    </x:row>
    <x:row r="37">
      <x:c r="A37" s="51" t="str">
        <x:v>MECH-033</x:v>
      </x:c>
      <x:c r="B37" s="51" t="str">
        <x:v>Dedicated-power bypass</x:v>
      </x:c>
      <x:c r="C37" s="51" t="str">
        <x:v>Capital plus on-site generation</x:v>
      </x:c>
      <x:c r="D37" s="51" t="str">
        <x:v>Faster data-centre energisation</x:v>
      </x:c>
      <x:c r="E37" s="51" t="str">
        <x:v>Infrastructure investors increasingly combine compute ownership with generation to bypass congested public-grid queues.</x:v>
      </x:c>
      <x:c r="F37" s="51" t="str">
        <x:v>S1</x:v>
      </x:c>
      <x:c r="G37" s="51" t="str">
        <x:v>Dedicated power can create emissions, fuel and local-resource externalities.</x:v>
      </x:c>
    </x:row>
    <x:row r="38">
      <x:c r="A38" s="51" t="str">
        <x:v>MECH-034</x:v>
      </x:c>
      <x:c r="B38" s="51" t="str">
        <x:v>Memory chokepoint</x:v>
      </x:c>
      <x:c r="C38" s="51" t="str">
        <x:v>High-bandwidth-memory manufacturing</x:v>
      </x:c>
      <x:c r="D38" s="51" t="str">
        <x:v>Usable performance of advanced accelerators</x:v>
      </x:c>
      <x:c r="E38" s="51" t="str">
        <x:v>AI compute depends on memory supply, packaging and networking as well as GPU design, distributing chokepoint power across suppliers.</x:v>
      </x:c>
      <x:c r="F38" s="51" t="str">
        <x:v>S1</x:v>
      </x:c>
      <x:c r="G38" s="51" t="str">
        <x:v>Technology cycles and capacity investment can change the bottleneck.</x:v>
      </x:c>
    </x:row>
    <x:row r="39">
      <x:c r="A39" s="51" t="str">
        <x:v>MECH-035</x:v>
      </x:c>
      <x:c r="B39" s="51" t="str">
        <x:v>Defence-prime convergence</x:v>
      </x:c>
      <x:c r="C39" s="51" t="str">
        <x:v>Commercial AI software plus incumbent military systems</x:v>
      </x:c>
      <x:c r="D39" s="51" t="str">
        <x:v>Software-defined military capability</x:v>
      </x:c>
      <x:c r="E39" s="51" t="str">
        <x:v>Startups increasingly partner with or become enterprise suppliers alongside traditional defence primes rather than simply displacing them.</x:v>
      </x:c>
      <x:c r="F39" s="51" t="str">
        <x:v>S1</x:v>
      </x:c>
      <x:c r="G39" s="51" t="str">
        <x:v>Government command, doctrine and procurement law remain separate from supplier influence.</x:v>
      </x:c>
    </x:row>
    <x:row r="40">
      <x:c r="A40" s="51" t="str">
        <x:v>MECH-036</x:v>
      </x:c>
      <x:c r="B40" s="51" t="str">
        <x:v>Commodity optionality</x:v>
      </x:c>
      <x:c r="C40" s="51" t="str">
        <x:v>Trading balance sheet, storage, shipping and information</x:v>
      </x:c>
      <x:c r="D40" s="51" t="str">
        <x:v>Ability to reroute physical supply across buyers and sanctions regimes</x:v>
      </x:c>
      <x:c r="E40" s="51" t="str">
        <x:v>Commodity traders gain power from optionality across geography, time, quality, finance and logistics rather than from owning all production.</x:v>
      </x:c>
      <x:c r="F40" s="51" t="str">
        <x:v>S1</x:v>
      </x:c>
      <x:c r="G40" s="51" t="str">
        <x:v>Producer states, refiners and regulators can reduce trader rents through direct contracts.</x:v>
      </x:c>
    </x:row>
    <x:row r="41">
      <x:c r="A41" s="51" t="str">
        <x:v>MECH-037</x:v>
      </x:c>
      <x:c r="B41" s="51" t="str">
        <x:v>Insurance permissioning</x:v>
      </x:c>
      <x:c r="C41" s="51" t="str">
        <x:v>Risk classification and underwriting capital</x:v>
      </x:c>
      <x:c r="D41" s="51" t="str">
        <x:v>Practical ability and price to move through a dangerous corridor</x:v>
      </x:c>
      <x:c r="E41" s="51" t="str">
        <x:v>Marine insurance converts geopolitical risk into a tradable premium and can determine whether commerce remains financeable.</x:v>
      </x:c>
      <x:c r="F41" s="51" t="str">
        <x:v>S1</x:v>
      </x:c>
      <x:c r="G41" s="51" t="str">
        <x:v>Self-insurance, public backstops and uninsured shipping can bypass some constraints.</x:v>
      </x:c>
    </x:row>
    <x:row r="42">
      <x:c r="A42" s="51" t="str">
        <x:v>MECH-038</x:v>
      </x:c>
      <x:c r="B42" s="51" t="str">
        <x:v>Rating coordination</x:v>
      </x:c>
      <x:c r="C42" s="51" t="str">
        <x:v>Complex issuer information</x:v>
      </x:c>
      <x:c r="D42" s="51" t="str">
        <x:v>Portable score used in mandates, collateral and pricing</x:v>
      </x:c>
      <x:c r="E42" s="51" t="str">
        <x:v>Ratings coordinate dispersed investors and can become a gateway to market access without legally commanding them.</x:v>
      </x:c>
      <x:c r="F42" s="51" t="str">
        <x:v>S1</x:v>
      </x:c>
      <x:c r="G42" s="51" t="str">
        <x:v>Ratings are opinions, can lag markets and do not mechanically determine borrowing costs.</x:v>
      </x:c>
    </x:row>
    <x:row r="43">
      <x:c r="A43" s="51" t="str">
        <x:v>MECH-039</x:v>
      </x:c>
      <x:c r="B43" s="51" t="str">
        <x:v>Audit legitimacy conversion</x:v>
      </x:c>
      <x:c r="C43" s="51" t="str">
        <x:v>Private records and professional judgement</x:v>
      </x:c>
      <x:c r="D43" s="51" t="str">
        <x:v>Publicly trusted financial statements</x:v>
      </x:c>
      <x:c r="E43" s="51" t="str">
        <x:v>Audit networks create a credibility layer that allows distant investors and regulators to rely on company accounts.</x:v>
      </x:c>
      <x:c r="F43" s="51" t="str">
        <x:v>S1</x:v>
      </x:c>
      <x:c r="G43" s="51" t="str">
        <x:v>Audit is not a guarantee and concentrated markets create independence and capacity risks.</x:v>
      </x:c>
    </x:row>
    <x:row r="44">
      <x:c r="A44" s="51" t="str">
        <x:v>MECH-040</x:v>
      </x:c>
      <x:c r="B44" s="51" t="str">
        <x:v>Data-broker legibility</x:v>
      </x:c>
      <x:c r="C44" s="51" t="str">
        <x:v>Fragmented public and commercial records</x:v>
      </x:c>
      <x:c r="D44" s="51" t="str">
        <x:v>Persistent identity and risk classifications</x:v>
      </x:c>
      <x:c r="E44" s="51" t="str">
        <x:v>Private data intermediaries make people and organisations legible across institutional boundaries.</x:v>
      </x:c>
      <x:c r="F44" s="51" t="str">
        <x:v>S1</x:v>
      </x:c>
      <x:c r="G44" s="51" t="str">
        <x:v>False matches, stale data and weak appeal rights can convert error into exclusion.</x:v>
      </x:c>
    </x:row>
    <x:row r="45">
      <x:c r="A45" s="51" t="str">
        <x:v>MECH-041</x:v>
      </x:c>
      <x:c r="B45" s="51" t="str">
        <x:v>Platform evidence control</x:v>
      </x:c>
      <x:c r="C45" s="51" t="str">
        <x:v>Content-distribution system plus proprietary logs</x:v>
      </x:c>
      <x:c r="D45" s="51" t="str">
        <x:v>Limited or curated audit visibility</x:v>
      </x:c>
      <x:c r="E45" s="51" t="str">
        <x:v>Platforms govern both the political information environment and the evidence available to outsiders studying it.</x:v>
      </x:c>
      <x:c r="F45" s="51" t="str">
        <x:v>S1</x:v>
      </x:c>
      <x:c r="G45" s="51" t="str">
        <x:v>Control of access is not proof of manipulation; independent measurement is still required.</x:v>
      </x:c>
    </x:row>
    <x:row r="46">
      <x:c r="A46" s="51" t="str">
        <x:v>MECH-042</x:v>
      </x:c>
      <x:c r="B46" s="51" t="str">
        <x:v>Licence sovereignty</x:v>
      </x:c>
      <x:c r="C46" s="51" t="str">
        <x:v>Legal jurisdiction over a strategic supplier or route</x:v>
      </x:c>
      <x:c r="D46" s="51" t="str">
        <x:v>Permission, denial or conditions on a transaction</x:v>
      </x:c>
      <x:c r="E46" s="51" t="str">
        <x:v>States can exercise control without ownership by licensing exports, cable landings, spectrum, grid access or platform conduct.</x:v>
      </x:c>
      <x:c r="F46" s="51" t="str">
        <x:v>S1</x:v>
      </x:c>
      <x:c r="G46" s="51" t="str">
        <x:v>Licences can be evaded, challenged, reversed or offset through alternative suppliers and jurisdictions.</x:v>
      </x:c>
    </x:row>
    <x:row r="47">
      <x:c r="A47" s="51" t="str">
        <x:v>MECH-043</x:v>
      </x:c>
      <x:c r="B47" s="51" t="str">
        <x:v>Design-tool chokepoint</x:v>
      </x:c>
      <x:c r="C47" s="51" t="str">
        <x:v>EDA software, IP libraries and simulation workflows</x:v>
      </x:c>
      <x:c r="D47" s="51" t="str">
        <x:v>Verified manufacturable chip design</x:v>
      </x:c>
      <x:c r="E47" s="51" t="str">
        <x:v>Control of design software can constrain semiconductor capability upstream of fabrication.</x:v>
      </x:c>
      <x:c r="F47" s="51" t="str">
        <x:v>S1</x:v>
      </x:c>
      <x:c r="G47" s="51" t="str">
        <x:v>Open-source and domestic alternatives exist but advanced workflow substitution can be costly and slow.</x:v>
      </x:c>
    </x:row>
    <x:row r="48">
      <x:c r="A48" s="51" t="str">
        <x:v>MECH-044</x:v>
      </x:c>
      <x:c r="B48" s="51" t="str">
        <x:v>Foundry jurisdiction reach</x:v>
      </x:c>
      <x:c r="C48" s="51" t="str">
        <x:v>Foreign foundry using controlled technology and serving global customers</x:v>
      </x:c>
      <x:c r="D48" s="51" t="str">
        <x:v>Compliance with another state's end-use and customer rules</x:v>
      </x:c>
      <x:c r="E48" s="51" t="str">
        <x:v>Export controls can extend extraterritorially through technology origin, equipment dependencies and market access.</x:v>
      </x:c>
      <x:c r="F48" s="51" t="str">
        <x:v>S1</x:v>
      </x:c>
      <x:c r="G48" s="51" t="str">
        <x:v>Overreach can accelerate substitution and create allied-policy conflict.</x:v>
      </x:c>
    </x:row>
    <x:row r="49">
      <x:c r="A49" s="51" t="str">
        <x:v>MECH-045</x:v>
      </x:c>
      <x:c r="B49" s="51" t="str">
        <x:v>Private backbone vertical integration</x:v>
      </x:c>
      <x:c r="C49" s="51" t="str">
        <x:v>Platform or cloud cash flow</x:v>
      </x:c>
      <x:c r="D49" s="51" t="str">
        <x:v>Owned or prioritised international fibre capacity</x:v>
      </x:c>
      <x:c r="E49" s="51" t="str">
        <x:v>Hyperscalers increasingly own the cables carrying their traffic, reducing dependence on telecom intermediaries while increasing infrastructure concentration.</x:v>
      </x:c>
      <x:c r="F49" s="51" t="str">
        <x:v>S1</x:v>
      </x:c>
      <x:c r="G49" s="51" t="str">
        <x:v>Landing licences, repair fleets, shared fibres and terrestrial networks prevent complete unilateral control.</x:v>
      </x:c>
    </x:row>
    <x:row r="50">
      <x:c r="A50" s="51" t="str">
        <x:v>MECH-046</x:v>
      </x:c>
      <x:c r="B50" s="51" t="str">
        <x:v>Classified-cloud dependency</x:v>
      </x:c>
      <x:c r="C50" s="51" t="str">
        <x:v>Commercial hyperscale platform plus security accreditation</x:v>
      </x:c>
      <x:c r="D50" s="51" t="str">
        <x:v>State mission infrastructure</x:v>
      </x:c>
      <x:c r="E50" s="51" t="str">
        <x:v>Governments gain rapid scalable computing but can become dependent on proprietary APIs, personnel and release cycles.</x:v>
      </x:c>
      <x:c r="F50" s="51" t="str">
        <x:v>S1</x:v>
      </x:c>
      <x:c r="G50" s="51" t="str">
        <x:v>Multi-cloud procurement and air-gapped deployment can reduce but not eliminate lock-in.</x:v>
      </x:c>
    </x:row>
    <x:row r="51">
      <x:c r="A51" s="51" t="str">
        <x:v>MECH-047</x:v>
      </x:c>
      <x:c r="B51" s="51" t="str">
        <x:v>App-distribution permissioning</x:v>
      </x:c>
      <x:c r="C51" s="51" t="str">
        <x:v>Operating-system control</x:v>
      </x:c>
      <x:c r="D51" s="51" t="str">
        <x:v>Approval, ranking, billing and removal of third-party software</x:v>
      </x:c>
      <x:c r="E51" s="51" t="str">
        <x:v>App stores convert control of device ecosystems into quasi-regulatory authority over developers.</x:v>
      </x:c>
      <x:c r="F51" s="51" t="str">
        <x:v>S1</x:v>
      </x:c>
      <x:c r="G51" s="51" t="str">
        <x:v>Security review has legitimate benefits and alternative channels vary by jurisdiction.</x:v>
      </x:c>
    </x:row>
    <x:row r="52">
      <x:c r="A52" s="51" t="str">
        <x:v>MECH-048</x:v>
      </x:c>
      <x:c r="B52" s="51" t="str">
        <x:v>Index inclusion conversion</x:v>
      </x:c>
      <x:c r="C52" s="51" t="str">
        <x:v>Private methodology decision</x:v>
      </x:c>
      <x:c r="D52" s="51" t="str">
        <x:v>Mechanical or benchmark-sensitive capital flows</x:v>
      </x:c>
      <x:c r="E52" s="51" t="str">
        <x:v>Index providers do not manage most linked assets, but their constituent and classification decisions coordinate portfolios at scale.</x:v>
      </x:c>
      <x:c r="F52" s="51" t="str">
        <x:v>S1</x:v>
      </x:c>
      <x:c r="G52" s="51" t="str">
        <x:v>Price effects differ by liquidity, anticipation and active-manager response.</x:v>
      </x:c>
    </x:row>
    <x:row r="53">
      <x:c r="A53" s="51" t="str">
        <x:v>MECH-049</x:v>
      </x:c>
      <x:c r="B53" s="51" t="str">
        <x:v>Benchmark reference power</x:v>
      </x:c>
      <x:c r="C53" s="51" t="str">
        <x:v>A calculated reference price</x:v>
      </x:c>
      <x:c r="D53" s="51" t="str">
        <x:v>Contract settlement, valuation and risk transfer</x:v>
      </x:c>
      <x:c r="E53" s="51" t="str">
        <x:v>A benchmark's power comes from reuse across many contracts rather than ownership of the underlying commodity.</x:v>
      </x:c>
      <x:c r="F53" s="51" t="str">
        <x:v>S1</x:v>
      </x:c>
      <x:c r="G53" s="51" t="str">
        <x:v>Methodology, liquidity and manipulation risk require governance and surveillance.</x:v>
      </x:c>
    </x:row>
    <x:row r="54">
      <x:c r="A54" s="51" t="str">
        <x:v>MECH-050</x:v>
      </x:c>
      <x:c r="B54" s="51" t="str">
        <x:v>Beneficial-ownership separation</x:v>
      </x:c>
      <x:c r="C54" s="51" t="str">
        <x:v>Legal entity or trust architecture</x:v>
      </x:c>
      <x:c r="D54" s="51" t="str">
        <x:v>Separation of title, control, benefit and public visibility</x:v>
      </x:c>
      <x:c r="E54" s="51" t="str">
        <x:v>Corporate and trust law can make practical control harder to observe than registered legal ownership.</x:v>
      </x:c>
      <x:c r="F54" s="51" t="str">
        <x:v>S1</x:v>
      </x:c>
      <x:c r="G54" s="51" t="str">
        <x:v>Layering is not inherently illicit and financial institutions may possess non-public information.</x:v>
      </x:c>
    </x:row>
    <x:row r="55">
      <x:c r="A55" s="51" t="str">
        <x:v>MECH-051</x:v>
      </x:c>
      <x:c r="B55" s="51" t="str">
        <x:v>Transparency asymmetry by entity origin</x:v>
      </x:c>
      <x:c r="C55" s="51" t="str">
        <x:v>Reporting definition</x:v>
      </x:c>
      <x:c r="D55" s="51" t="str">
        <x:v>Different disclosure duties for economically similar entities</x:v>
      </x:c>
      <x:c r="E55" s="51" t="str">
        <x:v>Legal definitions can create unequal visibility between domestic and foreign companies.</x:v>
      </x:c>
      <x:c r="F55" s="51" t="str">
        <x:v>S1</x:v>
      </x:c>
      <x:c r="G55" s="51" t="str">
        <x:v>Other tax, banking and law-enforcement tools partly offset registry gaps.</x:v>
      </x:c>
    </x:row>
    <x:row r="56">
      <x:c r="A56" s="51" t="str">
        <x:v>MECH-052</x:v>
      </x:c>
      <x:c r="B56" s="51" t="str">
        <x:v>Reinsurance capacity conversion</x:v>
      </x:c>
      <x:c r="C56" s="51" t="str">
        <x:v>Diversified global balance sheet</x:v>
      </x:c>
      <x:c r="D56" s="51" t="str">
        <x:v>Additional local insurance underwriting and catastrophe capacity</x:v>
      </x:c>
      <x:c r="E56" s="51" t="str">
        <x:v>Reinsurers convert geographically diversified capital into claims-paying capacity for primary insurers.</x:v>
      </x:c>
      <x:c r="F56" s="51" t="str">
        <x:v>S1</x:v>
      </x:c>
      <x:c r="G56" s="51" t="str">
        <x:v>Exclusions, repricing and correlated catastrophes can reduce availability when most needed.</x:v>
      </x:c>
    </x:row>
    <x:row r="57">
      <x:c r="A57" s="51" t="str">
        <x:v>MECH-053</x:v>
      </x:c>
      <x:c r="B57" s="51" t="str">
        <x:v>Grid interconnection permissioning</x:v>
      </x:c>
      <x:c r="C57" s="51" t="str">
        <x:v>Transmission capacity and tariff rules</x:v>
      </x:c>
      <x:c r="D57" s="51" t="str">
        <x:v>Timing and cost of electricity access</x:v>
      </x:c>
      <x:c r="E57" s="51" t="str">
        <x:v>For AI infrastructure, a grid connection can be as decisive as chips or capital.</x:v>
      </x:c>
      <x:c r="F57" s="51" t="str">
        <x:v>S1</x:v>
      </x:c>
      <x:c r="G57" s="51" t="str">
        <x:v>Self-generation, storage and alternative sites can reduce dependence but create new externalities.</x:v>
      </x:c>
    </x:row>
    <x:row r="58">
      <x:c r="A58" s="51" t="str">
        <x:v>MECH-054</x:v>
      </x:c>
      <x:c r="B58" s="51" t="str">
        <x:v>Root-zone coordination power</x:v>
      </x:c>
      <x:c r="C58" s="51" t="str">
        <x:v>Globally unique namespace governance</x:v>
      </x:c>
      <x:c r="D58" s="51" t="str">
        <x:v>Universal top-level-domain resolvability</x:v>
      </x:c>
      <x:c r="E58" s="51" t="str">
        <x:v>Internet naming requires a trusted coordination layer even though content and routing remain decentralised.</x:v>
      </x:c>
      <x:c r="F58" s="51" t="str">
        <x:v>S1</x:v>
      </x:c>
      <x:c r="G58" s="51" t="str">
        <x:v>Root governance cannot ordinarily control individual pages and is constrained by distributed technical actors.</x:v>
      </x:c>
    </x:row>
    <x:row r="59">
      <x:c r="A59" s="51" t="str">
        <x:v>MECH-055</x:v>
      </x:c>
      <x:c r="B59" s="51" t="str">
        <x:v>Resolver operational concentration</x:v>
      </x:c>
      <x:c r="C59" s="51" t="str">
        <x:v>Large recursive-DNS user base</x:v>
      </x:c>
      <x:c r="D59" s="51" t="str">
        <x:v>Broad access disruption from configuration error or policy action</x:v>
      </x:c>
      <x:c r="E59" s="51" t="str">
        <x:v>A widely used resolver can become an invisible dependency despite users retaining theoretical alternatives.</x:v>
      </x:c>
      <x:c r="F59" s="51" t="str">
        <x:v>S1</x:v>
      </x:c>
      <x:c r="G59" s="51" t="str">
        <x:v>Resolver competition and local caching limit total control.</x:v>
      </x:c>
    </x:row>
    <x:row r="60">
      <x:c r="A60" s="51" t="str">
        <x:v>MECH-056</x:v>
      </x:c>
      <x:c r="B60" s="51" t="str">
        <x:v>Commercial sovereign communications</x:v>
      </x:c>
      <x:c r="C60" s="51" t="str">
        <x:v>Privately owned satellite and launch stack</x:v>
      </x:c>
      <x:c r="D60" s="51" t="str">
        <x:v>Government communications and sensing capability</x:v>
      </x:c>
      <x:c r="E60" s="51" t="str">
        <x:v>States increasingly rent strategic space infrastructure from vertically integrated private suppliers.</x:v>
      </x:c>
      <x:c r="F60" s="51" t="str">
        <x:v>S1</x:v>
      </x:c>
      <x:c r="G60" s="51" t="str">
        <x:v>Contractual dependence does not transfer sovereign command, and alternative constellations may emerge.</x:v>
      </x:c>
    </x:row>
    <x:row r="61">
      <x:c r="A61" s="51" t="str">
        <x:v>MECH-057</x:v>
      </x:c>
      <x:c r="B61" s="51" t="str">
        <x:v>Patent disclosure bargain</x:v>
      </x:c>
      <x:c r="C61" s="51" t="str">
        <x:v>Technical disclosure</x:v>
      </x:c>
      <x:c r="D61" s="51" t="str">
        <x:v>Territorial exclusionary right</x:v>
      </x:c>
      <x:c r="E61" s="51" t="str">
        <x:v>Patent systems exchange public disclosure for time-limited legal rights, turning knowledge into an enforceable asset.</x:v>
      </x:c>
      <x:c r="F61" s="51" t="str">
        <x:v>S1</x:v>
      </x:c>
      <x:c r="G61" s="51" t="str">
        <x:v>Patent quality, claim breadth, litigation capacity and jurisdiction determine practical power.</x:v>
      </x:c>
    </x:row>
    <x:row r="62">
      <x:c r="A62" s="51" t="str">
        <x:v>MECH-058</x:v>
      </x:c>
      <x:c r="B62" s="51" t="str">
        <x:v>Trade-secret enclosure</x:v>
      </x:c>
      <x:c r="C62" s="51" t="str">
        <x:v>Non-public know-how and organisational controls</x:v>
      </x:c>
      <x:c r="D62" s="51" t="str">
        <x:v>Exclusion without publication</x:v>
      </x:c>
      <x:c r="E62" s="51" t="str">
        <x:v>Firms can preserve advantages through secrecy, access controls and employment agreements rather than patents.</x:v>
      </x:c>
      <x:c r="F62" s="51" t="str">
        <x:v>S1</x:v>
      </x:c>
      <x:c r="G62" s="51" t="str">
        <x:v>Independent discovery and lawful reverse engineering can limit protection.</x:v>
      </x:c>
    </x:row>
    <x:row r="63">
      <x:c r="A63" s="51" t="str">
        <x:v>MECH-059</x:v>
      </x:c>
      <x:c r="B63" s="51" t="str">
        <x:v>Architecture royalty tollbooth</x:v>
      </x:c>
      <x:c r="C63" s="51" t="str">
        <x:v>Widely adopted instruction-set and software ecosystem</x:v>
      </x:c>
      <x:c r="D63" s="51" t="str">
        <x:v>Recurring licence and per-unit royalty income</x:v>
      </x:c>
      <x:c r="E63" s="51" t="str">
        <x:v>Processor-IP firms can capture value from global hardware production without owning fabs or end products.</x:v>
      </x:c>
      <x:c r="F63" s="51" t="str">
        <x:v>S1</x:v>
      </x:c>
      <x:c r="G63" s="51" t="str">
        <x:v>Open standards, alternative architectures and customer bargaining constrain rents.</x:v>
      </x:c>
    </x:row>
    <x:row r="64">
      <x:c r="A64" s="51" t="str">
        <x:v>MECH-060</x:v>
      </x:c>
      <x:c r="B64" s="51" t="str">
        <x:v>Open-standard counterpower</x:v>
      </x:c>
      <x:c r="C64" s="51" t="str">
        <x:v>Public specification plus neutral governance</x:v>
      </x:c>
      <x:c r="D64" s="51" t="str">
        <x:v>Multiple implementers and lower architecture exit cost</x:v>
      </x:c>
      <x:c r="E64" s="51" t="str">
        <x:v>Open standards reduce dependence on a single licensor while leaving implementation, verification and software bottlenecks intact.</x:v>
      </x:c>
      <x:c r="F64" s="51" t="str">
        <x:v>S1</x:v>
      </x:c>
      <x:c r="G64" s="51" t="str">
        <x:v>Openness at one layer does not make the full stack open or inexpensive.</x:v>
      </x:c>
    </x:row>
    <x:row r="65">
      <x:c r="A65" s="51" t="str">
        <x:v>MECH-061</x:v>
      </x:c>
      <x:c r="B65" s="51" t="str">
        <x:v>Standards-to-procurement conversion</x:v>
      </x:c>
      <x:c r="C65" s="51" t="str">
        <x:v>Voluntary technical framework</x:v>
      </x:c>
      <x:c r="D65" s="51" t="str">
        <x:v>Contractual or regulatory eligibility requirement</x:v>
      </x:c>
      <x:c r="E65" s="51" t="str">
        <x:v>A voluntary standard becomes coercive in practice when buyers, insurers or regulators require conformity.</x:v>
      </x:c>
      <x:c r="F65" s="51" t="str">
        <x:v>S1</x:v>
      </x:c>
      <x:c r="G65" s="51" t="str">
        <x:v>Adoption can improve safety but may entrench incumbents able to afford compliance.</x:v>
      </x:c>
    </x:row>
    <x:row r="66">
      <x:c r="A66" s="51" t="str">
        <x:v>MECH-062</x:v>
      </x:c>
      <x:c r="B66" s="51" t="str">
        <x:v>Certification trust signal</x:v>
      </x:c>
      <x:c r="C66" s="51" t="str">
        <x:v>Assessment against a standard</x:v>
      </x:c>
      <x:c r="D66" s="51" t="str">
        <x:v>Market-facing certificate or mark</x:v>
      </x:c>
      <x:c r="E66" s="51" t="str">
        <x:v>Certification converts complex technical and governance claims into a simplified signal used by purchasers and regulators.</x:v>
      </x:c>
      <x:c r="F66" s="51" t="str">
        <x:v>S1</x:v>
      </x:c>
      <x:c r="G66" s="51" t="str">
        <x:v>Scope, assessor incentives and renewal determine reliability.</x:v>
      </x:c>
    </x:row>
    <x:row r="67">
      <x:c r="A67" s="51" t="str">
        <x:v>MECH-063</x:v>
      </x:c>
      <x:c r="B67" s="51" t="str">
        <x:v>Pre-deployment standards coordination</x:v>
      </x:c>
      <x:c r="C67" s="51" t="str">
        <x:v>Industry contributions and committee consensus</x:v>
      </x:c>
      <x:c r="D67" s="51" t="str">
        <x:v>Compatible technology investment before products exist</x:v>
      </x:c>
      <x:c r="E67" s="51" t="str">
        <x:v>Standards bodies coordinate suppliers and operators around shared interfaces, reducing uncertainty while allocating agenda power.</x:v>
      </x:c>
      <x:c r="F67" s="51" t="str">
        <x:v>S1</x:v>
      </x:c>
      <x:c r="G67" s="51" t="str">
        <x:v>Consensus can be slow and dominant firms may contribute more resources.</x:v>
      </x:c>
    </x:row>
    <x:row r="68">
      <x:c r="A68" s="51" t="str">
        <x:v>MECH-064</x:v>
      </x:c>
      <x:c r="B68" s="51" t="str">
        <x:v>Public compute allocation</x:v>
      </x:c>
      <x:c r="C68" s="51" t="str">
        <x:v>Tax-funded coordination plus private contributions</x:v>
      </x:c>
      <x:c r="D68" s="51" t="str">
        <x:v>Research access to scarce models, data and compute</x:v>
      </x:c>
      <x:c r="E68" s="51" t="str">
        <x:v>Public allocation institutions can broaden who crosses the frontier-compute barrier.</x:v>
      </x:c>
      <x:c r="F68" s="51" t="str">
        <x:v>S1</x:v>
      </x:c>
      <x:c r="G68" s="51" t="str">
        <x:v>Scarcity, selection criteria and dependence on donated resources remain.</x:v>
      </x:c>
    </x:row>
    <x:row r="69">
      <x:c r="A69" s="51" t="str">
        <x:v>MECH-065</x:v>
      </x:c>
      <x:c r="B69" s="51" t="str">
        <x:v>Mission-oriented research agenda</x:v>
      </x:c>
      <x:c r="C69" s="51" t="str">
        <x:v>State strategic problem</x:v>
      </x:c>
      <x:c r="D69" s="51" t="str">
        <x:v>Funded university-industry research programme</x:v>
      </x:c>
      <x:c r="E69" s="51" t="str">
        <x:v>Government agencies translate national-security objectives into scientific funding priorities and evaluation criteria.</x:v>
      </x:c>
      <x:c r="F69" s="51" t="str">
        <x:v>S1</x:v>
      </x:c>
      <x:c r="G69" s="51" t="str">
        <x:v>Research outcomes remain uncertain and academic autonomy can be strained.</x:v>
      </x:c>
    </x:row>
    <x:row r="70">
      <x:c r="A70" s="51" t="str">
        <x:v>MECH-066</x:v>
      </x:c>
      <x:c r="B70" s="51" t="str">
        <x:v>Talent-visa sponsorship power</x:v>
      </x:c>
      <x:c r="C70" s="51" t="str">
        <x:v>Employer petition or institutional affiliation</x:v>
      </x:c>
      <x:c r="D70" s="51" t="str">
        <x:v>Conditional legal work access</x:v>
      </x:c>
      <x:c r="E70" s="51" t="str">
        <x:v>Immigration pathways convert organisational sponsorship into partial control over worker mobility and bargaining power.</x:v>
      </x:c>
      <x:c r="F70" s="51" t="str">
        <x:v>S1</x:v>
      </x:c>
      <x:c r="G70" s="51" t="str">
        <x:v>Transfer, self-petition and alternative statuses can reduce but not eliminate dependence.</x:v>
      </x:c>
    </x:row>
    <x:row r="71">
      <x:c r="A71" s="51" t="str">
        <x:v>MECH-067</x:v>
      </x:c>
      <x:c r="B71" s="51" t="str">
        <x:v>Reputation-to-mobility conversion</x:v>
      </x:c>
      <x:c r="C71" s="51" t="str">
        <x:v>Publications, awards, investment and professional recognition</x:v>
      </x:c>
      <x:c r="D71" s="51" t="str">
        <x:v>Visa or parole eligibility</x:v>
      </x:c>
      <x:c r="E71" s="51" t="str">
        <x:v>Immigration systems turn professional reputation and capital signals into legal access to national innovation systems.</x:v>
      </x:c>
      <x:c r="F71" s="51" t="str">
        <x:v>S1</x:v>
      </x:c>
      <x:c r="G71" s="51" t="str">
        <x:v>Adjudication is discretionary and can reproduce unequal access to recognised credentials.</x:v>
      </x:c>
    </x:row>
    <x:row r="72">
      <x:c r="A72" s="51" t="str">
        <x:v>MECH-068</x:v>
      </x:c>
      <x:c r="B72" s="51" t="str">
        <x:v>Lobbying intermediation</x:v>
      </x:c>
      <x:c r="C72" s="51" t="str">
        <x:v>Corporate funds and policy objectives</x:v>
      </x:c>
      <x:c r="D72" s="51" t="str">
        <x:v>Professional access, messaging and legislative advocacy</x:v>
      </x:c>
      <x:c r="E72" s="51" t="str">
        <x:v>Lobbying firms convert money and specialised relationships into repeated access to public decision processes.</x:v>
      </x:c>
      <x:c r="F72" s="51" t="str">
        <x:v>S1</x:v>
      </x:c>
      <x:c r="G72" s="51" t="str">
        <x:v>A disclosed lobbying relationship does not establish corruption or policy causation.</x:v>
      </x:c>
    </x:row>
    <x:row r="73">
      <x:c r="A73" s="51" t="str">
        <x:v>MECH-069</x:v>
      </x:c>
      <x:c r="B73" s="51" t="str">
        <x:v>Revolving-door expertise</x:v>
      </x:c>
      <x:c r="C73" s="51" t="str">
        <x:v>Former public-service experience</x:v>
      </x:c>
      <x:c r="D73" s="51" t="str">
        <x:v>Private navigation of government institutions</x:v>
      </x:c>
      <x:c r="E73" s="51" t="str">
        <x:v>Former officials can monetise knowledge of procedures, relationships and institutional language after leaving office.</x:v>
      </x:c>
      <x:c r="F73" s="51" t="str">
        <x:v>S1</x:v>
      </x:c>
      <x:c r="G73" s="51" t="str">
        <x:v>Prior service does not imply continuing authority or improper conduct.</x:v>
      </x:c>
    </x:row>
    <x:row r="74">
      <x:c r="A74" s="51" t="str">
        <x:v>MECH-070</x:v>
      </x:c>
      <x:c r="B74" s="51" t="str">
        <x:v>Disclosure-without-causation</x:v>
      </x:c>
      <x:c r="C74" s="51" t="str">
        <x:v>Lobbying registration and issue reporting</x:v>
      </x:c>
      <x:c r="D74" s="51" t="str">
        <x:v>Partial public audit trail</x:v>
      </x:c>
      <x:c r="E74" s="51" t="str">
        <x:v>Disclosure systems reveal formal advocacy channels but do not measure informal influence or causal impact.</x:v>
      </x:c>
      <x:c r="F74" s="51" t="str">
        <x:v>S1</x:v>
      </x:c>
      <x:c r="G74" s="51" t="str">
        <x:v>Amounts are estimates and reporting definitions exclude some activities.</x:v>
      </x:c>
    </x:row>
    <x:row r="75">
      <x:c r="A75" s="51" t="str">
        <x:v>MECH-071</x:v>
      </x:c>
      <x:c r="B75" s="51" t="str">
        <x:v>Entity-law jurisdiction choice</x:v>
      </x:c>
      <x:c r="C75" s="51" t="str">
        <x:v>Private organisational decision</x:v>
      </x:c>
      <x:c r="D75" s="51" t="str">
        <x:v>State-recognised entity governed by selected law</x:v>
      </x:c>
      <x:c r="E75" s="51" t="str">
        <x:v>Businesses can choose a legal home whose statutes, courts and filing systems shape governance and dispute resolution.</x:v>
      </x:c>
      <x:c r="F75" s="51" t="str">
        <x:v>S1</x:v>
      </x:c>
      <x:c r="G75" s="51" t="str">
        <x:v>Choice of incorporation does not eliminate federal law, operational jurisdictions or contractual variation.</x:v>
      </x:c>
    </x:row>
    <x:row r="76">
      <x:c r="A76" s="51" t="str">
        <x:v>MECH-072</x:v>
      </x:c>
      <x:c r="B76" s="51" t="str">
        <x:v>Delegated board control</x:v>
      </x:c>
      <x:c r="C76" s="51" t="str">
        <x:v>Dispersed stock ownership</x:v>
      </x:c>
      <x:c r="D76" s="51" t="str">
        <x:v>Concentrated managerial authority in an elected board</x:v>
      </x:c>
      <x:c r="E76" s="51" t="str">
        <x:v>Corporate law separates economic ownership from day-to-day control to reduce collective-action costs.</x:v>
      </x:c>
      <x:c r="F76" s="51" t="str">
        <x:v>S1</x:v>
      </x:c>
      <x:c r="G76" s="51" t="str">
        <x:v>Delegation creates agency risk and may be altered by dual-class structures or controlling shareholders.</x:v>
      </x:c>
    </x:row>
    <x:row r="77">
      <x:c r="A77" s="51" t="str">
        <x:v>MECH-073</x:v>
      </x:c>
      <x:c r="B77" s="51" t="str">
        <x:v>Proxy-advice compression</x:v>
      </x:c>
      <x:c r="C77" s="51" t="str">
        <x:v>Large and complex voting agenda</x:v>
      </x:c>
      <x:c r="D77" s="51" t="str">
        <x:v>Standardised recommendation and operational vote workflow</x:v>
      </x:c>
      <x:c r="E77" s="51" t="str">
        <x:v>Proxy advisers lower research costs for institutional investors while becoming influential informational intermediaries.</x:v>
      </x:c>
      <x:c r="F77" s="51" t="str">
        <x:v>S1</x:v>
      </x:c>
      <x:c r="G77" s="51" t="str">
        <x:v>Clients retain legal responsibility and may use custom policies or independent analysis.</x:v>
      </x:c>
    </x:row>
    <x:row r="78">
      <x:c r="A78" s="51" t="str">
        <x:v>MECH-074</x:v>
      </x:c>
      <x:c r="B78" s="51" t="str">
        <x:v>Nominee ownership layering</x:v>
      </x:c>
      <x:c r="C78" s="51" t="str">
        <x:v>Central depository record title</x:v>
      </x:c>
      <x:c r="D78" s="51" t="str">
        <x:v>Nested participant and customer entitlements</x:v>
      </x:c>
      <x:c r="E78" s="51" t="str">
        <x:v>Book-entry settlement scales markets by separating registered ownership from beneficial ownership.</x:v>
      </x:c>
      <x:c r="F78" s="51" t="str">
        <x:v>S1</x:v>
      </x:c>
      <x:c r="G78" s="51" t="str">
        <x:v>Layering complicates voting, reconciliation and ultimate-owner transparency.</x:v>
      </x:c>
    </x:row>
    <x:row r="79">
      <x:c r="A79" s="51" t="str">
        <x:v>MECH-075</x:v>
      </x:c>
      <x:c r="B79" s="51" t="str">
        <x:v>Collateral priority conversion</x:v>
      </x:c>
      <x:c r="C79" s="51" t="str">
        <x:v>Private security agreement plus public perfection</x:v>
      </x:c>
      <x:c r="D79" s="51" t="str">
        <x:v>Priority claim against specified assets</x:v>
      </x:c>
      <x:c r="E79" s="51" t="str">
        <x:v>Secured-transactions law converts credit into a property-like interest enforceable against competing claimants.</x:v>
      </x:c>
      <x:c r="F79" s="51" t="str">
        <x:v>S1</x:v>
      </x:c>
      <x:c r="G79" s="51" t="str">
        <x:v>Priority does not guarantee full recovery and can be avoided or subordinated in defined circumstances.</x:v>
      </x:c>
    </x:row>
    <x:row r="80">
      <x:c r="A80" s="51" t="str">
        <x:v>MECH-076</x:v>
      </x:c>
      <x:c r="B80" s="51" t="str">
        <x:v>Bankruptcy governance inversion</x:v>
      </x:c>
      <x:c r="C80" s="51" t="str">
        <x:v>Solvent-company governance structure</x:v>
      </x:c>
      <x:c r="D80" s="51" t="str">
        <x:v>Court-supervised estate governance focused on creditors and reorganisation</x:v>
      </x:c>
      <x:c r="E80" s="51" t="str">
        <x:v>Financial distress changes the relevant control coalition from shareholders and boards toward courts, lenders and creditor committees.</x:v>
      </x:c>
      <x:c r="F80" s="51" t="str">
        <x:v>S1</x:v>
      </x:c>
      <x:c r="G80" s="51" t="str">
        <x:v>Existing management may remain in possession and shareholders may retain value in some cases.</x:v>
      </x:c>
    </x:row>
    <x:row r="81">
      <x:c r="A81" s="51" t="str">
        <x:v>MECH-077</x:v>
      </x:c>
      <x:c r="B81" s="51" t="str">
        <x:v>DIP milestone power</x:v>
      </x:c>
      <x:c r="C81" s="51" t="str">
        <x:v>New post-petition liquidity</x:v>
      </x:c>
      <x:c r="D81" s="51" t="str">
        <x:v>Priority liens, budgets and restructuring deadlines</x:v>
      </x:c>
      <x:c r="E81" s="51" t="str">
        <x:v>Rescue lenders can shape the timing and feasible outcomes of reorganisation through financing conditions.</x:v>
      </x:c>
      <x:c r="F81" s="51" t="str">
        <x:v>S1</x:v>
      </x:c>
      <x:c r="G81" s="51" t="str">
        <x:v>Court approval and creditor objections constrain lender terms.</x:v>
      </x:c>
    </x:row>
    <x:row r="82">
      <x:c r="A82" s="51" t="str">
        <x:v>MECH-078</x:v>
      </x:c>
      <x:c r="B82" s="51" t="str">
        <x:v>Close-out compression</x:v>
      </x:c>
      <x:c r="C82" s="51" t="str">
        <x:v>Gross bilateral derivatives portfolio</x:v>
      </x:c>
      <x:c r="D82" s="51" t="str">
        <x:v>Single net termination amount</x:v>
      </x:c>
      <x:c r="E82" s="51" t="str">
        <x:v>Netting reduces counterparty exposure and liquidity shock by replacing many obligations with one claim.</x:v>
      </x:c>
      <x:c r="F82" s="51" t="str">
        <x:v>S1</x:v>
      </x:c>
      <x:c r="G82" s="51" t="str">
        <x:v>It can also move derivatives outside ordinary collective insolvency processes.</x:v>
      </x:c>
    </x:row>
    <x:row r="83">
      <x:c r="A83" s="51" t="str">
        <x:v>MECH-079</x:v>
      </x:c>
      <x:c r="B83" s="51" t="str">
        <x:v>Consent-based private adjudication</x:v>
      </x:c>
      <x:c r="C83" s="51" t="str">
        <x:v>Arbitration clause or treaty consent</x:v>
      </x:c>
      <x:c r="D83" s="51" t="str">
        <x:v>Binding private or international award</x:v>
      </x:c>
      <x:c r="E83" s="51" t="str">
        <x:v>Parties and states pre-select adjudicative forums whose authority activates when a dispute arises.</x:v>
      </x:c>
      <x:c r="F83" s="51" t="str">
        <x:v>S1</x:v>
      </x:c>
      <x:c r="G83" s="51" t="str">
        <x:v>National courts remain essential for enforcement, annulment and public-law limits.</x:v>
      </x:c>
    </x:row>
    <x:row r="84">
      <x:c r="A84" s="51" t="str">
        <x:v>MECH-080</x:v>
      </x:c>
      <x:c r="B84" s="51" t="str">
        <x:v>Institutional arbitration administration</x:v>
      </x:c>
      <x:c r="C84" s="51" t="str">
        <x:v>Private dispute and arbitral rules</x:v>
      </x:c>
      <x:c r="D84" s="51" t="str">
        <x:v>Constituted tribunal, procedure and scrutinised award</x:v>
      </x:c>
      <x:c r="E84" s="51" t="str">
        <x:v>Arbitral institutions provide procedural infrastructure without necessarily deciding the merits.</x:v>
      </x:c>
      <x:c r="F84" s="51" t="str">
        <x:v>S1</x:v>
      </x:c>
      <x:c r="G84" s="51" t="str">
        <x:v>Institutional quality does not guarantee correct or consistent awards.</x:v>
      </x:c>
    </x:row>
    <x:row r="85">
      <x:c r="A85" s="51" t="str">
        <x:v>MECH-081</x:v>
      </x:c>
      <x:c r="B85" s="51" t="str">
        <x:v>Collective action against holdouts</x:v>
      </x:c>
      <x:c r="C85" s="51" t="str">
        <x:v>Supermajority bondholder approval</x:v>
      </x:c>
      <x:c r="D85" s="51" t="str">
        <x:v>Binding amendment for dissenting minorities</x:v>
      </x:c>
      <x:c r="E85" s="51" t="str">
        <x:v>CACs lower the unanimity barrier that otherwise gives small creditors blocking power.</x:v>
      </x:c>
      <x:c r="F85" s="51" t="str">
        <x:v>S1</x:v>
      </x:c>
      <x:c r="G85" s="51" t="str">
        <x:v>Different series, thresholds and non-bonded debt remain coordination problems.</x:v>
      </x:c>
    </x:row>
    <x:row r="86">
      <x:c r="A86" s="51" t="str">
        <x:v>MECH-082</x:v>
      </x:c>
      <x:c r="B86" s="51" t="str">
        <x:v>Comparability bargaining</x:v>
      </x:c>
      <x:c r="C86" s="51" t="str">
        <x:v>Official creditor relief</x:v>
      </x:c>
      <x:c r="D86" s="51" t="str">
        <x:v>Pressure for private and other creditor burden-sharing</x:v>
      </x:c>
      <x:c r="E86" s="51" t="str">
        <x:v>Comparability principles seek to stop one creditor class from free-riding on another's relief.</x:v>
      </x:c>
      <x:c r="F86" s="51" t="str">
        <x:v>S1</x:v>
      </x:c>
      <x:c r="G86" s="51" t="str">
        <x:v>Measurement is contested and not equivalent to a global bankruptcy priority rule.</x:v>
      </x:c>
    </x:row>
    <x:row r="87">
      <x:c r="A87" s="51" t="str">
        <x:v>MECH-083</x:v>
      </x:c>
      <x:c r="B87" s="51" t="str">
        <x:v>Legal-claim financialisation</x:v>
      </x:c>
      <x:c r="C87" s="51" t="str">
        <x:v>Uncertain future judgment or settlement</x:v>
      </x:c>
      <x:c r="D87" s="51" t="str">
        <x:v>Present non-recourse capital and contingent ownership-like return</x:v>
      </x:c>
      <x:c r="E87" s="51" t="str">
        <x:v>Litigation finance converts legal claims into investable cash-flow exposures.</x:v>
      </x:c>
      <x:c r="F87" s="51" t="str">
        <x:v>S1</x:v>
      </x:c>
      <x:c r="G87" s="51" t="str">
        <x:v>Funding may improve access while introducing conflicts, selection effects and opacity.</x:v>
      </x:c>
    </x:row>
    <x:row r="88">
      <x:c r="A88" s="51" t="str">
        <x:v>MECH-084</x:v>
      </x:c>
      <x:c r="B88" s="51" t="str">
        <x:v>Failure-resolution forum shopping</x:v>
      </x:c>
      <x:c r="C88" s="51" t="str">
        <x:v>Choice of incorporation, bankruptcy venue, arbitration seat or governing law</x:v>
      </x:c>
      <x:c r="D88" s="51" t="str">
        <x:v>Different procedural rights and expected outcomes</x:v>
      </x:c>
      <x:c r="E88" s="51" t="str">
        <x:v>Sophisticated actors structure transactions around jurisdictions and forums with preferred rules and expertise.</x:v>
      </x:c>
      <x:c r="F88" s="51" t="str">
        <x:v>S1</x:v>
      </x:c>
      <x:c r="G88" s="51" t="str">
        <x:v>Courts can challenge abusive venue or contractual choices, and outcomes remain uncertain.</x:v>
      </x:c>
    </x:row>
    <x:row r="89">
      <x:c r="A89" s="51" t="str">
        <x:v>MECH-085</x:v>
      </x:c>
      <x:c r="B89" s="51" t="str">
        <x:v>Control-right migration under distress</x:v>
      </x:c>
      <x:c r="C89" s="51" t="str">
        <x:v>Equity governance before default</x:v>
      </x:c>
      <x:c r="D89" s="51" t="str">
        <x:v>Creditor and court influence after default</x:v>
      </x:c>
      <x:c r="E89" s="51" t="str">
        <x:v>Control follows the scarce resource needed to preserve value: votes in solvency, liquidity and priority in distress.</x:v>
      </x:c>
      <x:c r="F89" s="51" t="str">
        <x:v>S1</x:v>
      </x:c>
      <x:c r="G89" s="51" t="str">
        <x:v>The transition is gradual and varies with capital structure and enterprise value.</x:v>
      </x:c>
    </x:row>
    <x:row r="90">
      <x:c r="A90" s="51" t="str">
        <x:v>MECH-086</x:v>
      </x:c>
      <x:c r="B90" s="51" t="str">
        <x:v>Minimum-tax top-up</x:v>
      </x:c>
      <x:c r="C90" s="51" t="str">
        <x:v>Low effective tax rate in one jurisdiction</x:v>
      </x:c>
      <x:c r="D90" s="51" t="str">
        <x:v>Additional tax under domestic implementing rules</x:v>
      </x:c>
      <x:c r="E90" s="51" t="str">
        <x:v>Pillar Two reduces the value of booking in-scope income below a coordinated minimum rate.</x:v>
      </x:c>
      <x:c r="F90" s="51" t="str">
        <x:v>S1</x:v>
      </x:c>
      <x:c r="G90" s="51" t="str">
        <x:v>Implementation, safe harbours and credits vary and may create new planning margins.</x:v>
      </x:c>
    </x:row>
    <x:row r="91">
      <x:c r="A91" s="51" t="str">
        <x:v>MECH-087</x:v>
      </x:c>
      <x:c r="B91" s="51" t="str">
        <x:v>Country-reporting legibility</x:v>
      </x:c>
      <x:c r="C91" s="51" t="str">
        <x:v>Multinational accounts and activity indicators</x:v>
      </x:c>
      <x:c r="D91" s="51" t="str">
        <x:v>Jurisdiction-by-jurisdiction tax risk map</x:v>
      </x:c>
      <x:c r="E91" s="51" t="str">
        <x:v>CbC reporting makes profit, tax and substance patterns visible to multiple tax administrations.</x:v>
      </x:c>
      <x:c r="F91" s="51" t="str">
        <x:v>S1</x:v>
      </x:c>
      <x:c r="G91" s="51" t="str">
        <x:v>Aggregated data does not prove mispricing and is generally not public at company level.</x:v>
      </x:c>
    </x:row>
    <x:row r="92">
      <x:c r="A92" s="51" t="str">
        <x:v>MECH-088</x:v>
      </x:c>
      <x:c r="B92" s="51" t="str">
        <x:v>Transfer-price tax allocation</x:v>
      </x:c>
      <x:c r="C92" s="51" t="str">
        <x:v>Internal related-party price</x:v>
      </x:c>
      <x:c r="D92" s="51" t="str">
        <x:v>Taxable income divided among jurisdictions</x:v>
      </x:c>
      <x:c r="E92" s="51" t="str">
        <x:v>Arm's-length rules translate internal contracts into national tax-base allocations.</x:v>
      </x:c>
      <x:c r="F92" s="51" t="str">
        <x:v>S1</x:v>
      </x:c>
      <x:c r="G92" s="51" t="str">
        <x:v>Comparables and intangible valuation remain judgement-intensive.</x:v>
      </x:c>
    </x:row>
    <x:row r="93">
      <x:c r="A93" s="51" t="str">
        <x:v>MECH-089</x:v>
      </x:c>
      <x:c r="B93" s="51" t="str">
        <x:v>Procurement conversion</x:v>
      </x:c>
      <x:c r="C93" s="51" t="str">
        <x:v>Appropriation and agency requirement</x:v>
      </x:c>
      <x:c r="D93" s="51" t="str">
        <x:v>Private contract revenue and public delivery obligation</x:v>
      </x:c>
      <x:c r="E93" s="51" t="str">
        <x:v>Contracting officers convert public budget authority into firm-specific executable awards.</x:v>
      </x:c>
      <x:c r="F93" s="51" t="str">
        <x:v>S1</x:v>
      </x:c>
      <x:c r="G93" s="51" t="str">
        <x:v>Award value, ceiling, obligation and outlay are different quantities.</x:v>
      </x:c>
    </x:row>
    <x:row r="94">
      <x:c r="A94" s="51" t="str">
        <x:v>MECH-090</x:v>
      </x:c>
      <x:c r="B94" s="51" t="str">
        <x:v>Ceiling-obligation separation</x:v>
      </x:c>
      <x:c r="C94" s="51" t="str">
        <x:v>Maximum contract or OTA authority</x:v>
      </x:c>
      <x:c r="D94" s="51" t="str">
        <x:v>Actual task-order or milestone obligation</x:v>
      </x:c>
      <x:c r="E94" s="51" t="str">
        <x:v>Framework ceilings create optional capacity rather than guaranteed spending.</x:v>
      </x:c>
      <x:c r="F94" s="51" t="str">
        <x:v>S1</x:v>
      </x:c>
      <x:c r="G94" s="51" t="str">
        <x:v>Minimum guarantees and initial obligations may still exist.</x:v>
      </x:c>
    </x:row>
    <x:row r="95">
      <x:c r="A95" s="51" t="str">
        <x:v>MECH-091</x:v>
      </x:c>
      <x:c r="B95" s="51" t="str">
        <x:v>Flexible-agreement substitution</x:v>
      </x:c>
      <x:c r="C95" s="51" t="str">
        <x:v>FAR-based procurement constraints</x:v>
      </x:c>
      <x:c r="D95" s="51" t="str">
        <x:v>Custom OTA or similar agreement terms</x:v>
      </x:c>
      <x:c r="E95" s="51" t="str">
        <x:v>Flexible agreements can speed prototype access and negotiate IP rights differently.</x:v>
      </x:c>
      <x:c r="F95" s="51" t="str">
        <x:v>S1</x:v>
      </x:c>
      <x:c r="G95" s="51" t="str">
        <x:v>Reduced standardisation may lower transparency and cost oversight.</x:v>
      </x:c>
    </x:row>
    <x:row r="96">
      <x:c r="A96" s="51" t="str">
        <x:v>MECH-092</x:v>
      </x:c>
      <x:c r="B96" s="51" t="str">
        <x:v>Negotiated industrial subsidy</x:v>
      </x:c>
      <x:c r="C96" s="51" t="str">
        <x:v>Public appropriation plus project commitment</x:v>
      </x:c>
      <x:c r="D96" s="51" t="str">
        <x:v>Conditional grant reducing private investment cost</x:v>
      </x:c>
      <x:c r="E96" s="51" t="str">
        <x:v>A direct award exchanges fiscal support for location, capacity, workforce and milestone commitments.</x:v>
      </x:c>
      <x:c r="F96" s="51" t="str">
        <x:v>S1</x:v>
      </x:c>
      <x:c r="G96" s="51" t="str">
        <x:v>Additionality and long-term spillovers require counterfactual measurement.</x:v>
      </x:c>
    </x:row>
    <x:row r="97">
      <x:c r="A97" s="51" t="str">
        <x:v>MECH-093</x:v>
      </x:c>
      <x:c r="B97" s="51" t="str">
        <x:v>Formula tax subsidy</x:v>
      </x:c>
      <x:c r="C97" s="51" t="str">
        <x:v>Qualified investment or production</x:v>
      </x:c>
      <x:c r="D97" s="51" t="str">
        <x:v>Statutory tax credit or direct payment</x:v>
      </x:c>
      <x:c r="E97" s="51" t="str">
        <x:v>Tax expenditures allocate support through legal formulas rather than discretionary grant selection.</x:v>
      </x:c>
      <x:c r="F97" s="51" t="str">
        <x:v>S1</x:v>
      </x:c>
      <x:c r="G97" s="51" t="str">
        <x:v>Eligibility complexity and transfer markets can favour sophisticated claimants.</x:v>
      </x:c>
    </x:row>
    <x:row r="98">
      <x:c r="A98" s="51" t="str">
        <x:v>MECH-094</x:v>
      </x:c>
      <x:c r="B98" s="51" t="str">
        <x:v>Tax-credit financialisation</x:v>
      </x:c>
      <x:c r="C98" s="51" t="str">
        <x:v>Future transferable tax benefit</x:v>
      </x:c>
      <x:c r="D98" s="51" t="str">
        <x:v>Present cash from a tax-credit buyer</x:v>
      </x:c>
      <x:c r="E98" s="51" t="str">
        <x:v>Transferability turns tax expenditure into a project-finance asset.</x:v>
      </x:c>
      <x:c r="F98" s="51" t="str">
        <x:v>S1</x:v>
      </x:c>
      <x:c r="G98" s="51" t="str">
        <x:v>Pricing discounts, recapture and indemnities shift risk among private parties.</x:v>
      </x:c>
    </x:row>
    <x:row r="99">
      <x:c r="A99" s="51" t="str">
        <x:v>MECH-095</x:v>
      </x:c>
      <x:c r="B99" s="51" t="str">
        <x:v>Credit-subsidy translation</x:v>
      </x:c>
      <x:c r="C99" s="51" t="str">
        <x:v>Large face-value loan or guarantee</x:v>
      </x:c>
      <x:c r="D99" s="51" t="str">
        <x:v>Present-value budget cost</x:v>
      </x:c>
      <x:c r="E99" s="51" t="str">
        <x:v>Federal credit accounting converts contingent future cash flows into current budget authority.</x:v>
      </x:c>
      <x:c r="F99" s="51" t="str">
        <x:v>S1</x:v>
      </x:c>
      <x:c r="G99" s="51" t="str">
        <x:v>Model assumptions can understate tail, systemic or policy risk.</x:v>
      </x:c>
    </x:row>
    <x:row r="100">
      <x:c r="A100" s="51" t="str">
        <x:v>MECH-096</x:v>
      </x:c>
      <x:c r="B100" s="51" t="str">
        <x:v>Public guarantee leverage</x:v>
      </x:c>
      <x:c r="C100" s="51" t="str">
        <x:v>Sovereign or multilateral guarantee</x:v>
      </x:c>
      <x:c r="D100" s="51" t="str">
        <x:v>Larger private loan or investment capacity</x:v>
      </x:c>
      <x:c r="E100" s="51" t="str">
        <x:v>A guarantee mobilises private balance sheets by reallocating defined default or political risks.</x:v>
      </x:c>
      <x:c r="F100" s="51" t="str">
        <x:v>S1</x:v>
      </x:c>
      <x:c r="G100" s="51" t="str">
        <x:v>Guarantees can create moral hazard and do not ensure additionality.</x:v>
      </x:c>
    </x:row>
    <x:row r="101">
      <x:c r="A101" s="51" t="str">
        <x:v>MECH-097</x:v>
      </x:c>
      <x:c r="B101" s="51" t="str">
        <x:v>Industry-funded deposit backstop</x:v>
      </x:c>
      <x:c r="C101" s="51" t="str">
        <x:v>Risk-based bank assessments</x:v>
      </x:c>
      <x:c r="D101" s="51" t="str">
        <x:v>Collective insurance fund for depositor protection and resolution</x:v>
      </x:c>
      <x:c r="E101" s="51" t="str">
        <x:v>Deposit insurance mutualises idiosyncratic bank failure risk across institutions.</x:v>
      </x:c>
      <x:c r="F101" s="51" t="str">
        <x:v>S1</x:v>
      </x:c>
      <x:c r="G101" s="51" t="str">
        <x:v>Systemic losses can exceed prefunded reserves and create wider public consequences.</x:v>
      </x:c>
    </x:row>
    <x:row r="102">
      <x:c r="A102" s="51" t="str">
        <x:v>MECH-098</x:v>
      </x:c>
      <x:c r="B102" s="51" t="str">
        <x:v>Collateral-to-money conversion</x:v>
      </x:c>
      <x:c r="C102" s="51" t="str">
        <x:v>Eligible asset plus haircut</x:v>
      </x:c>
      <x:c r="D102" s="51" t="str">
        <x:v>Central-bank reserves or cash</x:v>
      </x:c>
      <x:c r="E102" s="51" t="str">
        <x:v>Lender-of-last-resort facilities convert encumberable assets into immediate monetary liquidity.</x:v>
      </x:c>
      <x:c r="F102" s="51" t="str">
        <x:v>S1</x:v>
      </x:c>
      <x:c r="G102" s="51" t="str">
        <x:v>Collateral, recourse and supervisory eligibility distinguish lending from a capital bailout.</x:v>
      </x:c>
    </x:row>
    <x:row r="103">
      <x:c r="A103" s="51" t="str">
        <x:v>MECH-099</x:v>
      </x:c>
      <x:c r="B103" s="51" t="str">
        <x:v>Collateral eligibility premium</x:v>
      </x:c>
      <x:c r="C103" s="51" t="str">
        <x:v>Central-bank acceptance rule</x:v>
      </x:c>
      <x:c r="D103" s="51" t="str">
        <x:v>Higher liquidity value for eligible assets</x:v>
      </x:c>
      <x:c r="E103" s="51" t="str">
        <x:v>Eligibility and haircut policy can change private asset demand and funding conditions.</x:v>
      </x:c>
      <x:c r="F103" s="51" t="str">
        <x:v>S1</x:v>
      </x:c>
      <x:c r="G103" s="51" t="str">
        <x:v>Market price depends on many factors beyond central-bank eligibility.</x:v>
      </x:c>
    </x:row>
    <x:row r="104">
      <x:c r="A104" s="51" t="str">
        <x:v>MECH-100</x:v>
      </x:c>
      <x:c r="B104" s="51" t="str">
        <x:v>Climate-adjusted monetary collateral</x:v>
      </x:c>
      <x:c r="C104" s="51" t="str">
        <x:v>Transition-risk metric</x:v>
      </x:c>
      <x:c r="D104" s="51" t="str">
        <x:v>Lower collateral valuation or borrowing capacity</x:v>
      </x:c>
      <x:c r="E104" s="51" t="str">
        <x:v>A central bank embeds climate risk directly into the monetary treatment of private assets.</x:v>
      </x:c>
      <x:c r="F104" s="51" t="str">
        <x:v>S1</x:v>
      </x:c>
      <x:c r="G104" s="51" t="str">
        <x:v>Risk measurement is uncertain and does not ban affected lending.</x:v>
      </x:c>
    </x:row>
    <x:row r="105">
      <x:c r="A105" s="51" t="str">
        <x:v>MECH-101</x:v>
      </x:c>
      <x:c r="B105" s="51" t="str">
        <x:v>Export-credit demand creation</x:v>
      </x:c>
      <x:c r="C105" s="51" t="str">
        <x:v>Public buyer or lender risk coverage</x:v>
      </x:c>
      <x:c r="D105" s="51" t="str">
        <x:v>Foreign purchase of national goods and services</x:v>
      </x:c>
      <x:c r="E105" s="51" t="str">
        <x:v>Export credit agencies use sovereign risk capacity to support industrial demand abroad.</x:v>
      </x:c>
      <x:c r="F105" s="51" t="str">
        <x:v>S1</x:v>
      </x:c>
      <x:c r="G105" s="51" t="str">
        <x:v>Supported exports may displace other suppliers or occur without the programme.</x:v>
      </x:c>
    </x:row>
    <x:row r="106">
      <x:c r="A106" s="51" t="str">
        <x:v>MECH-102</x:v>
      </x:c>
      <x:c r="B106" s="51" t="str">
        <x:v>Contingent public risk transfer</x:v>
      </x:c>
      <x:c r="C106" s="51" t="str">
        <x:v>Private project claim</x:v>
      </x:c>
      <x:c r="D106" s="51" t="str">
        <x:v>Potential future public payment</x:v>
      </x:c>
      <x:c r="E106" s="51" t="str">
        <x:v>Guarantees move specified tail risks to taxpayers or public reserves before any cash loss occurs.</x:v>
      </x:c>
      <x:c r="F106" s="51" t="str">
        <x:v>S1</x:v>
      </x:c>
      <x:c r="G106" s="51" t="str">
        <x:v>Fees and recoveries can offset losses, and exposure is not equivalent to expected cost.</x:v>
      </x:c>
    </x:row>
    <x:row r="107">
      <x:c r="A107" s="51" t="str">
        <x:v>MECH-103</x:v>
      </x:c>
      <x:c r="B107" s="51" t="str">
        <x:v>Zoning-value conversion</x:v>
      </x:c>
      <x:c r="C107" s="51" t="str">
        <x:v>Administrative development permission</x:v>
      </x:c>
      <x:c r="D107" s="51" t="str">
        <x:v>Increase or reduction in lawful buildable area and land value</x:v>
      </x:c>
      <x:c r="E107" s="51" t="str">
        <x:v>Zoning and special permits change the economic productivity of a parcel without changing title.</x:v>
      </x:c>
      <x:c r="F107" s="51" t="str">
        <x:v>S1</x:v>
      </x:c>
      <x:c r="G107" s="51" t="str">
        <x:v>Market demand, construction cost and financing determine realised value.</x:v>
      </x:c>
    </x:row>
    <x:row r="108">
      <x:c r="A108" s="51" t="str">
        <x:v>MECH-104</x:v>
      </x:c>
      <x:c r="B108" s="51" t="str">
        <x:v>Development-right financialisation</x:v>
      </x:c>
      <x:c r="C108" s="51" t="str">
        <x:v>Unused floor-area entitlement</x:v>
      </x:c>
      <x:c r="D108" s="51" t="str">
        <x:v>Transferable development capacity</x:v>
      </x:c>
      <x:c r="E108" s="51" t="str">
        <x:v>Transfer-of-development-right systems turn regulatory permission into a separable transaction asset.</x:v>
      </x:c>
      <x:c r="F108" s="51" t="str">
        <x:v>S1</x:v>
      </x:c>
      <x:c r="G108" s="51" t="str">
        <x:v>Rights are highly jurisdiction- and parcel-specific.</x:v>
      </x:c>
    </x:row>
    <x:row r="109">
      <x:c r="A109" s="51" t="str">
        <x:v>MECH-105</x:v>
      </x:c>
      <x:c r="B109" s="51" t="str">
        <x:v>Record-title legibility</x:v>
      </x:c>
      <x:c r="C109" s="51" t="str">
        <x:v>Executed deed or mortgage</x:v>
      </x:c>
      <x:c r="D109" s="51" t="str">
        <x:v>Public chronological property claim</x:v>
      </x:c>
      <x:c r="E109" s="51" t="str">
        <x:v>Recording systems make property interests searchable and priority-relevant.</x:v>
      </x:c>
      <x:c r="F109" s="51" t="str">
        <x:v>S1</x:v>
      </x:c>
      <x:c r="G109" s="51" t="str">
        <x:v>Public notice does not prove beneficial ownership or validity.</x:v>
      </x:c>
    </x:row>
    <x:row r="110">
      <x:c r="A110" s="51" t="str">
        <x:v>MECH-106</x:v>
      </x:c>
      <x:c r="B110" s="51" t="str">
        <x:v>Title-risk insurance</x:v>
      </x:c>
      <x:c r="C110" s="51" t="str">
        <x:v>Uncertain historic ownership and liens</x:v>
      </x:c>
      <x:c r="D110" s="51" t="str">
        <x:v>Insured lender or owner closing position</x:v>
      </x:c>
      <x:c r="E110" s="51" t="str">
        <x:v>Title insurance converts record-search uncertainty into a priced indemnity.</x:v>
      </x:c>
      <x:c r="F110" s="51" t="str">
        <x:v>S1</x:v>
      </x:c>
      <x:c r="G110" s="51" t="str">
        <x:v>Coverage exclusions and off-record risks remain.</x:v>
      </x:c>
    </x:row>
    <x:row r="111">
      <x:c r="A111" s="51" t="str">
        <x:v>MECH-107</x:v>
      </x:c>
      <x:c r="B111" s="51" t="str">
        <x:v>Private mortgage-registry substitution</x:v>
      </x:c>
      <x:c r="C111" s="51" t="str">
        <x:v>Repeated servicing and beneficial-interest transfers</x:v>
      </x:c>
      <x:c r="D111" s="51" t="str">
        <x:v>Central member-reported electronic record</x:v>
      </x:c>
      <x:c r="E111" s="51" t="str">
        <x:v>MERS reduces the need for repeated county assignments within its member network.</x:v>
      </x:c>
      <x:c r="F111" s="51" t="str">
        <x:v>S1</x:v>
      </x:c>
      <x:c r="G111" s="51" t="str">
        <x:v>It does not eliminate public recording law or member data-quality risk.</x:v>
      </x:c>
    </x:row>
    <x:row r="112">
      <x:c r="A112" s="51" t="str">
        <x:v>MECH-108</x:v>
      </x:c>
      <x:c r="B112" s="51" t="str">
        <x:v>Mortgage-income transformation</x:v>
      </x:c>
      <x:c r="C112" s="51" t="str">
        <x:v>Future household payments plus property collateral</x:v>
      </x:c>
      <x:c r="D112" s="51" t="str">
        <x:v>Present home-purchase funding</x:v>
      </x:c>
      <x:c r="E112" s="51" t="str">
        <x:v>Mortgage credit converts expected income into immediate purchasing power secured by land.</x:v>
      </x:c>
      <x:c r="F112" s="51" t="str">
        <x:v>S1</x:v>
      </x:c>
      <x:c r="G112" s="51" t="str">
        <x:v>Default and house-price risk remain with multiple parties.</x:v>
      </x:c>
    </x:row>
    <x:row r="113">
      <x:c r="A113" s="51" t="str">
        <x:v>MECH-109</x:v>
      </x:c>
      <x:c r="B113" s="51" t="str">
        <x:v>Servicing-interface power</x:v>
      </x:c>
      <x:c r="C113" s="51" t="str">
        <x:v>Capital-market mortgage claim</x:v>
      </x:c>
      <x:c r="D113" s="51" t="str">
        <x:v>Household-facing payment and default administration</x:v>
      </x:c>
      <x:c r="E113" s="51" t="str">
        <x:v>Servicers translate investor rules into escrow, assistance, fees and foreclosure decisions.</x:v>
      </x:c>
      <x:c r="F113" s="51" t="str">
        <x:v>S1</x:v>
      </x:c>
      <x:c r="G113" s="51" t="str">
        <x:v>Servicers may not own the loan and remain legally constrained.</x:v>
      </x:c>
    </x:row>
    <x:row r="114">
      <x:c r="A114" s="51" t="str">
        <x:v>MECH-110</x:v>
      </x:c>
      <x:c r="B114" s="51" t="str">
        <x:v>Agency securitization</x:v>
      </x:c>
      <x:c r="C114" s="51" t="str">
        <x:v>Pools of residential mortgages</x:v>
      </x:c>
      <x:c r="D114" s="51" t="str">
        <x:v>Tradable guaranteed mortgage-backed securities</x:v>
      </x:c>
      <x:c r="E114" s="51" t="str">
        <x:v>Fannie, Freddie and Ginnie convert household debts into liquid fixed-income instruments.</x:v>
      </x:c>
      <x:c r="F114" s="51" t="str">
        <x:v>S1</x:v>
      </x:c>
      <x:c r="G114" s="51" t="str">
        <x:v>Guaranty form and sovereign backing differ across institutions.</x:v>
      </x:c>
    </x:row>
    <x:row r="115">
      <x:c r="A115" s="51" t="str">
        <x:v>MECH-111</x:v>
      </x:c>
      <x:c r="B115" s="51" t="str">
        <x:v>Mortgage credit-risk tranching</x:v>
      </x:c>
      <x:c r="C115" s="51" t="str">
        <x:v>Reference pool default exposure</x:v>
      </x:c>
      <x:c r="D115" s="51" t="str">
        <x:v>Private investor loss tranche</x:v>
      </x:c>
      <x:c r="E115" s="51" t="str">
        <x:v>Credit-risk-transfer securities allocate defined mortgage losses to capital-market investors.</x:v>
      </x:c>
      <x:c r="F115" s="51" t="str">
        <x:v>S1</x:v>
      </x:c>
      <x:c r="G115" s="51" t="str">
        <x:v>The Enterprise may retain tail, counterparty and operational risks.</x:v>
      </x:c>
    </x:row>
    <x:row r="116">
      <x:c r="A116" s="51" t="str">
        <x:v>MECH-112</x:v>
      </x:c>
      <x:c r="B116" s="51" t="str">
        <x:v>FHLBank collateral liquidity</x:v>
      </x:c>
      <x:c r="C116" s="51" t="str">
        <x:v>Mortgage and eligible asset pledge</x:v>
      </x:c>
      <x:c r="D116" s="51" t="str">
        <x:v>Secured wholesale advance</x:v>
      </x:c>
      <x:c r="E116" s="51" t="str">
        <x:v>The FHLBank system turns mortgage collateral into institutional liquidity through member access.</x:v>
      </x:c>
      <x:c r="F116" s="51" t="str">
        <x:v>S1</x:v>
      </x:c>
      <x:c r="G116" s="51" t="str">
        <x:v>The system does not lend directly to most households.</x:v>
      </x:c>
    </x:row>
    <x:row r="117">
      <x:c r="A117" s="51" t="str">
        <x:v>MECH-113</x:v>
      </x:c>
      <x:c r="B117" s="51" t="str">
        <x:v>Conforming-limit standardisation</x:v>
      </x:c>
      <x:c r="C117" s="51" t="str">
        <x:v>Regulatory loan-size threshold</x:v>
      </x:c>
      <x:c r="D117" s="51" t="str">
        <x:v>Eligibility for Enterprise purchase</x:v>
      </x:c>
      <x:c r="E117" s="51" t="str">
        <x:v>Conforming limits divide mortgages into different funding channels and pricing ecosystems.</x:v>
      </x:c>
      <x:c r="F117" s="51" t="str">
        <x:v>S1</x:v>
      </x:c>
      <x:c r="G117" s="51" t="str">
        <x:v>Loans above the limit can still receive private or government finance.</x:v>
      </x:c>
    </x:row>
    <x:row r="118">
      <x:c r="A118" s="51" t="str">
        <x:v>MECH-114</x:v>
      </x:c>
      <x:c r="B118" s="51" t="str">
        <x:v>Rental-portfolio aggregation</x:v>
      </x:c>
      <x:c r="C118" s="51" t="str">
        <x:v>Dispersed homes and lease contracts</x:v>
      </x:c>
      <x:c r="D118" s="51" t="str">
        <x:v>Centrally financed and managed operating portfolio</x:v>
      </x:c>
      <x:c r="E118" s="51" t="str">
        <x:v>Institutional landlords achieve scale through common capital, data and property management.</x:v>
      </x:c>
      <x:c r="F118" s="51" t="str">
        <x:v>S1</x:v>
      </x:c>
      <x:c r="G118" s="51" t="str">
        <x:v>National scale does not establish local market power.</x:v>
      </x:c>
    </x:row>
    <x:row r="119">
      <x:c r="A119" s="51" t="str">
        <x:v>MECH-115</x:v>
      </x:c>
      <x:c r="B119" s="51" t="str">
        <x:v>Property-tax capitalization</x:v>
      </x:c>
      <x:c r="C119" s="51" t="str">
        <x:v>Expected recurring local tax liability</x:v>
      </x:c>
      <x:c r="D119" s="51" t="str">
        <x:v>Changed property value and household carrying cost</x:v>
      </x:c>
      <x:c r="E119" s="51" t="str">
        <x:v>Property taxes influence prices, tenure cost and local public-service capacity.</x:v>
      </x:c>
      <x:c r="F119" s="51" t="str">
        <x:v>S1</x:v>
      </x:c>
      <x:c r="G119" s="51" t="str">
        <x:v>Causal effects vary with service quality, exemptions and mobility.</x:v>
      </x:c>
    </x:row>
    <x:row r="120">
      <x:c r="A120" s="51" t="str">
        <x:v>MECH-116</x:v>
      </x:c>
      <x:c r="B120" s="51" t="str">
        <x:v>Municipal debt capitalization</x:v>
      </x:c>
      <x:c r="C120" s="51" t="str">
        <x:v>Future tax or user-charge revenue</x:v>
      </x:c>
      <x:c r="D120" s="51" t="str">
        <x:v>Present infrastructure capital</x:v>
      </x:c>
      <x:c r="E120" s="51" t="str">
        <x:v>Municipal bonds pull expected public revenues forward to finance long-lived assets.</x:v>
      </x:c>
      <x:c r="F120" s="51" t="str">
        <x:v>S1</x:v>
      </x:c>
      <x:c r="G120" s="51" t="str">
        <x:v>Debt may fund operating costs and does not guarantee productive investment.</x:v>
      </x:c>
    </x:row>
    <x:row r="121">
      <x:c r="A121" s="51" t="str">
        <x:v>MECH-117</x:v>
      </x:c>
      <x:c r="B121" s="51" t="str">
        <x:v>Municipal disclosure compression</x:v>
      </x:c>
      <x:c r="C121" s="51" t="str">
        <x:v>Heterogeneous local fiscal records</x:v>
      </x:c>
      <x:c r="D121" s="51" t="str">
        <x:v>Standard public repository linked to securities</x:v>
      </x:c>
      <x:c r="E121" s="51" t="str">
        <x:v>EMMA reduces information search costs in a fragmented public debt market.</x:v>
      </x:c>
      <x:c r="F121" s="51" t="str">
        <x:v>S1</x:v>
      </x:c>
      <x:c r="G121" s="51" t="str">
        <x:v>It does not standardise accounting quality or disclosure timeliness.</x:v>
      </x:c>
    </x:row>
    <x:row r="122">
      <x:c r="A122" s="51" t="str">
        <x:v>MECH-118</x:v>
      </x:c>
      <x:c r="B122" s="51" t="str">
        <x:v>Producer-coalition coordination</x:v>
      </x:c>
      <x:c r="C122" s="51" t="str">
        <x:v>Separate sovereign production decisions</x:v>
      </x:c>
      <x:c r="D122" s="51" t="str">
        <x:v>Coordinated supply expectations and adjustment</x:v>
      </x:c>
      <x:c r="E122" s="51" t="str">
        <x:v>OPEC+ monitoring and diplomacy can alter aggregate supply without transferring national resource ownership.</x:v>
      </x:c>
      <x:c r="F122" s="51" t="str">
        <x:v>S1</x:v>
      </x:c>
      <x:c r="G122" s="51" t="str">
        <x:v>Compliance is voluntary and market prices depend on non-coalition supply and demand.</x:v>
      </x:c>
    </x:row>
    <x:row r="123">
      <x:c r="A123" s="51" t="str">
        <x:v>MECH-119</x:v>
      </x:c>
      <x:c r="B123" s="51" t="str">
        <x:v>Resource-right securitisation</x:v>
      </x:c>
      <x:c r="C123" s="51" t="str">
        <x:v>Assigned future production cash flow</x:v>
      </x:c>
      <x:c r="D123" s="51" t="str">
        <x:v>Financeable legal asset or debt service stream</x:v>
      </x:c>
      <x:c r="E123" s="51" t="str">
        <x:v>Assignment and offtake contracts transform resource flows into capital-market claims.</x:v>
      </x:c>
      <x:c r="F123" s="51" t="str">
        <x:v>S1</x:v>
      </x:c>
      <x:c r="G123" s="51" t="str">
        <x:v>The structure does not necessarily transfer sovereign title to the reserves.</x:v>
      </x:c>
    </x:row>
    <x:row r="124">
      <x:c r="A124" s="51" t="str">
        <x:v>MECH-120</x:v>
      </x:c>
      <x:c r="B124" s="51" t="str">
        <x:v>Physical-to-benchmark compression</x:v>
      </x:c>
      <x:c r="C124" s="51" t="str">
        <x:v>Selected cargo bids, offers and trades</x:v>
      </x:c>
      <x:c r="D124" s="51" t="str">
        <x:v>Published reference price</x:v>
      </x:c>
      <x:c r="E124" s="51" t="str">
        <x:v>Price-reporting and exchange methodologies compress heterogeneous physical markets into contractible benchmarks.</x:v>
      </x:c>
      <x:c r="F124" s="51" t="str">
        <x:v>S1</x:v>
      </x:c>
      <x:c r="G124" s="51" t="str">
        <x:v>Benchmarks may not represent every grade, location or transaction.</x:v>
      </x:c>
    </x:row>
    <x:row r="125">
      <x:c r="A125" s="51" t="str">
        <x:v>MECH-121</x:v>
      </x:c>
      <x:c r="B125" s="51" t="str">
        <x:v>Benchmark indexation</x:v>
      </x:c>
      <x:c r="C125" s="51" t="str">
        <x:v>Published benchmark plus contractual differential</x:v>
      </x:c>
      <x:c r="D125" s="51" t="str">
        <x:v>Invoice price for physical cargo</x:v>
      </x:c>
      <x:c r="E125" s="51" t="str">
        <x:v>Benchmark clauses reduce negotiation cost and enable hedging across many private contracts.</x:v>
      </x:c>
      <x:c r="F125" s="51" t="str">
        <x:v>S1</x:v>
      </x:c>
      <x:c r="G125" s="51" t="str">
        <x:v>Differentials, averaging periods and optionality remain economically important.</x:v>
      </x:c>
    </x:row>
    <x:row r="126">
      <x:c r="A126" s="51" t="str">
        <x:v>MECH-122</x:v>
      </x:c>
      <x:c r="B126" s="51" t="str">
        <x:v>Merchant balance-sheet intermediation</x:v>
      </x:c>
      <x:c r="C126" s="51" t="str">
        <x:v>Producer supply and buyer demand separated by time and location</x:v>
      </x:c>
      <x:c r="D126" s="51" t="str">
        <x:v>Financed, hedged and transported commodity flow</x:v>
      </x:c>
      <x:c r="E126" s="51" t="str">
        <x:v>Commodity merchants integrate credit, logistics, storage and derivatives to bridge fragmented physical markets.</x:v>
      </x:c>
      <x:c r="F126" s="51" t="str">
        <x:v>S1</x:v>
      </x:c>
      <x:c r="G126" s="51" t="str">
        <x:v>Merchant scale does not prove benchmark control or monopoly.</x:v>
      </x:c>
    </x:row>
    <x:row r="127">
      <x:c r="A127" s="51" t="str">
        <x:v>MECH-123</x:v>
      </x:c>
      <x:c r="B127" s="51" t="str">
        <x:v>Borrowing-base liquidity</x:v>
      </x:c>
      <x:c r="C127" s="51" t="str">
        <x:v>Eligible inventory, receivables and hedges</x:v>
      </x:c>
      <x:c r="D127" s="51" t="str">
        <x:v>Revolving bank availability</x:v>
      </x:c>
      <x:c r="E127" s="51" t="str">
        <x:v>Daily collateral formulas convert moving commodity assets into working capital.</x:v>
      </x:c>
      <x:c r="F127" s="51" t="str">
        <x:v>S1</x:v>
      </x:c>
      <x:c r="G127" s="51" t="str">
        <x:v>Fraud, basis risk, operational loss and sudden price gaps can defeat controls.</x:v>
      </x:c>
    </x:row>
    <x:row r="128">
      <x:c r="A128" s="51" t="str">
        <x:v>MECH-124</x:v>
      </x:c>
      <x:c r="B128" s="51" t="str">
        <x:v>LNG mobility conversion</x:v>
      </x:c>
      <x:c r="C128" s="51" t="str">
        <x:v>Pipeline natural gas plus liquefaction</x:v>
      </x:c>
      <x:c r="D128" s="51" t="str">
        <x:v>Seaborne cargo deliverable to distant markets</x:v>
      </x:c>
      <x:c r="E128" s="51" t="str">
        <x:v>Liquefaction and specialised vessels convert regional gas into global trade.</x:v>
      </x:c>
      <x:c r="F128" s="51" t="str">
        <x:v>S1</x:v>
      </x:c>
      <x:c r="G128" s="51" t="str">
        <x:v>Capacity, boil-off, shipping and regasification costs remain.</x:v>
      </x:c>
    </x:row>
    <x:row r="129">
      <x:c r="A129" s="51" t="str">
        <x:v>MECH-125</x:v>
      </x:c>
      <x:c r="B129" s="51" t="str">
        <x:v>Long-term offtake bankability</x:v>
      </x:c>
      <x:c r="C129" s="51" t="str">
        <x:v>Future production project</x:v>
      </x:c>
      <x:c r="D129" s="51" t="str">
        <x:v>Contracted demand and financeable revenue expectations</x:v>
      </x:c>
      <x:c r="E129" s="51" t="str">
        <x:v>Long-term SPAs reduce volume risk and support project financing.</x:v>
      </x:c>
      <x:c r="F129" s="51" t="str">
        <x:v>S1</x:v>
      </x:c>
      <x:c r="G129" s="51" t="str">
        <x:v>They do not eliminate construction, price-formula or force-majeure risk.</x:v>
      </x:c>
    </x:row>
    <x:row r="130">
      <x:c r="A130" s="51" t="str">
        <x:v>MECH-126</x:v>
      </x:c>
      <x:c r="B130" s="51" t="str">
        <x:v>Persistent vessel identity</x:v>
      </x:c>
      <x:c r="C130" s="51" t="str">
        <x:v>Mobile vessel with changing name or flag</x:v>
      </x:c>
      <x:c r="D130" s="51" t="str">
        <x:v>Stable cross-registry identifier</x:v>
      </x:c>
      <x:c r="E130" s="51" t="str">
        <x:v>IMO numbers preserve traceability through many commercial and jurisdictional changes.</x:v>
      </x:c>
      <x:c r="F130" s="51" t="str">
        <x:v>S1</x:v>
      </x:c>
      <x:c r="G130" s="51" t="str">
        <x:v>Identifiers do not reveal the full beneficial ownership chain.</x:v>
      </x:c>
    </x:row>
    <x:row r="131">
      <x:c r="A131" s="51" t="str">
        <x:v>MECH-127</x:v>
      </x:c>
      <x:c r="B131" s="51" t="str">
        <x:v>Flag-jurisdiction conversion</x:v>
      </x:c>
      <x:c r="C131" s="51" t="str">
        <x:v>Private vessel and registration application</x:v>
      </x:c>
      <x:c r="D131" s="51" t="str">
        <x:v>Nationality, certificate regime and legal jurisdiction</x:v>
      </x:c>
      <x:c r="E131" s="51" t="str">
        <x:v>Ship registries convert mobile assets into nationally regulated legal objects.</x:v>
      </x:c>
      <x:c r="F131" s="51" t="str">
        <x:v>S1</x:v>
      </x:c>
      <x:c r="G131" s="51" t="str">
        <x:v>Open registry structures can separate formal flag from operational control.</x:v>
      </x:c>
    </x:row>
    <x:row r="132">
      <x:c r="A132" s="51" t="str">
        <x:v>MECH-128</x:v>
      </x:c>
      <x:c r="B132" s="51" t="str">
        <x:v>Chokepoint scarcity rent</x:v>
      </x:c>
      <x:c r="C132" s="51" t="str">
        <x:v>High-volume cargo flow through a narrow route</x:v>
      </x:c>
      <x:c r="D132" s="51" t="str">
        <x:v>Freight, insurance and security premium</x:v>
      </x:c>
      <x:c r="E132" s="51" t="str">
        <x:v>Geographic concentration increases the power of route access, protection and bypass infrastructure.</x:v>
      </x:c>
      <x:c r="F132" s="51" t="str">
        <x:v>S1</x:v>
      </x:c>
      <x:c r="G132" s="51" t="str">
        <x:v>Traffic can reroute at higher cost and flow estimates change.</x:v>
      </x:c>
    </x:row>
    <x:row r="133">
      <x:c r="A133" s="51" t="str">
        <x:v>MECH-129</x:v>
      </x:c>
      <x:c r="B133" s="51" t="str">
        <x:v>Mutual marine liability pooling</x:v>
      </x:c>
      <x:c r="C133" s="51" t="str">
        <x:v>Shipowner liability exposure</x:v>
      </x:c>
      <x:c r="D133" s="51" t="str">
        <x:v>Club cover, pooling and collective reinsurance</x:v>
      </x:c>
      <x:c r="E133" s="51" t="str">
        <x:v>P&amp;I clubs socialise low-frequency, high-severity maritime liabilities across members and reinsurers.</x:v>
      </x:c>
      <x:c r="F133" s="51" t="str">
        <x:v>S1</x:v>
      </x:c>
      <x:c r="G133" s="51" t="str">
        <x:v>Coverage remains conditional and does not include every property risk.</x:v>
      </x:c>
    </x:row>
    <x:row r="134">
      <x:c r="A134" s="51" t="str">
        <x:v>MECH-130</x:v>
      </x:c>
      <x:c r="B134" s="51" t="str">
        <x:v>Maritime-service sanctions leverage</x:v>
      </x:c>
      <x:c r="C134" s="51" t="str">
        <x:v>Coalition-controlled insurance, finance and shipping services</x:v>
      </x:c>
      <x:c r="D134" s="51" t="str">
        <x:v>Conditional market access for targeted cargoes</x:v>
      </x:c>
      <x:c r="E134" s="51" t="str">
        <x:v>Sanctions use control of service networks to influence commodity revenue without physically possessing the cargo.</x:v>
      </x:c>
      <x:c r="F134" s="51" t="str">
        <x:v>S1</x:v>
      </x:c>
      <x:c r="G134" s="51" t="str">
        <x:v>Alternative service networks and evasion can reduce effectiveness.</x:v>
      </x:c>
    </x:row>
    <x:row r="135">
      <x:c r="A135" s="51" t="str">
        <x:v>MECH-131</x:v>
      </x:c>
      <x:c r="B135" s="51" t="str">
        <x:v>Documentary payment substitution</x:v>
      </x:c>
      <x:c r="C135" s="51" t="str">
        <x:v>Importer payment promise</x:v>
      </x:c>
      <x:c r="D135" s="51" t="str">
        <x:v>Irrevocable bank undertaking against complying documents</x:v>
      </x:c>
      <x:c r="E135" s="51" t="str">
        <x:v>Letters of credit substitute bank credit for distant commercial trust.</x:v>
      </x:c>
      <x:c r="F135" s="51" t="str">
        <x:v>S1</x:v>
      </x:c>
      <x:c r="G135" s="51" t="str">
        <x:v>Banks examine documents, not the actual goods.</x:v>
      </x:c>
    </x:row>
    <x:row r="136">
      <x:c r="A136" s="51" t="str">
        <x:v>MECH-132</x:v>
      </x:c>
      <x:c r="B136" s="51" t="str">
        <x:v>Document-to-cargo control</x:v>
      </x:c>
      <x:c r="C136" s="51" t="str">
        <x:v>Transport and compliance documents</x:v>
      </x:c>
      <x:c r="D136" s="51" t="str">
        <x:v>Payment release and practical delivery control</x:v>
      </x:c>
      <x:c r="E136" s="51" t="str">
        <x:v>Documentary trade finance coordinates money transfer with evidence of shipment and cargo rights.</x:v>
      </x:c>
      <x:c r="F136" s="51" t="str">
        <x:v>S1</x:v>
      </x:c>
      <x:c r="G136" s="51" t="str">
        <x:v>Digital documents and legal title effects vary by jurisdiction.</x:v>
      </x:c>
    </x:row>
    <x:row r="137">
      <x:c r="A137" s="51" t="str">
        <x:v>MECH-133</x:v>
      </x:c>
      <x:c r="B137" s="51" t="str">
        <x:v>Warehouse-warrant financialisation</x:v>
      </x:c>
      <x:c r="C137" s="51" t="str">
        <x:v>Exchange-grade metal in licensed storage</x:v>
      </x:c>
      <x:c r="D137" s="51" t="str">
        <x:v>Tradable title and collateral instrument</x:v>
      </x:c>
      <x:c r="E137" s="51" t="str">
        <x:v>Warehouse warrants transform physical inventory into a standard settlement and finance asset.</x:v>
      </x:c>
      <x:c r="F137" s="51" t="str">
        <x:v>S1</x:v>
      </x:c>
      <x:c r="G137" s="51" t="str">
        <x:v>Storage queues, liens and off-warrant stocks remain outside the simple title representation.</x:v>
      </x:c>
    </x:row>
    <x:row r="138">
      <x:c r="A138" s="51" t="str">
        <x:v>MECH-134</x:v>
      </x:c>
      <x:c r="B138" s="51" t="str">
        <x:v>EDA-to-silicon conversion</x:v>
      </x:c>
      <x:c r="C138" s="51" t="str">
        <x:v>Chip architecture and design intent</x:v>
      </x:c>
      <x:c r="D138" s="51" t="str">
        <x:v>Verified manufacturing-ready layout</x:v>
      </x:c>
      <x:c r="E138" s="51" t="str">
        <x:v>EDA and foundry-certified flows translate abstract logic into manufacturable geometric instructions.</x:v>
      </x:c>
      <x:c r="F138" s="51" t="str">
        <x:v>S1</x:v>
      </x:c>
      <x:c r="G138" s="51" t="str">
        <x:v>Design success still depends on engineering, IP, process maturity and verification.</x:v>
      </x:c>
    </x:row>
    <x:row r="139">
      <x:c r="A139" s="51" t="str">
        <x:v>MECH-135</x:v>
      </x:c>
      <x:c r="B139" s="51" t="str">
        <x:v>Lithography bottleneck power</x:v>
      </x:c>
      <x:c r="C139" s="51" t="str">
        <x:v>Leading-edge foundry demand</x:v>
      </x:c>
      <x:c r="D139" s="51" t="str">
        <x:v>Access to scarce EUV systems and service</x:v>
      </x:c>
      <x:c r="E139" s="51" t="str">
        <x:v>A unique equipment supplier can constrain advanced-node expansion without owning the chips or fabs.</x:v>
      </x:c>
      <x:c r="F139" s="51" t="str">
        <x:v>S1</x:v>
      </x:c>
      <x:c r="G139" s="51" t="str">
        <x:v>Foundry output also depends on many non-ASML tools, materials and process capabilities.</x:v>
      </x:c>
    </x:row>
    <x:row r="140">
      <x:c r="A140" s="51" t="str">
        <x:v>MECH-136</x:v>
      </x:c>
      <x:c r="B140" s="51" t="str">
        <x:v>Advanced-packaging bottleneck</x:v>
      </x:c>
      <x:c r="C140" s="51" t="str">
        <x:v>Fabricated logic dies and HBM</x:v>
      </x:c>
      <x:c r="D140" s="51" t="str">
        <x:v>Integrated high-density accelerator package</x:v>
      </x:c>
      <x:c r="E140" s="51" t="str">
        <x:v>Packaging capacity converts separate dies into usable AI systems and can bind supply after wafer completion.</x:v>
      </x:c>
      <x:c r="F140" s="51" t="str">
        <x:v>S1</x:v>
      </x:c>
      <x:c r="G140" s="51" t="str">
        <x:v>Alternative packaging architectures and suppliers exist.</x:v>
      </x:c>
    </x:row>
    <x:row r="141">
      <x:c r="A141" s="51" t="str">
        <x:v>MECH-137</x:v>
      </x:c>
      <x:c r="B141" s="51" t="str">
        <x:v>Custom-cloud silicon internalisation</x:v>
      </x:c>
      <x:c r="C141" s="51" t="str">
        <x:v>Large recurring model workload</x:v>
      </x:c>
      <x:c r="D141" s="51" t="str">
        <x:v>Cloud-owned accelerator design</x:v>
      </x:c>
      <x:c r="E141" s="51" t="str">
        <x:v>Hyperscalers use workload scale to justify proprietary silicon and reduce external accelerator cost.</x:v>
      </x:c>
      <x:c r="F141" s="51" t="str">
        <x:v>S1</x:v>
      </x:c>
      <x:c r="G141" s="51" t="str">
        <x:v>Custom chips rarely eliminate external GPUs and foundry dependence.</x:v>
      </x:c>
    </x:row>
    <x:row r="142">
      <x:c r="A142" s="51" t="str">
        <x:v>MECH-138</x:v>
      </x:c>
      <x:c r="B142" s="51" t="str">
        <x:v>Model-to-cloud precommitment</x:v>
      </x:c>
      <x:c r="C142" s="51" t="str">
        <x:v>Expected future model demand</x:v>
      </x:c>
      <x:c r="D142" s="51" t="str">
        <x:v>Long-term contracted cloud revenue and capacity buildout</x:v>
      </x:c>
      <x:c r="E142" s="51" t="str">
        <x:v>Large cloud purchase commitments finance infrastructure before utilisation occurs.</x:v>
      </x:c>
      <x:c r="F142" s="51" t="str">
        <x:v>S1</x:v>
      </x:c>
      <x:c r="G142" s="51" t="str">
        <x:v>Committed service value is not immediate cash revenue or guaranteed utilisation.</x:v>
      </x:c>
    </x:row>
    <x:row r="143">
      <x:c r="A143" s="51" t="str">
        <x:v>MECH-139</x:v>
      </x:c>
      <x:c r="B143" s="51" t="str">
        <x:v>GPU-backed infrastructure finance</x:v>
      </x:c>
      <x:c r="C143" s="51" t="str">
        <x:v>Accelerator fleet plus customer contract</x:v>
      </x:c>
      <x:c r="D143" s="51" t="str">
        <x:v>Debt capital for data-center expansion</x:v>
      </x:c>
      <x:c r="E143" s="51" t="str">
        <x:v>Lenders treat compute hardware and contracted demand as financeable infrastructure collateral.</x:v>
      </x:c>
      <x:c r="F143" s="51" t="str">
        <x:v>S1</x:v>
      </x:c>
      <x:c r="G143" s="51" t="str">
        <x:v>Hardware obsolescence, customer concentration and residual-value risk remain.</x:v>
      </x:c>
    </x:row>
    <x:row r="144">
      <x:c r="A144" s="51" t="str">
        <x:v>MECH-140</x:v>
      </x:c>
      <x:c r="B144" s="51" t="str">
        <x:v>Neocloud concentration</x:v>
      </x:c>
      <x:c r="C144" s="51" t="str">
        <x:v>Scarce GPU access and specialised operations</x:v>
      </x:c>
      <x:c r="D144" s="51" t="str">
        <x:v>High-growth compute service with concentrated customers and suppliers</x:v>
      </x:c>
      <x:c r="E144" s="51" t="str">
        <x:v>Specialised AI clouds can scale faster than general clouds while accumulating dependency risk.</x:v>
      </x:c>
      <x:c r="F144" s="51" t="str">
        <x:v>S1</x:v>
      </x:c>
      <x:c r="G144" s="51" t="str">
        <x:v>Customer and hardware concentration may decline as the market matures.</x:v>
      </x:c>
    </x:row>
    <x:row r="145">
      <x:c r="A145" s="51" t="str">
        <x:v>MECH-141</x:v>
      </x:c>
      <x:c r="B145" s="51" t="str">
        <x:v>Sovereign-capital compute financing</x:v>
      </x:c>
      <x:c r="C145" s="51" t="str">
        <x:v>Sovereign wealth and infrastructure funds</x:v>
      </x:c>
      <x:c r="D145" s="51" t="str">
        <x:v>Equity and leverage for foreign AI data centers</x:v>
      </x:c>
      <x:c r="E145" s="51" t="str">
        <x:v>Public investment capital gains strategic exposure to compute and power without owning the models.</x:v>
      </x:c>
      <x:c r="F145" s="51" t="str">
        <x:v>S1</x:v>
      </x:c>
      <x:c r="G145" s="51" t="str">
        <x:v>Investment participation does not equal operational or policy control.</x:v>
      </x:c>
    </x:row>
    <x:row r="146">
      <x:c r="A146" s="51" t="str">
        <x:v>MECH-142</x:v>
      </x:c>
      <x:c r="B146" s="51" t="str">
        <x:v>Power-to-compute conversion</x:v>
      </x:c>
      <x:c r="C146" s="51" t="str">
        <x:v>Generation, transmission and interconnection</x:v>
      </x:c>
      <x:c r="D146" s="51" t="str">
        <x:v>Energised AI racks and model capacity</x:v>
      </x:c>
      <x:c r="E146" s="51" t="str">
        <x:v>Electricity infrastructure becomes a direct upstream input to model capability.</x:v>
      </x:c>
      <x:c r="F146" s="51" t="str">
        <x:v>S1</x:v>
      </x:c>
      <x:c r="G146" s="51" t="str">
        <x:v>Model quality also depends on algorithms, data, hardware and software efficiency.</x:v>
      </x:c>
    </x:row>
    <x:row r="147">
      <x:c r="A147" s="51" t="str">
        <x:v>MECH-143</x:v>
      </x:c>
      <x:c r="B147" s="51" t="str">
        <x:v>Dynamic-load grid externality</x:v>
      </x:c>
      <x:c r="C147" s="51" t="str">
        <x:v>Synchronised accelerator workloads</x:v>
      </x:c>
      <x:c r="D147" s="51" t="str">
        <x:v>Oscillations and grid-control requirements</x:v>
      </x:c>
      <x:c r="E147" s="51" t="str">
        <x:v>AI training can create electrical effects not captured by annual energy-consumption statistics.</x:v>
      </x:c>
      <x:c r="F147" s="51" t="str">
        <x:v>S1</x:v>
      </x:c>
      <x:c r="G147" s="51" t="str">
        <x:v>Engineering controls can mitigate many impacts.</x:v>
      </x:c>
    </x:row>
    <x:row r="148">
      <x:c r="A148" s="51" t="str">
        <x:v>MECH-144</x:v>
      </x:c>
      <x:c r="B148" s="51" t="str">
        <x:v>Long-term power bankability</x:v>
      </x:c>
      <x:c r="C148" s="51" t="str">
        <x:v>Stable hyperscaler load</x:v>
      </x:c>
      <x:c r="D148" s="51" t="str">
        <x:v>Financeable generation or plant-life extension</x:v>
      </x:c>
      <x:c r="E148" s="51" t="str">
        <x:v>Large data-center contracts can support new generation or continued operation of existing plants.</x:v>
      </x:c>
      <x:c r="F148" s="51" t="str">
        <x:v>S1</x:v>
      </x:c>
      <x:c r="G148" s="51" t="str">
        <x:v>Contract attribution does not imply physically dedicated electrons.</x:v>
      </x:c>
    </x:row>
    <x:row r="149">
      <x:c r="A149" s="51" t="str">
        <x:v>MECH-145</x:v>
      </x:c>
      <x:c r="B149" s="51" t="str">
        <x:v>Export-permission compute gate</x:v>
      </x:c>
      <x:c r="C149" s="51" t="str">
        <x:v>Advanced chip and foreign customer</x:v>
      </x:c>
      <x:c r="D149" s="51" t="str">
        <x:v>Licence, denial or conditioned access</x:v>
      </x:c>
      <x:c r="E149" s="51" t="str">
        <x:v>Export law turns technical performance and corporate identity into geopolitical permission.</x:v>
      </x:c>
      <x:c r="F149" s="51" t="str">
        <x:v>S1</x:v>
      </x:c>
      <x:c r="G149" s="51" t="str">
        <x:v>Diversion, alternative chips and policy changes complicate enforcement.</x:v>
      </x:c>
    </x:row>
    <x:row r="150">
      <x:c r="A150" s="51" t="str">
        <x:v>MECH-146</x:v>
      </x:c>
      <x:c r="B150" s="51" t="str">
        <x:v>Trusted-country AI package</x:v>
      </x:c>
      <x:c r="C150" s="51" t="str">
        <x:v>Security commitments and reciprocal investment</x:v>
      </x:c>
      <x:c r="D150" s="51" t="str">
        <x:v>Eased access to advanced chips and infrastructure cooperation</x:v>
      </x:c>
      <x:c r="E150" s="51" t="str">
        <x:v>States can exchange technology access for safeguards and capital commitments.</x:v>
      </x:c>
      <x:c r="F150" s="51" t="str">
        <x:v>S1</x:v>
      </x:c>
      <x:c r="G150" s="51" t="str">
        <x:v>Framework participation does not create unrestricted technology transfer.</x:v>
      </x:c>
    </x:row>
    <x:row r="151">
      <x:c r="A151" s="51" t="str">
        <x:v>MECH-147</x:v>
      </x:c>
      <x:c r="B151" s="51" t="str">
        <x:v>Executive conversion authority</x:v>
      </x:c>
      <x:c r="C151" s="51" t="str">
        <x:v>Formal corporate office and delegated power</x:v>
      </x:c>
      <x:c r="D151" s="51" t="str">
        <x:v>Coordinated contracts, capital allocation and product strategy</x:v>
      </x:c>
      <x:c r="E151" s="51" t="str">
        <x:v>Executives connect otherwise separate corporate resources through authorised decisions.</x:v>
      </x:c>
      <x:c r="F151" s="51" t="str">
        <x:v>S1</x:v>
      </x:c>
      <x:c r="G151" s="51" t="str">
        <x:v>Executive prominence is not proof of personal ownership or extra-legal control.</x:v>
      </x:c>
    </x:row>
    <x:row r="152">
      <x:c r="A152" s="51" t="str">
        <x:v>MECH-148</x:v>
      </x:c>
      <x:c r="B152" s="51" t="str">
        <x:v>Recursive AI infrastructure design</x:v>
      </x:c>
      <x:c r="C152" s="51" t="str">
        <x:v>AI accelerators and models</x:v>
      </x:c>
      <x:c r="D152" s="51" t="str">
        <x:v>Faster design of future chips, facilities and software</x:v>
      </x:c>
      <x:c r="E152" s="51" t="str">
        <x:v>AI compute is increasingly used to design the next generation of compute infrastructure.</x:v>
      </x:c>
      <x:c r="F152" s="51" t="str">
        <x:v>S1</x:v>
      </x:c>
      <x:c r="G152" s="51" t="str">
        <x:v>Human engineering, verification and physical manufacturing remain necessary.</x:v>
      </x:c>
    </x:row>
    <x:row r="153">
      <x:c r="A153" s="51" t="str">
        <x:v>MECH-149</x:v>
      </x:c>
      <x:c r="B153" s="51" t="str">
        <x:v>Integrated-stack coordination</x:v>
      </x:c>
      <x:c r="C153" s="51" t="str">
        <x:v>Model, cloud, custom silicon and data-center ownership within one group</x:v>
      </x:c>
      <x:c r="D153" s="51" t="str">
        <x:v>Lower transaction cost and tighter technical optimisation</x:v>
      </x:c>
      <x:c r="E153" s="51" t="str">
        <x:v>Vertical integration can improve coordination while increasing platform lock-in and internal opacity.</x:v>
      </x:c>
      <x:c r="F153" s="51" t="str">
        <x:v>S1</x:v>
      </x:c>
      <x:c r="G153" s="51" t="str">
        <x:v>Integrated firms still depend on external foundries, equipment, power and regulation.</x:v>
      </x:c>
    </x:row>
    <x:row r="154">
      <x:c r="A154" s="51" t="str">
        <x:v>MECH-150</x:v>
      </x:c>
      <x:c r="B154" s="51" t="str">
        <x:v>Community infrastructure bargaining</x:v>
      </x:c>
      <x:c r="C154" s="51" t="str">
        <x:v>Large data-center project and local approvals</x:v>
      </x:c>
      <x:c r="D154" s="51" t="str">
        <x:v>Roads, substations, taxes, jobs and community commitments</x:v>
      </x:c>
      <x:c r="E154" s="51" t="str">
        <x:v>Host communities can exchange land and infrastructure access for fiscal and employment benefits.</x:v>
      </x:c>
      <x:c r="F154" s="51" t="str">
        <x:v>S1</x:v>
      </x:c>
      <x:c r="G154" s="51" t="str">
        <x:v>Bargaining power and realised benefits vary widely by locality.</x:v>
      </x:c>
    </x:row>
    <x:row r="155">
      <x:c r="A155" s="51" t="str">
        <x:v>MECH-151</x:v>
      </x:c>
      <x:c r="B155" s="51" t="str">
        <x:v>Spectrum-to-access conversion</x:v>
      </x:c>
      <x:c r="C155" s="51" t="str">
        <x:v>Public radio-frequency allocation</x:v>
      </x:c>
      <x:c r="D155" s="51" t="str">
        <x:v>Commercial or public communications service</x:v>
      </x:c>
      <x:c r="E155" s="51" t="str">
        <x:v>Licensing converts a scarce public frequency resource into a bounded network right.</x:v>
      </x:c>
      <x:c r="F155" s="51" t="str">
        <x:v>S1</x:v>
      </x:c>
      <x:c r="G155" s="51" t="str">
        <x:v>Rights are conditional, jurisdictional and technically constrained.</x:v>
      </x:c>
    </x:row>
    <x:row r="156">
      <x:c r="A156" s="51" t="str">
        <x:v>MECH-152</x:v>
      </x:c>
      <x:c r="B156" s="51" t="str">
        <x:v>Subsea-route financialisation</x:v>
      </x:c>
      <x:c r="C156" s="51" t="str">
        <x:v>Expected international traffic demand</x:v>
      </x:c>
      <x:c r="D156" s="51" t="str">
        <x:v>Privately financed fiber pair and landing rights</x:v>
      </x:c>
      <x:c r="E156" s="51" t="str">
        <x:v>Platforms can pre-invest in routes to reduce transit cost and secure capacity.</x:v>
      </x:c>
      <x:c r="F156" s="51" t="str">
        <x:v>S1</x:v>
      </x:c>
      <x:c r="G156" s="51" t="str">
        <x:v>Project sponsorship does not establish exclusive use or completed operation.</x:v>
      </x:c>
    </x:row>
    <x:row r="157">
      <x:c r="A157" s="51" t="str">
        <x:v>MECH-153</x:v>
      </x:c>
      <x:c r="B157" s="51" t="str">
        <x:v>Landing-station jurisdiction gate</x:v>
      </x:c>
      <x:c r="C157" s="51" t="str">
        <x:v>Subsea optical signal</x:v>
      </x:c>
      <x:c r="D157" s="51" t="str">
        <x:v>National terrestrial connectivity</x:v>
      </x:c>
      <x:c r="E157" s="51" t="str">
        <x:v>Landing permits, ownership and backhaul determine whether ocean capacity becomes domestic reach.</x:v>
      </x:c>
      <x:c r="F157" s="51" t="str">
        <x:v>S1</x:v>
      </x:c>
      <x:c r="G157" s="51" t="str">
        <x:v>Multiple stations and carriers can reduce concentration.</x:v>
      </x:c>
    </x:row>
    <x:row r="158">
      <x:c r="A158" s="51" t="str">
        <x:v>MECH-154</x:v>
      </x:c>
      <x:c r="B158" s="51" t="str">
        <x:v>Root-zone coordination</x:v>
      </x:c>
      <x:c r="C158" s="51" t="str">
        <x:v>Approved TLD delegation and cryptographic data</x:v>
      </x:c>
      <x:c r="D158" s="51" t="str">
        <x:v>Globally consistent DNS root</x:v>
      </x:c>
      <x:c r="E158" s="51" t="str">
        <x:v>IANA processes convert policy and registry authority into resolvable identifiers.</x:v>
      </x:c>
      <x:c r="F158" s="51" t="str">
        <x:v>S1</x:v>
      </x:c>
      <x:c r="G158" s="51" t="str">
        <x:v>The root does not control website content or access networks.</x:v>
      </x:c>
    </x:row>
    <x:row r="159">
      <x:c r="A159" s="51" t="str">
        <x:v>MECH-155</x:v>
      </x:c>
      <x:c r="B159" s="51" t="str">
        <x:v>DNS trust-anchor migration</x:v>
      </x:c>
      <x:c r="C159" s="51" t="str">
        <x:v>New cryptographic key</x:v>
      </x:c>
      <x:c r="D159" s="51" t="str">
        <x:v>Continued resolver validation</x:v>
      </x:c>
      <x:c r="E159" s="51" t="str">
        <x:v>A global DNSSEC rollover requires distributed software and operations adoption.</x:v>
      </x:c>
      <x:c r="F159" s="51" t="str">
        <x:v>S1</x:v>
      </x:c>
      <x:c r="G159" s="51" t="str">
        <x:v>Outdated resolvers can fail even when the root is correctly operated.</x:v>
      </x:c>
    </x:row>
    <x:row r="160">
      <x:c r="A160" s="51" t="str">
        <x:v>MECH-156</x:v>
      </x:c>
      <x:c r="B160" s="51" t="str">
        <x:v>Peering-cost compression</x:v>
      </x:c>
      <x:c r="C160" s="51" t="str">
        <x:v>Direct network interconnection</x:v>
      </x:c>
      <x:c r="D160" s="51" t="str">
        <x:v>Lower transit use and latency</x:v>
      </x:c>
      <x:c r="E160" s="51" t="str">
        <x:v>IXPs convert shared physical switching into bilateral and multilateral routing relationships.</x:v>
      </x:c>
      <x:c r="F160" s="51" t="str">
        <x:v>S1</x:v>
      </x:c>
      <x:c r="G160" s="51" t="str">
        <x:v>Peering is not free in all cases and does not replace transit universally.</x:v>
      </x:c>
    </x:row>
    <x:row r="161">
      <x:c r="A161" s="51" t="str">
        <x:v>MECH-157</x:v>
      </x:c>
      <x:c r="B161" s="51" t="str">
        <x:v>Anycast edge concentration</x:v>
      </x:c>
      <x:c r="C161" s="51" t="str">
        <x:v>One distributed software control plane</x:v>
      </x:c>
      <x:c r="D161" s="51" t="str">
        <x:v>Nearby delivery with correlated policy and failure</x:v>
      </x:c>
      <x:c r="E161" s="51" t="str">
        <x:v>Anycast networks create scale and resilience while allowing one configuration error to propagate widely.</x:v>
      </x:c>
      <x:c r="F161" s="51" t="str">
        <x:v>S1</x:v>
      </x:c>
      <x:c r="G161" s="51" t="str">
        <x:v>Diverse providers and customer failover can limit impact.</x:v>
      </x:c>
    </x:row>
    <x:row r="162">
      <x:c r="A162" s="51" t="str">
        <x:v>MECH-158</x:v>
      </x:c>
      <x:c r="B162" s="51" t="str">
        <x:v>Embedded-CDN exchange</x:v>
      </x:c>
      <x:c r="C162" s="51" t="str">
        <x:v>ISP colocation and local servers</x:v>
      </x:c>
      <x:c r="D162" s="51" t="str">
        <x:v>Reduced backbone traffic and faster delivery</x:v>
      </x:c>
      <x:c r="E162" s="51" t="str">
        <x:v>ISPs exchange space and bandwidth economics for local content delivery.</x:v>
      </x:c>
      <x:c r="F162" s="51" t="str">
        <x:v>S1</x:v>
      </x:c>
      <x:c r="G162" s="51" t="str">
        <x:v>The CDN does not own the ISP network.</x:v>
      </x:c>
    </x:row>
    <x:row r="163">
      <x:c r="A163" s="51" t="str">
        <x:v>MECH-159</x:v>
      </x:c>
      <x:c r="B163" s="51" t="str">
        <x:v>Orbit-to-ground conversion</x:v>
      </x:c>
      <x:c r="C163" s="51" t="str">
        <x:v>LEO satellite capacity</x:v>
      </x:c>
      <x:c r="D163" s="51" t="str">
        <x:v>Local Internet or private-network access</x:v>
      </x:c>
      <x:c r="E163" s="51" t="str">
        <x:v>User terminals, gateways and spectrum rights turn orbital assets into usable connectivity.</x:v>
      </x:c>
      <x:c r="F163" s="51" t="str">
        <x:v>S1</x:v>
      </x:c>
      <x:c r="G163" s="51" t="str">
        <x:v>Satellite systems still depend on ground networks and regulation.</x:v>
      </x:c>
    </x:row>
    <x:row r="164">
      <x:c r="A164" s="51" t="str">
        <x:v>MECH-160</x:v>
      </x:c>
      <x:c r="B164" s="51" t="str">
        <x:v>Launch-integration advantage</x:v>
      </x:c>
      <x:c r="C164" s="51" t="str">
        <x:v>Internal rocket and satellite production</x:v>
      </x:c>
      <x:c r="D164" s="51" t="str">
        <x:v>Faster constellation deployment and replenishment</x:v>
      </x:c>
      <x:c r="E164" s="51" t="str">
        <x:v>Vertical integration can reduce deployment cost and schedule dependence.</x:v>
      </x:c>
      <x:c r="F164" s="51" t="str">
        <x:v>S1</x:v>
      </x:c>
      <x:c r="G164" s="51" t="str">
        <x:v>It does not remove spectrum, manufacturing or demand constraints.</x:v>
      </x:c>
    </x:row>
    <x:row r="165">
      <x:c r="A165" s="51" t="str">
        <x:v>MECH-161</x:v>
      </x:c>
      <x:c r="B165" s="51" t="str">
        <x:v>Cloud-satellite integration</x:v>
      </x:c>
      <x:c r="C165" s="51" t="str">
        <x:v>Satellite link and private gateway</x:v>
      </x:c>
      <x:c r="D165" s="51" t="str">
        <x:v>Direct cloud-network path</x:v>
      </x:c>
      <x:c r="E165" s="51" t="str">
        <x:v>A common corporate stack can join remote terminals to cloud resources without ordinary public-Internet routing.</x:v>
      </x:c>
      <x:c r="F165" s="51" t="str">
        <x:v>S1</x:v>
      </x:c>
      <x:c r="G165" s="51" t="str">
        <x:v>Underlying physical infrastructure and external networks remain involved.</x:v>
      </x:c>
    </x:row>
    <x:row r="166">
      <x:c r="A166" s="51" t="str">
        <x:v>MECH-162</x:v>
      </x:c>
      <x:c r="B166" s="51" t="str">
        <x:v>App-review distribution gate</x:v>
      </x:c>
      <x:c r="C166" s="51" t="str">
        <x:v>Software submission and platform rules</x:v>
      </x:c>
      <x:c r="D166" s="51" t="str">
        <x:v>Approved access to device users</x:v>
      </x:c>
      <x:c r="E166" s="51" t="str">
        <x:v>App-store review converts private code into authorised marketplace distribution.</x:v>
      </x:c>
      <x:c r="F166" s="51" t="str">
        <x:v>S1</x:v>
      </x:c>
      <x:c r="G166" s="51" t="str">
        <x:v>Approval does not guarantee discovery, safety or commercial success.</x:v>
      </x:c>
    </x:row>
    <x:row r="167">
      <x:c r="A167" s="51" t="str">
        <x:v>MECH-163</x:v>
      </x:c>
      <x:c r="B167" s="51" t="str">
        <x:v>Store-ranking attention allocation</x:v>
      </x:c>
      <x:c r="C167" s="51" t="str">
        <x:v>Approved app catalogue</x:v>
      </x:c>
      <x:c r="D167" s="51" t="str">
        <x:v>Unequal user discovery and installs</x:v>
      </x:c>
      <x:c r="E167" s="51" t="str">
        <x:v>Search, ratings and recommendations allocate attention among technically available apps.</x:v>
      </x:c>
      <x:c r="F167" s="51" t="str">
        <x:v>S1</x:v>
      </x:c>
      <x:c r="G167" s="51" t="str">
        <x:v>Ranking is dynamic and users can discover software elsewhere in some ecosystems.</x:v>
      </x:c>
    </x:row>
    <x:row r="168">
      <x:c r="A168" s="51" t="str">
        <x:v>MECH-164</x:v>
      </x:c>
      <x:c r="B168" s="51" t="str">
        <x:v>Executive authority with temporal boundary</x:v>
      </x:c>
      <x:c r="C168" s="51" t="str">
        <x:v>Formal office and effective date</x:v>
      </x:c>
      <x:c r="D168" s="51" t="str">
        <x:v>Current or future corporate decision authority</x:v>
      </x:c>
      <x:c r="E168" s="51" t="str">
        <x:v>Executive power must be assigned to the officeholder in force on the relevant date.</x:v>
      </x:c>
      <x:c r="F168" s="51" t="str">
        <x:v>S1</x:v>
      </x:c>
      <x:c r="G168" s="51" t="str">
        <x:v>Founder history and announced succession do not create simultaneous CEO authority.</x:v>
      </x:c>
    </x:row>
    <x:row r="169">
      <x:c r="A169" s="51" t="str">
        <x:v>MECH-165</x:v>
      </x:c>
      <x:c r="B169" s="51" t="str">
        <x:v>Connectivity-stack recursion</x:v>
      </x:c>
      <x:c r="C169" s="51" t="str">
        <x:v>More users and traffic</x:v>
      </x:c>
      <x:c r="D169" s="51" t="str">
        <x:v>Investment in cables, edge, satellites and apps</x:v>
      </x:c>
      <x:c r="E169" s="51" t="str">
        <x:v>Demand finances infrastructure that reduces latency and creates further digital demand.</x:v>
      </x:c>
      <x:c r="F169" s="51" t="str">
        <x:v>S1</x:v>
      </x:c>
      <x:c r="G169" s="51" t="str">
        <x:v>Growth can be interrupted by regulation, affordability, outages and saturation.</x:v>
      </x:c>
    </x:row>
    <x:row r="170">
      <x:c r="A170" s="51" t="str">
        <x:v>MECH-166</x:v>
      </x:c>
      <x:c r="B170" s="51" t="str">
        <x:v>Credential-to-service conversion</x:v>
      </x:c>
      <x:c r="C170" s="51" t="str">
        <x:v>Identity credential and authentication factors</x:v>
      </x:c>
      <x:c r="D170" s="51" t="str">
        <x:v>Machine-readable proof for a relying party</x:v>
      </x:c>
      <x:c r="E170" s="51" t="str">
        <x:v>Digital identity infrastructure converts a person or organisation claim into a reusable service-access input.</x:v>
      </x:c>
      <x:c r="F170" s="51" t="str">
        <x:v>S1</x:v>
      </x:c>
      <x:c r="G170" s="51" t="str">
        <x:v>Authentication does not determine entitlement, intent or legal status by itself.</x:v>
      </x:c>
    </x:row>
    <x:row r="171">
      <x:c r="A171" s="51" t="str">
        <x:v>MECH-167</x:v>
      </x:c>
      <x:c r="B171" s="51" t="str">
        <x:v>Selective-attribute presentation</x:v>
      </x:c>
      <x:c r="C171" s="51" t="str">
        <x:v>Wallet-held credential</x:v>
      </x:c>
      <x:c r="D171" s="51" t="str">
        <x:v>Verified minimum attribute disclosure</x:v>
      </x:c>
      <x:c r="E171" s="51" t="str">
        <x:v>Digital wallets can present a required proof without exposing the full source record.</x:v>
      </x:c>
      <x:c r="F171" s="51" t="str">
        <x:v>S1</x:v>
      </x:c>
      <x:c r="G171" s="51" t="str">
        <x:v>Metadata, implementation and relying-party behaviour can still create privacy risks.</x:v>
      </x:c>
    </x:row>
    <x:row r="172">
      <x:c r="A172" s="51" t="str">
        <x:v>MECH-168</x:v>
      </x:c>
      <x:c r="B172" s="51" t="str">
        <x:v>Issuer-network-acquirer conversion</x:v>
      </x:c>
      <x:c r="C172" s="51" t="str">
        <x:v>Customer account and merchant sale</x:v>
      </x:c>
      <x:c r="D172" s="51" t="str">
        <x:v>Authorised and settled card transaction</x:v>
      </x:c>
      <x:c r="E172" s="51" t="str">
        <x:v>Card networks standardise messaging across issuers, acquirers and merchants.</x:v>
      </x:c>
      <x:c r="F172" s="51" t="str">
        <x:v>S1</x:v>
      </x:c>
      <x:c r="G172" s="51" t="str">
        <x:v>The network generally does not own the deposit, loan or merchandise.</x:v>
      </x:c>
    </x:row>
    <x:row r="173">
      <x:c r="A173" s="51" t="str">
        <x:v>MECH-169</x:v>
      </x:c>
      <x:c r="B173" s="51" t="str">
        <x:v>Payment orchestration abstraction</x:v>
      </x:c>
      <x:c r="C173" s="51" t="str">
        <x:v>Many networks and payment methods</x:v>
      </x:c>
      <x:c r="D173" s="51" t="str">
        <x:v>One merchant software interface</x:v>
      </x:c>
      <x:c r="E173" s="51" t="str">
        <x:v>Orchestrators reduce integration complexity while increasing platform dependence and data centralisation.</x:v>
      </x:c>
      <x:c r="F173" s="51" t="str">
        <x:v>S1</x:v>
      </x:c>
      <x:c r="G173" s="51" t="str">
        <x:v>Underlying networks and banks remain necessary.</x:v>
      </x:c>
    </x:row>
    <x:row r="174">
      <x:c r="A174" s="51" t="str">
        <x:v>MECH-170</x:v>
      </x:c>
      <x:c r="B174" s="51" t="str">
        <x:v>Instant-settlement compression</x:v>
      </x:c>
      <x:c r="C174" s="51" t="str">
        <x:v>Authenticated account instruction</x:v>
      </x:c>
      <x:c r="D174" s="51" t="str">
        <x:v>Final interbank settlement within seconds</x:v>
      </x:c>
      <x:c r="E174" s="51" t="str">
        <x:v>Instant rails compress messaging, clearing and settlement time into one near-real-time process.</x:v>
      </x:c>
      <x:c r="F174" s="51" t="str">
        <x:v>S1</x:v>
      </x:c>
      <x:c r="G174" s="51" t="str">
        <x:v>Fraud and mistaken-payment recovery may become harder after final settlement.</x:v>
      </x:c>
    </x:row>
    <x:row r="175">
      <x:c r="A175" s="51" t="str">
        <x:v>MECH-171</x:v>
      </x:c>
      <x:c r="B175" s="51" t="str">
        <x:v>Transaction-data exhaust</x:v>
      </x:c>
      <x:c r="C175" s="51" t="str">
        <x:v>Payment authorisation and settlement messages</x:v>
      </x:c>
      <x:c r="D175" s="51" t="str">
        <x:v>Behavioural, fraud and commercial signals</x:v>
      </x:c>
      <x:c r="E175" s="51" t="str">
        <x:v>Payments create secondary information about timing, location, counterparty and value.</x:v>
      </x:c>
      <x:c r="F175" s="51" t="str">
        <x:v>S1</x:v>
      </x:c>
      <x:c r="G175" s="51" t="str">
        <x:v>Availability and lawful use differ by institution and jurisdiction.</x:v>
      </x:c>
    </x:row>
    <x:row r="176">
      <x:c r="A176" s="51" t="str">
        <x:v>MECH-172</x:v>
      </x:c>
      <x:c r="B176" s="51" t="str">
        <x:v>Ad-auction attention allocation</x:v>
      </x:c>
      <x:c r="C176" s="51" t="str">
        <x:v>Bid, predicted action and inventory</x:v>
      </x:c>
      <x:c r="D176" s="51" t="str">
        <x:v>Priced user impression</x:v>
      </x:c>
      <x:c r="E176" s="51" t="str">
        <x:v>Advertising platforms convert probabilistic predictions into real-time attention allocation.</x:v>
      </x:c>
      <x:c r="F176" s="51" t="str">
        <x:v>S1</x:v>
      </x:c>
      <x:c r="G176" s="51" t="str">
        <x:v>The winning ad is not determined by price alone.</x:v>
      </x:c>
    </x:row>
    <x:row r="177">
      <x:c r="A177" s="51" t="str">
        <x:v>MECH-173</x:v>
      </x:c>
      <x:c r="B177" s="51" t="str">
        <x:v>Consent-gated identifier access</x:v>
      </x:c>
      <x:c r="C177" s="51" t="str">
        <x:v>Operating-system permission state</x:v>
      </x:c>
      <x:c r="D177" s="51" t="str">
        <x:v>Allowed or denied cross-company tracking</x:v>
      </x:c>
      <x:c r="E177" s="51" t="str">
        <x:v>Platform-level privacy policy can reallocate advertising power by changing identifier availability.</x:v>
      </x:c>
      <x:c r="F177" s="51" t="str">
        <x:v>S1</x:v>
      </x:c>
      <x:c r="G177" s="51" t="str">
        <x:v>It does not eliminate first-party data or all forms of measurement.</x:v>
      </x:c>
    </x:row>
    <x:row r="178">
      <x:c r="A178" s="51" t="str">
        <x:v>MECH-174</x:v>
      </x:c>
      <x:c r="B178" s="51" t="str">
        <x:v>Commercial identity resolution</x:v>
      </x:c>
      <x:c r="C178" s="51" t="str">
        <x:v>Offline and online identifiers</x:v>
      </x:c>
      <x:c r="D178" s="51" t="str">
        <x:v>Persistent pseudonymous audience link</x:v>
      </x:c>
      <x:c r="E178" s="51" t="str">
        <x:v>Identity graphs make otherwise fragmented customer records interoperable across marketing systems.</x:v>
      </x:c>
      <x:c r="F178" s="51" t="str">
        <x:v>S1</x:v>
      </x:c>
      <x:c r="G178" s="51" t="str">
        <x:v>Resolution can be wrong, incomplete or legally constrained.</x:v>
      </x:c>
    </x:row>
    <x:row r="179">
      <x:c r="A179" s="51" t="str">
        <x:v>MECH-175</x:v>
      </x:c>
      <x:c r="B179" s="51" t="str">
        <x:v>Risk-score institutionalisation</x:v>
      </x:c>
      <x:c r="C179" s="51" t="str">
        <x:v>Data, behaviour and model output</x:v>
      </x:c>
      <x:c r="D179" s="51" t="str">
        <x:v>Approval, review, denial or investigation queue</x:v>
      </x:c>
      <x:c r="E179" s="51" t="str">
        <x:v>A score becomes powerful when embedded in an institution's operating rule.</x:v>
      </x:c>
      <x:c r="F179" s="51" t="str">
        <x:v>S1</x:v>
      </x:c>
      <x:c r="G179" s="51" t="str">
        <x:v>The vendor's score is not necessarily the final decision.</x:v>
      </x:c>
    </x:row>
    <x:row r="180">
      <x:c r="A180" s="51" t="str">
        <x:v>MECH-176</x:v>
      </x:c>
      <x:c r="B180" s="51" t="str">
        <x:v>Public-private enforcement conversion</x:v>
      </x:c>
      <x:c r="C180" s="51" t="str">
        <x:v>Private analytics or sensor evidence</x:v>
      </x:c>
      <x:c r="D180" s="51" t="str">
        <x:v>Government operational action</x:v>
      </x:c>
      <x:c r="E180" s="51" t="str">
        <x:v>Contracted technology can become an upstream input to public authority.</x:v>
      </x:c>
      <x:c r="F180" s="51" t="str">
        <x:v>S1</x:v>
      </x:c>
      <x:c r="G180" s="51" t="str">
        <x:v>The private provider does not automatically acquire sovereign powers.</x:v>
      </x:c>
    </x:row>
    <x:row r="181">
      <x:c r="A181" s="51" t="str">
        <x:v>MECH-177</x:v>
      </x:c>
      <x:c r="B181" s="51" t="str">
        <x:v>Sensor-to-evidence persistence</x:v>
      </x:c>
      <x:c r="C181" s="51" t="str">
        <x:v>Camera, plate, body-worn or drone event</x:v>
      </x:c>
      <x:c r="D181" s="51" t="str">
        <x:v>Searchable institutional record</x:v>
      </x:c>
      <x:c r="E181" s="51" t="str">
        <x:v>Cloud evidence systems extend a transient event into durable and shareable organisational memory.</x:v>
      </x:c>
      <x:c r="F181" s="51" t="str">
        <x:v>S1</x:v>
      </x:c>
      <x:c r="G181" s="51" t="str">
        <x:v>Recording does not guarantee accuracy, legality or correct interpretation.</x:v>
      </x:c>
    </x:row>
    <x:row r="182">
      <x:c r="A182" s="51" t="str">
        <x:v>MECH-178</x:v>
      </x:c>
      <x:c r="B182" s="51" t="str">
        <x:v>Configurable network-sharing expansion</x:v>
      </x:c>
      <x:c r="C182" s="51" t="str">
        <x:v>Local evidence database</x:v>
      </x:c>
      <x:c r="D182" s="51" t="str">
        <x:v>Cross-jurisdictional investigative access</x:v>
      </x:c>
      <x:c r="E182" s="51" t="str">
        <x:v>A platform toggle can expand the practical territory of a surveillance network.</x:v>
      </x:c>
      <x:c r="F182" s="51" t="str">
        <x:v>S1</x:v>
      </x:c>
      <x:c r="G182" s="51" t="str">
        <x:v>Formal local ownership may remain even when effective access broadens.</x:v>
      </x:c>
    </x:row>
    <x:row r="183">
      <x:c r="A183" s="51" t="str">
        <x:v>MECH-179</x:v>
      </x:c>
      <x:c r="B183" s="51" t="str">
        <x:v>Executive stack coordination</x:v>
      </x:c>
      <x:c r="C183" s="51" t="str">
        <x:v>Formal corporate office</x:v>
      </x:c>
      <x:c r="D183" s="51" t="str">
        <x:v>Coordinated identity, payment, data or safety strategy</x:v>
      </x:c>
      <x:c r="E183" s="51" t="str">
        <x:v>Senior executives connect product, acquisition, infrastructure and policy decisions inside one firm.</x:v>
      </x:c>
      <x:c r="F183" s="51" t="str">
        <x:v>S1</x:v>
      </x:c>
      <x:c r="G183" s="51" t="str">
        <x:v>Executive authority does not cross corporate or sovereign boundaries without a formal bridge.</x:v>
      </x:c>
    </x:row>
    <x:row r="184">
      <x:c r="A184" s="51" t="str">
        <x:v>MECH-180</x:v>
      </x:c>
      <x:c r="B184" s="51" t="str">
        <x:v>Identity-payment-advertising feedback loop</x:v>
      </x:c>
      <x:c r="C184" s="51" t="str">
        <x:v>Identity proof, transaction and ad response</x:v>
      </x:c>
      <x:c r="D184" s="51" t="str">
        <x:v>Updated targeting and risk models</x:v>
      </x:c>
      <x:c r="E184" s="51" t="str">
        <x:v>Commercial systems learn from authenticated transactions and subsequent behaviour.</x:v>
      </x:c>
      <x:c r="F184" s="51" t="str">
        <x:v>S1</x:v>
      </x:c>
      <x:c r="G184" s="51" t="str">
        <x:v>Data access, consent and model use are not universal.</x:v>
      </x:c>
    </x:row>
    <x:row r="185">
      <x:c r="A185" s="51" t="str">
        <x:v>MECH-181</x:v>
      </x:c>
      <x:c r="B185" s="51" t="str">
        <x:v>False-positive amplification</x:v>
      </x:c>
      <x:c r="C185" s="51" t="str">
        <x:v>Imperfect match or model score</x:v>
      </x:c>
      <x:c r="D185" s="51" t="str">
        <x:v>Repeated denial, alert or investigation</x:v>
      </x:c>
      <x:c r="E185" s="51" t="str">
        <x:v>When institutions share or reuse a flawed identity link, one error can propagate across decisions.</x:v>
      </x:c>
      <x:c r="F185" s="51" t="str">
        <x:v>S1</x:v>
      </x:c>
      <x:c r="G185" s="51" t="str">
        <x:v>Audit, appeal and independent verification can interrupt propagation.</x:v>
      </x:c>
    </x:row>
    <x:row r="186">
      <x:c r="A186" s="51" t="str">
        <x:v>MECH-182</x:v>
      </x:c>
      <x:c r="B186" s="51" t="str">
        <x:v>Standard-to-law transmission</x:v>
      </x:c>
      <x:c r="C186" s="51" t="str">
        <x:v>International recommendation</x:v>
      </x:c>
      <x:c r="D186" s="51" t="str">
        <x:v>Domestic legal and supervisory obligation</x:v>
      </x:c>
      <x:c r="E186" s="51" t="str">
        <x:v>International standards gain coercive effect only when jurisdictions implement them through law, regulation and supervision.</x:v>
      </x:c>
      <x:c r="F186" s="51" t="str">
        <x:v>S1</x:v>
      </x:c>
      <x:c r="G186" s="51" t="str">
        <x:v>Implementation can be partial, delayed or formally compliant but ineffective.</x:v>
      </x:c>
    </x:row>
    <x:row r="187">
      <x:c r="A187" s="51" t="str">
        <x:v>MECH-183</x:v>
      </x:c>
      <x:c r="B187" s="51" t="str">
        <x:v>Mutual-evaluation reputational pressure</x:v>
      </x:c>
      <x:c r="C187" s="51" t="str">
        <x:v>Peer assessment and public rating</x:v>
      </x:c>
      <x:c r="D187" s="51" t="str">
        <x:v>Reform commitment and market reaction</x:v>
      </x:c>
      <x:c r="E187" s="51" t="str">
        <x:v>Evaluation converts institutional weakness into diplomatic and private-sector pressure.</x:v>
      </x:c>
      <x:c r="F187" s="51" t="str">
        <x:v>S1</x:v>
      </x:c>
      <x:c r="G187" s="51" t="str">
        <x:v>Ratings are not sanctions and private overreaction can exceed formal findings.</x:v>
      </x:c>
    </x:row>
    <x:row r="188">
      <x:c r="A188" s="51" t="str">
        <x:v>MECH-184</x:v>
      </x:c>
      <x:c r="B188" s="51" t="str">
        <x:v>Grey-list risk amplification</x:v>
      </x:c>
      <x:c r="C188" s="51" t="str">
        <x:v>Increased-monitoring status</x:v>
      </x:c>
      <x:c r="D188" s="51" t="str">
        <x:v>Higher due diligence, cost or de-risking</x:v>
      </x:c>
      <x:c r="E188" s="51" t="str">
        <x:v>Public monitoring can alter correspondent and investor behaviour even without a legal transaction ban.</x:v>
      </x:c>
      <x:c r="F188" s="51" t="str">
        <x:v>S1</x:v>
      </x:c>
      <x:c r="G188" s="51" t="str">
        <x:v>Market effects vary and may harm legitimate inclusion.</x:v>
      </x:c>
    </x:row>
    <x:row r="189">
      <x:c r="A189" s="51" t="str">
        <x:v>MECH-185</x:v>
      </x:c>
      <x:c r="B189" s="51" t="str">
        <x:v>Beneficial-ownership unmasking</x:v>
      </x:c>
      <x:c r="C189" s="51" t="str">
        <x:v>Legal title and control data</x:v>
      </x:c>
      <x:c r="D189" s="51" t="str">
        <x:v>Natural-person ownership or control trail</x:v>
      </x:c>
      <x:c r="E189" s="51" t="str">
        <x:v>Ownership transparency reduces the anonymity created by layered companies and trusts.</x:v>
      </x:c>
      <x:c r="F189" s="51" t="str">
        <x:v>S1</x:v>
      </x:c>
      <x:c r="G189" s="51" t="str">
        <x:v>Records may be false, stale or inaccessible.</x:v>
      </x:c>
    </x:row>
    <x:row r="190">
      <x:c r="A190" s="51" t="str">
        <x:v>MECH-186</x:v>
      </x:c>
      <x:c r="B190" s="51" t="str">
        <x:v>SAR-to-intelligence conversion</x:v>
      </x:c>
      <x:c r="C190" s="51" t="str">
        <x:v>Private suspicious-activity report</x:v>
      </x:c>
      <x:c r="D190" s="51" t="str">
        <x:v>FIU analysis and investigative lead</x:v>
      </x:c>
      <x:c r="E190" s="51" t="str">
        <x:v>Mandatory reports pool distributed institutional observations into central financial intelligence.</x:v>
      </x:c>
      <x:c r="F190" s="51" t="str">
        <x:v>S1</x:v>
      </x:c>
      <x:c r="G190" s="51" t="str">
        <x:v>Suspicion is not proof and over-reporting can create noise.</x:v>
      </x:c>
    </x:row>
    <x:row r="191">
      <x:c r="A191" s="51" t="str">
        <x:v>MECH-187</x:v>
      </x:c>
      <x:c r="B191" s="51" t="str">
        <x:v>FIU dissemination network</x:v>
      </x:c>
      <x:c r="C191" s="51" t="str">
        <x:v>National financial intelligence</x:v>
      </x:c>
      <x:c r="D191" s="51" t="str">
        <x:v>Cross-border law-enforcement support</x:v>
      </x:c>
      <x:c r="E191" s="51" t="str">
        <x:v>FIU cooperation allows financial patterns to follow transactions across jurisdictions.</x:v>
      </x:c>
      <x:c r="F191" s="51" t="str">
        <x:v>S1</x:v>
      </x:c>
      <x:c r="G191" s="51" t="str">
        <x:v>Exchange remains legally bounded and not fully real time.</x:v>
      </x:c>
    </x:row>
    <x:row r="192">
      <x:c r="A192" s="51" t="str">
        <x:v>MECH-188</x:v>
      </x:c>
      <x:c r="B192" s="51" t="str">
        <x:v>Supranational supervision centralisation</x:v>
      </x:c>
      <x:c r="C192" s="51" t="str">
        <x:v>National risk data</x:v>
      </x:c>
      <x:c r="D192" s="51" t="str">
        <x:v>Selected institutions under central oversight</x:v>
      </x:c>
      <x:c r="E192" s="51" t="str">
        <x:v>Common risk models can harmonise supervision of cross-border groups.</x:v>
      </x:c>
      <x:c r="F192" s="51" t="str">
        <x:v>S1</x:v>
      </x:c>
      <x:c r="G192" s="51" t="str">
        <x:v>Most institutions remain nationally supervised.</x:v>
      </x:c>
    </x:row>
    <x:row r="193">
      <x:c r="A193" s="51" t="str">
        <x:v>MECH-189</x:v>
      </x:c>
      <x:c r="B193" s="51" t="str">
        <x:v>Designation-to-blocking conversion</x:v>
      </x:c>
      <x:c r="C193" s="51" t="str">
        <x:v>Legal sanctions designation</x:v>
      </x:c>
      <x:c r="D193" s="51" t="str">
        <x:v>Immobilised property and prohibited transactions</x:v>
      </x:c>
      <x:c r="E193" s="51" t="str">
        <x:v>A designation becomes economically effective when custodians and counterparties block or reject activity.</x:v>
      </x:c>
      <x:c r="F193" s="51" t="str">
        <x:v>S1</x:v>
      </x:c>
      <x:c r="G193" s="51" t="str">
        <x:v>Blocking does not transfer title or prove criminal guilt.</x:v>
      </x:c>
    </x:row>
    <x:row r="194">
      <x:c r="A194" s="51" t="str">
        <x:v>MECH-190</x:v>
      </x:c>
      <x:c r="B194" s="51" t="str">
        <x:v>Ownership-rule propagation</x:v>
      </x:c>
      <x:c r="C194" s="51" t="str">
        <x:v>Blocked-person ownership chain</x:v>
      </x:c>
      <x:c r="D194" s="51" t="str">
        <x:v>Automatic blocking of owned entities</x:v>
      </x:c>
      <x:c r="E194" s="51" t="str">
        <x:v>A threshold rule extends sanctions beyond explicitly listed names.</x:v>
      </x:c>
      <x:c r="F194" s="51" t="str">
        <x:v>S1</x:v>
      </x:c>
      <x:c r="G194" s="51" t="str">
        <x:v>Control without threshold ownership may require separate analysis.</x:v>
      </x:c>
    </x:row>
    <x:row r="195">
      <x:c r="A195" s="51" t="str">
        <x:v>MECH-191</x:v>
      </x:c>
      <x:c r="B195" s="51" t="str">
        <x:v>Licence-bounded exception</x:v>
      </x:c>
      <x:c r="C195" s="51" t="str">
        <x:v>General or specific licence</x:v>
      </x:c>
      <x:c r="D195" s="51" t="str">
        <x:v>Authorised transaction inside a prohibited programme</x:v>
      </x:c>
      <x:c r="E195" s="51" t="str">
        <x:v>Licensing permits policy-defined activity while preserving the broader restriction.</x:v>
      </x:c>
      <x:c r="F195" s="51" t="str">
        <x:v>S1</x:v>
      </x:c>
      <x:c r="G195" s="51" t="str">
        <x:v>Authorisation does not remove designation or permit activity outside scope.</x:v>
      </x:c>
    </x:row>
    <x:row r="196">
      <x:c r="A196" s="51" t="str">
        <x:v>MECH-192</x:v>
      </x:c>
      <x:c r="B196" s="51" t="str">
        <x:v>Messaging-versus-settlement separation</x:v>
      </x:c>
      <x:c r="C196" s="51" t="str">
        <x:v>Financial instruction message</x:v>
      </x:c>
      <x:c r="D196" s="51" t="str">
        <x:v>Bank or market-infrastructure settlement process</x:v>
      </x:c>
      <x:c r="E196" s="51" t="str">
        <x:v>Messaging infrastructure coordinates instructions without holding the underlying funds.</x:v>
      </x:c>
      <x:c r="F196" s="51" t="str">
        <x:v>S1</x:v>
      </x:c>
      <x:c r="G196" s="51" t="str">
        <x:v>Message exclusion can still create severe practical payment barriers.</x:v>
      </x:c>
    </x:row>
    <x:row r="197">
      <x:c r="A197" s="51" t="str">
        <x:v>MECH-193</x:v>
      </x:c>
      <x:c r="B197" s="51" t="str">
        <x:v>Screening false-positive gate</x:v>
      </x:c>
      <x:c r="C197" s="51" t="str">
        <x:v>Approximate name or ownership match</x:v>
      </x:c>
      <x:c r="D197" s="51" t="str">
        <x:v>Alert, review and possible transaction delay</x:v>
      </x:c>
      <x:c r="E197" s="51" t="str">
        <x:v>Screening translates list data into private operational decisions.</x:v>
      </x:c>
      <x:c r="F197" s="51" t="str">
        <x:v>S1</x:v>
      </x:c>
      <x:c r="G197" s="51" t="str">
        <x:v>Automated matches require contextual due diligence.</x:v>
      </x:c>
    </x:row>
    <x:row r="198">
      <x:c r="A198" s="51" t="str">
        <x:v>MECH-194</x:v>
      </x:c>
      <x:c r="B198" s="51" t="str">
        <x:v>Automatic tax-information exchange</x:v>
      </x:c>
      <x:c r="C198" s="51" t="str">
        <x:v>Domestic financial-account report</x:v>
      </x:c>
      <x:c r="D198" s="51" t="str">
        <x:v>Foreign tax authority information</x:v>
      </x:c>
      <x:c r="E198" s="51" t="str">
        <x:v>Standardised annual exchange reduces the secrecy value of offshore accounts.</x:v>
      </x:c>
      <x:c r="F198" s="51" t="str">
        <x:v>S1</x:v>
      </x:c>
      <x:c r="G198" s="51" t="str">
        <x:v>It is not universal, public or real time.</x:v>
      </x:c>
    </x:row>
    <x:row r="199">
      <x:c r="A199" s="51" t="str">
        <x:v>MECH-195</x:v>
      </x:c>
      <x:c r="B199" s="51" t="str">
        <x:v>Withholding-based extraterritorial leverage</x:v>
      </x:c>
      <x:c r="C199" s="51" t="str">
        <x:v>Access to U.S.-source payments</x:v>
      </x:c>
      <x:c r="D199" s="51" t="str">
        <x:v>Foreign institution registration and reporting</x:v>
      </x:c>
      <x:c r="E199" s="51" t="str">
        <x:v>FATCA uses financial-market access and withholding risk to extend reporting beyond U.S. territory.</x:v>
      </x:c>
      <x:c r="F199" s="51" t="str">
        <x:v>S1</x:v>
      </x:c>
      <x:c r="G199" s="51" t="str">
        <x:v>Treaties, IGAs and exemptions shape actual scope.</x:v>
      </x:c>
    </x:row>
    <x:row r="200">
      <x:c r="A200" s="51" t="str">
        <x:v>MECH-196</x:v>
      </x:c>
      <x:c r="B200" s="51" t="str">
        <x:v>Cross-debarment propagation</x:v>
      </x:c>
      <x:c r="C200" s="51" t="str">
        <x:v>One qualifying administrative sanction</x:v>
      </x:c>
      <x:c r="D200" s="51" t="str">
        <x:v>Procurement exclusion across participating MDBs</x:v>
      </x:c>
      <x:c r="E200" s="51" t="str">
        <x:v>Mutual recognition expands the effect of an institutional integrity decision.</x:v>
      </x:c>
      <x:c r="F200" s="51" t="str">
        <x:v>S1</x:v>
      </x:c>
      <x:c r="G200" s="51" t="str">
        <x:v>It is not a universal criminal or commercial ban.</x:v>
      </x:c>
    </x:row>
    <x:row r="201">
      <x:c r="A201" s="51" t="str">
        <x:v>MECH-197</x:v>
      </x:c>
      <x:c r="B201" s="51" t="str">
        <x:v>Seizure-to-forfeiture conversion</x:v>
      </x:c>
      <x:c r="C201" s="51" t="str">
        <x:v>Restrained suspected property</x:v>
      </x:c>
      <x:c r="D201" s="51" t="str">
        <x:v>Final state title after legal process</x:v>
      </x:c>
      <x:c r="E201" s="51" t="str">
        <x:v>Forfeiture requires a legal pathway beyond initial seizure or sanctions blocking.</x:v>
      </x:c>
      <x:c r="F201" s="51" t="str">
        <x:v>S1</x:v>
      </x:c>
      <x:c r="G201" s="51" t="str">
        <x:v>Procedural protections and burdens differ by jurisdiction.</x:v>
      </x:c>
    </x:row>
    <x:row r="202">
      <x:c r="A202" s="51" t="str">
        <x:v>MECH-198</x:v>
      </x:c>
      <x:c r="B202" s="51" t="str">
        <x:v>Recovery-to-restoration conversion</x:v>
      </x:c>
      <x:c r="C202" s="51" t="str">
        <x:v>Forfeited assets and valid claims</x:v>
      </x:c>
      <x:c r="D202" s="51" t="str">
        <x:v>Victim payment, third-party return or public use</x:v>
      </x:c>
      <x:c r="E202" s="51" t="str">
        <x:v>Asset recovery can redirect illicit value toward victims or public purposes.</x:v>
      </x:c>
      <x:c r="F202" s="51" t="str">
        <x:v>S1</x:v>
      </x:c>
      <x:c r="G202" s="51" t="str">
        <x:v>Recoveries may be insufficient and distribution may be delayed.</x:v>
      </x:c>
    </x:row>
    <x:row r="203">
      <x:c r="A203" s="51" t="str">
        <x:v>MECH-199</x:v>
      </x:c>
      <x:c r="B203" s="51" t="str">
        <x:v>Advisory access conversion</x:v>
      </x:c>
      <x:c r="C203" s="51" t="str">
        <x:v>Private expertise and presidential appointment</x:v>
      </x:c>
      <x:c r="D203" s="51" t="str">
        <x:v>Formal recommendations inside executive policy</x:v>
      </x:c>
      <x:c r="E203" s="51" t="str">
        <x:v>Advisory councils make selected private actors institutionally legible to government.</x:v>
      </x:c>
      <x:c r="F203" s="51" t="str">
        <x:v>S1</x:v>
      </x:c>
      <x:c r="G203" s="51" t="str">
        <x:v>Advice is not binding authority and access is uneven.</x:v>
      </x:c>
    </x:row>
    <x:row r="204">
      <x:c r="A204" s="51" t="str">
        <x:v>MECH-200</x:v>
      </x:c>
      <x:c r="B204" s="51" t="str">
        <x:v>Policy-plan coordination</x:v>
      </x:c>
      <x:c r="C204" s="51" t="str">
        <x:v>Executive policy document</x:v>
      </x:c>
      <x:c r="D204" s="51" t="str">
        <x:v>Distributed agency priorities and implementation</x:v>
      </x:c>
      <x:c r="E204" s="51" t="str">
        <x:v>A central plan aligns agencies and signals priorities to private investors.</x:v>
      </x:c>
      <x:c r="F204" s="51" t="str">
        <x:v>S1</x:v>
      </x:c>
      <x:c r="G204" s="51" t="str">
        <x:v>Implementation may diverge because of law, budgets and institutional resistance.</x:v>
      </x:c>
    </x:row>
    <x:row r="205">
      <x:c r="A205" s="51" t="str">
        <x:v>MECH-201</x:v>
      </x:c>
      <x:c r="B205" s="51" t="str">
        <x:v>Lobbying translation</x:v>
      </x:c>
      <x:c r="C205" s="51" t="str">
        <x:v>Corporate objective and technical information</x:v>
      </x:c>
      <x:c r="D205" s="51" t="str">
        <x:v>Legislative or administrative language</x:v>
      </x:c>
      <x:c r="E205" s="51" t="str">
        <x:v>Lobbyists translate business interests into forms usable by public decision makers.</x:v>
      </x:c>
      <x:c r="F205" s="51" t="str">
        <x:v>S1</x:v>
      </x:c>
      <x:c r="G205" s="51" t="str">
        <x:v>Translation and access do not guarantee persuasion or adoption.</x:v>
      </x:c>
    </x:row>
    <x:row r="206">
      <x:c r="A206" s="51" t="str">
        <x:v>MECH-202</x:v>
      </x:c>
      <x:c r="B206" s="51" t="str">
        <x:v>Persistent-access advantage</x:v>
      </x:c>
      <x:c r="C206" s="51" t="str">
        <x:v>Recurring lobbying budget and relationships</x:v>
      </x:c>
      <x:c r="D206" s="51" t="str">
        <x:v>Repeated contact across policy cycles</x:v>
      </x:c>
      <x:c r="E206" s="51" t="str">
        <x:v>Large organisations can maintain institutional memory and access when smaller actors cannot.</x:v>
      </x:c>
      <x:c r="F206" s="51" t="str">
        <x:v>S1</x:v>
      </x:c>
      <x:c r="G206" s="51" t="str">
        <x:v>Officials receive competing information and remain legally accountable.</x:v>
      </x:c>
    </x:row>
    <x:row r="207">
      <x:c r="A207" s="51" t="str">
        <x:v>MECH-203</x:v>
      </x:c>
      <x:c r="B207" s="51" t="str">
        <x:v>Disclosure-window limitation</x:v>
      </x:c>
      <x:c r="C207" s="51" t="str">
        <x:v>Legally reportable lobbying activity</x:v>
      </x:c>
      <x:c r="D207" s="51" t="str">
        <x:v>Partial public audit trail</x:v>
      </x:c>
      <x:c r="E207" s="51" t="str">
        <x:v>Disclosure reveals clients, issues and expenditure while missing informal and exempt influence channels.</x:v>
      </x:c>
      <x:c r="F207" s="51" t="str">
        <x:v>S1</x:v>
      </x:c>
      <x:c r="G207" s="51" t="str">
        <x:v>Absence from filings does not prove absence of influence.</x:v>
      </x:c>
    </x:row>
    <x:row r="208">
      <x:c r="A208" s="51" t="str">
        <x:v>MECH-204</x:v>
      </x:c>
      <x:c r="B208" s="51" t="str">
        <x:v>Independent-expenditure conversion</x:v>
      </x:c>
      <x:c r="C208" s="51" t="str">
        <x:v>Unlimited donor funds</x:v>
      </x:c>
      <x:c r="D208" s="51" t="str">
        <x:v>Electoral communications outside candidate committees</x:v>
      </x:c>
      <x:c r="E208" s="51" t="str">
        <x:v>Super PACs convert concentrated wealth into political messaging under non-coordination rules.</x:v>
      </x:c>
      <x:c r="F208" s="51" t="str">
        <x:v>S1</x:v>
      </x:c>
      <x:c r="G208" s="51" t="str">
        <x:v>Spending does not prove electoral causation or quid pro quo.</x:v>
      </x:c>
    </x:row>
    <x:row r="209">
      <x:c r="A209" s="51" t="str">
        <x:v>MECH-205</x:v>
      </x:c>
      <x:c r="B209" s="51" t="str">
        <x:v>Post-election political reserve</x:v>
      </x:c>
      <x:c r="C209" s="51" t="str">
        <x:v>Fundraising after an election</x:v>
      </x:c>
      <x:c r="D209" s="51" t="str">
        <x:v>Cash available for future electoral or political intervention</x:v>
      </x:c>
      <x:c r="E209" s="51" t="str">
        <x:v>Large committee balances preserve political capacity between election events.</x:v>
      </x:c>
      <x:c r="F209" s="51" t="str">
        <x:v>S1</x:v>
      </x:c>
      <x:c r="G209" s="51" t="str">
        <x:v>Cash may remain unused or be redirected within legal limits.</x:v>
      </x:c>
    </x:row>
    <x:row r="210">
      <x:c r="A210" s="51" t="str">
        <x:v>MECH-206</x:v>
      </x:c>
      <x:c r="B210" s="51" t="str">
        <x:v>Philanthropic agenda capital</x:v>
      </x:c>
      <x:c r="C210" s="51" t="str">
        <x:v>Founder or endowment wealth</x:v>
      </x:c>
      <x:c r="D210" s="51" t="str">
        <x:v>Sustained programme and grant capacity</x:v>
      </x:c>
      <x:c r="E210" s="51" t="str">
        <x:v>Philanthropy allocates resources among problems, institutions and metrics without holding public office.</x:v>
      </x:c>
      <x:c r="F210" s="51" t="str">
        <x:v>S1</x:v>
      </x:c>
      <x:c r="G210" s="51" t="str">
        <x:v>Grants do not automatically purchase conclusions or sovereign authority.</x:v>
      </x:c>
    </x:row>
    <x:row r="211">
      <x:c r="A211" s="51" t="str">
        <x:v>MECH-207</x:v>
      </x:c>
      <x:c r="B211" s="51" t="str">
        <x:v>Grant-network diffusion</x:v>
      </x:c>
      <x:c r="C211" s="51" t="str">
        <x:v>Funding plus technical assistance</x:v>
      </x:c>
      <x:c r="D211" s="51" t="str">
        <x:v>Replicated programmes across institutions or cities</x:v>
      </x:c>
      <x:c r="E211" s="51" t="str">
        <x:v>A foundation can accelerate policy diffusion by financing both experiments and implementation networks.</x:v>
      </x:c>
      <x:c r="F211" s="51" t="str">
        <x:v>S1</x:v>
      </x:c>
      <x:c r="G211" s="51" t="str">
        <x:v>Local adoption and persistence remain uncertain.</x:v>
      </x:c>
    </x:row>
    <x:row r="212">
      <x:c r="A212" s="51" t="str">
        <x:v>MECH-208</x:v>
      </x:c>
      <x:c r="B212" s="51" t="str">
        <x:v>Hybrid grant-investment influence</x:v>
      </x:c>
      <x:c r="C212" s="51" t="str">
        <x:v>Philanthropic grants and mission investments</x:v>
      </x:c>
      <x:c r="D212" s="51" t="str">
        <x:v>Nonprofit and commercial field-building</x:v>
      </x:c>
      <x:c r="E212" s="51" t="str">
        <x:v>Hybrid vehicles shape organisations with different governance and return structures.</x:v>
      </x:c>
      <x:c r="F212" s="51" t="str">
        <x:v>S1</x:v>
      </x:c>
      <x:c r="G212" s="51" t="str">
        <x:v>Grant and equity rights must be separated transaction by transaction.</x:v>
      </x:c>
    </x:row>
    <x:row r="213">
      <x:c r="A213" s="51" t="str">
        <x:v>MECH-209</x:v>
      </x:c>
      <x:c r="B213" s="51" t="str">
        <x:v>Think-tank policy preproduction</x:v>
      </x:c>
      <x:c r="C213" s="51" t="str">
        <x:v>Donor-funded research and expert networks</x:v>
      </x:c>
      <x:c r="D213" s="51" t="str">
        <x:v>Ready-made proposals, testimony and personnel</x:v>
      </x:c>
      <x:c r="E213" s="51" t="str">
        <x:v>Think tanks reduce the time and expertise required for political actors to adopt a programme.</x:v>
      </x:c>
      <x:c r="F213" s="51" t="str">
        <x:v>S1</x:v>
      </x:c>
      <x:c r="G213" s="51" t="str">
        <x:v>Publication does not establish adoption or donor control.</x:v>
      </x:c>
    </x:row>
    <x:row r="214">
      <x:c r="A214" s="51" t="str">
        <x:v>MECH-210</x:v>
      </x:c>
      <x:c r="B214" s="51" t="str">
        <x:v>Convening and vocabulary alignment</x:v>
      </x:c>
      <x:c r="C214" s="51" t="str">
        <x:v>Membership, events and expert publications</x:v>
      </x:c>
      <x:c r="D214" s="51" t="str">
        <x:v>Shared problem definitions among elites</x:v>
      </x:c>
      <x:c r="E214" s="51" t="str">
        <x:v>Repeated convening can align language and assumptions without producing a command hierarchy.</x:v>
      </x:c>
      <x:c r="F214" s="51" t="str">
        <x:v>S1</x:v>
      </x:c>
      <x:c r="G214" s="51" t="str">
        <x:v>Influence is diffuse and causal links require documentary tracing.</x:v>
      </x:c>
    </x:row>
    <x:row r="215">
      <x:c r="A215" s="51" t="str">
        <x:v>MECH-211</x:v>
      </x:c>
      <x:c r="B215" s="51" t="str">
        <x:v>Dual-class media governance</x:v>
      </x:c>
      <x:c r="C215" s="51" t="str">
        <x:v>Dispersed economic ownership plus concentrated votes</x:v>
      </x:c>
      <x:c r="D215" s="51" t="str">
        <x:v>Durable family or founder corporate control</x:v>
      </x:c>
      <x:c r="E215" s="51" t="str">
        <x:v>Voting structures can preserve control beyond proportional cash-flow ownership.</x:v>
      </x:c>
      <x:c r="F215" s="51" t="str">
        <x:v>S1</x:v>
      </x:c>
      <x:c r="G215" s="51" t="str">
        <x:v>Company control is not article-level editorial control.</x:v>
      </x:c>
    </x:row>
    <x:row r="216">
      <x:c r="A216" s="51" t="str">
        <x:v>MECH-212</x:v>
      </x:c>
      <x:c r="B216" s="51" t="str">
        <x:v>Editorial-constitution intervention</x:v>
      </x:c>
      <x:c r="C216" s="51" t="str">
        <x:v>Owner authority</x:v>
      </x:c>
      <x:c r="D216" s="51" t="str">
        <x:v>Change in high-level editorial mission or scope</x:v>
      </x:c>
      <x:c r="E216" s="51" t="str">
        <x:v>An owner can alter the rules governing editorial output without writing each article.</x:v>
      </x:c>
      <x:c r="F216" s="51" t="str">
        <x:v>S1</x:v>
      </x:c>
      <x:c r="G216" s="51" t="str">
        <x:v>News and opinion units may remain operationally distinct.</x:v>
      </x:c>
    </x:row>
    <x:row r="217">
      <x:c r="A217" s="51" t="str">
        <x:v>MECH-213</x:v>
      </x:c>
      <x:c r="B217" s="51" t="str">
        <x:v>Information-platform surplus loop</x:v>
      </x:c>
      <x:c r="C217" s="51" t="str">
        <x:v>Financial data and media business</x:v>
      </x:c>
      <x:c r="D217" s="51" t="str">
        <x:v>Recurring profits, influence and philanthropic capacity</x:v>
      </x:c>
      <x:c r="E217" s="51" t="str">
        <x:v>An information company can generate both market infrastructure and capital for philanthropy.</x:v>
      </x:c>
      <x:c r="F217" s="51" t="str">
        <x:v>S1</x:v>
      </x:c>
      <x:c r="G217" s="51" t="str">
        <x:v>Shared founder identity does not erase legal separation among units.</x:v>
      </x:c>
    </x:row>
    <x:row r="218">
      <x:c r="A218" s="51" t="str">
        <x:v>MECH-214</x:v>
      </x:c>
      <x:c r="B218" s="51" t="str">
        <x:v>Elite broker access</x:v>
      </x:c>
      <x:c r="C218" s="51" t="str">
        <x:v>Introductions, status and promised resources</x:v>
      </x:c>
      <x:c r="D218" s="51" t="str">
        <x:v>Meetings with institutional leaders</x:v>
      </x:c>
      <x:c r="E218" s="51" t="str">
        <x:v>Brokers convert social credibility into access before promised value is verified.</x:v>
      </x:c>
      <x:c r="F218" s="51" t="str">
        <x:v>S1</x:v>
      </x:c>
      <x:c r="G218" s="51" t="str">
        <x:v>Access is not evidence of criminal collaboration.</x:v>
      </x:c>
    </x:row>
    <x:row r="219">
      <x:c r="A219" s="51" t="str">
        <x:v>MECH-215</x:v>
      </x:c>
      <x:c r="B219" s="51" t="str">
        <x:v>Reputational-vetting failure</x:v>
      </x:c>
      <x:c r="C219" s="51" t="str">
        <x:v>Known warning signs plus elite sponsorship</x:v>
      </x:c>
      <x:c r="D219" s="51" t="str">
        <x:v>Institutional engagement despite unresolved risk</x:v>
      </x:c>
      <x:c r="E219" s="51" t="str">
        <x:v>Hierarchy and promised opportunity can suppress or bypass staff concerns.</x:v>
      </x:c>
      <x:c r="F219" s="51" t="str">
        <x:v>S1</x:v>
      </x:c>
      <x:c r="G219" s="51" t="str">
        <x:v>The mechanism must be grounded in documented warnings and decisions.</x:v>
      </x:c>
    </x:row>
    <x:row r="220">
      <x:c r="A220" s="51" t="str">
        <x:v>MECH-216</x:v>
      </x:c>
      <x:c r="B220" s="51" t="str">
        <x:v>Transparency context collapse</x:v>
      </x:c>
      <x:c r="C220" s="51" t="str">
        <x:v>Mass document disclosure</x:v>
      </x:c>
      <x:c r="D220" s="51" t="str">
        <x:v>Names detached from role and evidentiary context</x:v>
      </x:c>
      <x:c r="E220" s="51" t="str">
        <x:v>Large releases can improve accountability while encouraging guilt by association.</x:v>
      </x:c>
      <x:c r="F220" s="51" t="str">
        <x:v>S1</x:v>
      </x:c>
      <x:c r="G220" s="51" t="str">
        <x:v>Record appearance ranges from victim or witness status to verified transaction evidence.</x:v>
      </x:c>
    </x:row>
    <x:row r="221">
      <x:c r="A221" s="51" t="str">
        <x:v>MECH-217</x:v>
      </x:c>
      <x:c r="B221" s="51" t="str">
        <x:v>External-review reform loop</x:v>
      </x:c>
      <x:c r="C221" s="51" t="str">
        <x:v>Scandal or governance failure</x:v>
      </x:c>
      <x:c r="D221" s="51" t="str">
        <x:v>Independent findings and new controls</x:v>
      </x:c>
      <x:c r="E221" s="51" t="str">
        <x:v>Institutions can convert reputational crisis into stronger vetting, escalation and conflict rules.</x:v>
      </x:c>
      <x:c r="F221" s="51" t="str">
        <x:v>S1</x:v>
      </x:c>
      <x:c r="G221" s="51" t="str">
        <x:v>Review scope and implementation gaps limit assurance.</x:v>
      </x:c>
    </x:row>
    <x:row r="222">
      <x:c r="A222" s="51" t="str">
        <x:v>MECH-218</x:v>
      </x:c>
      <x:c r="B222" s="51" t="str">
        <x:v>Claim-to-remedy adjudication</x:v>
      </x:c>
      <x:c r="C222" s="51" t="str">
        <x:v>Complaint, defence and evidence</x:v>
      </x:c>
      <x:c r="D222" s="51" t="str">
        <x:v>Judgment, injunction, dismissal or damages</x:v>
      </x:c>
      <x:c r="E222" s="51" t="str">
        <x:v>Public courts convert contested legal claims into state-backed remedies.</x:v>
      </x:c>
      <x:c r="F222" s="51" t="str">
        <x:v>S1</x:v>
      </x:c>
      <x:c r="G222" s="51" t="str">
        <x:v>A filed complaint is not proof and interim relief is not final judgment.</x:v>
      </x:c>
    </x:row>
    <x:row r="223">
      <x:c r="A223" s="51" t="str">
        <x:v>MECH-219</x:v>
      </x:c>
      <x:c r="B223" s="51" t="str">
        <x:v>Precedent transmission</x:v>
      </x:c>
      <x:c r="C223" s="51" t="str">
        <x:v>Appellate opinion</x:v>
      </x:c>
      <x:c r="D223" s="51" t="str">
        <x:v>Binding rule for lower courts</x:v>
      </x:c>
      <x:c r="E223" s="51" t="str">
        <x:v>Precedent standardises future legal decisions beyond the original parties.</x:v>
      </x:c>
      <x:c r="F223" s="51" t="str">
        <x:v>S1</x:v>
      </x:c>
      <x:c r="G223" s="51" t="str">
        <x:v>Scope depends on jurisdiction, holding and later interpretation.</x:v>
      </x:c>
    </x:row>
    <x:row r="224">
      <x:c r="A224" s="51" t="str">
        <x:v>MECH-220</x:v>
      </x:c>
      <x:c r="B224" s="51" t="str">
        <x:v>Counsel translation</x:v>
      </x:c>
      <x:c r="C224" s="51" t="str">
        <x:v>Client facts and objectives</x:v>
      </x:c>
      <x:c r="D224" s="51" t="str">
        <x:v>Pleadings, evidence and legal argument</x:v>
      </x:c>
      <x:c r="E224" s="51" t="str">
        <x:v>Professional counsel makes complex private disputes legible to adjudicative institutions.</x:v>
      </x:c>
      <x:c r="F224" s="51" t="str">
        <x:v>S1</x:v>
      </x:c>
      <x:c r="G224" s="51" t="str">
        <x:v>Resources and quality of representation are unequal.</x:v>
      </x:c>
    </x:row>
    <x:row r="225">
      <x:c r="A225" s="51" t="str">
        <x:v>MECH-221</x:v>
      </x:c>
      <x:c r="B225" s="51" t="str">
        <x:v>Forum-selection conversion</x:v>
      </x:c>
      <x:c r="C225" s="51" t="str">
        <x:v>Contractual arbitration clause</x:v>
      </x:c>
      <x:c r="D225" s="51" t="str">
        <x:v>Private adjudicative forum</x:v>
      </x:c>
      <x:c r="E225" s="51" t="str">
        <x:v>Parties can pre-commit disputes to a selected institution and procedural rule set.</x:v>
      </x:c>
      <x:c r="F225" s="51" t="str">
        <x:v>S1</x:v>
      </x:c>
      <x:c r="G225" s="51" t="str">
        <x:v>Consent and jurisdiction can still be contested.</x:v>
      </x:c>
    </x:row>
    <x:row r="226">
      <x:c r="A226" s="51" t="str">
        <x:v>MECH-222</x:v>
      </x:c>
      <x:c r="B226" s="51" t="str">
        <x:v>Award-to-enforcement conversion</x:v>
      </x:c>
      <x:c r="C226" s="51" t="str">
        <x:v>Arbitral award</x:v>
      </x:c>
      <x:c r="D226" s="51" t="str">
        <x:v>Nationally enforceable claim against assets</x:v>
      </x:c>
      <x:c r="E226" s="51" t="str">
        <x:v>Arbitration becomes coercive through recognition and enforcement by public legal systems.</x:v>
      </x:c>
      <x:c r="F226" s="51" t="str">
        <x:v>S1</x:v>
      </x:c>
      <x:c r="G226" s="51" t="str">
        <x:v>Awards do not automatically collect themselves.</x:v>
      </x:c>
    </x:row>
    <x:row r="227">
      <x:c r="A227" s="51" t="str">
        <x:v>MECH-223</x:v>
      </x:c>
      <x:c r="B227" s="51" t="str">
        <x:v>Treaty-consent conversion</x:v>
      </x:c>
      <x:c r="C227" s="51" t="str">
        <x:v>Investment treaty, law or contract</x:v>
      </x:c>
      <x:c r="D227" s="51" t="str">
        <x:v>Investor-state arbitral jurisdiction</x:v>
      </x:c>
      <x:c r="E227" s="51" t="str">
        <x:v>Sovereign consent instruments create bounded external adjudication of investment disputes.</x:v>
      </x:c>
      <x:c r="F227" s="51" t="str">
        <x:v>S1</x:v>
      </x:c>
      <x:c r="G227" s="51" t="str">
        <x:v>Consent does not transfer general sovereignty.</x:v>
      </x:c>
    </x:row>
    <x:row r="228">
      <x:c r="A228" s="51" t="str">
        <x:v>MECH-224</x:v>
      </x:c>
      <x:c r="B228" s="51" t="str">
        <x:v>Registry continuity</x:v>
      </x:c>
      <x:c r="C228" s="51" t="str">
        <x:v>Case-specific tribunal</x:v>
      </x:c>
      <x:c r="D228" s="51" t="str">
        <x:v>Stable administrative infrastructure</x:v>
      </x:c>
      <x:c r="E228" s="51" t="str">
        <x:v>Arbitration institutions provide appointments, rules, records and logistics across temporary tribunals.</x:v>
      </x:c>
      <x:c r="F228" s="51" t="str">
        <x:v>S1</x:v>
      </x:c>
      <x:c r="G228" s="51" t="str">
        <x:v>Administrative institutions usually do not decide merits.</x:v>
      </x:c>
    </x:row>
    <x:row r="229">
      <x:c r="A229" s="51" t="str">
        <x:v>MECH-225</x:v>
      </x:c>
      <x:c r="B229" s="51" t="str">
        <x:v>Legal-claim financialisation</x:v>
      </x:c>
      <x:c r="C229" s="51" t="str">
        <x:v>Contingent legal recovery</x:v>
      </x:c>
      <x:c r="D229" s="51" t="str">
        <x:v>Present nonrecourse capital</x:v>
      </x:c>
      <x:c r="E229" s="51" t="str">
        <x:v>Litigation finance converts uncertain future recovery into current funding capacity.</x:v>
      </x:c>
      <x:c r="F229" s="51" t="str">
        <x:v>S1</x:v>
      </x:c>
      <x:c r="G229" s="51" t="str">
        <x:v>Control rights and transparency vary by contract and law.</x:v>
      </x:c>
    </x:row>
    <x:row r="230">
      <x:c r="A230" s="51" t="str">
        <x:v>MECH-226</x:v>
      </x:c>
      <x:c r="B230" s="51" t="str">
        <x:v>Funding-disclosure tradeoff</x:v>
      </x:c>
      <x:c r="C230" s="51" t="str">
        <x:v>Litigation-finance contract</x:v>
      </x:c>
      <x:c r="D230" s="51" t="str">
        <x:v>Conflict information or strategic exposure</x:v>
      </x:c>
      <x:c r="E230" s="51" t="str">
        <x:v>Disclosure can improve judicial conflict management while revealing case economics and strategy.</x:v>
      </x:c>
      <x:c r="F230" s="51" t="str">
        <x:v>S1</x:v>
      </x:c>
      <x:c r="G230" s="51" t="str">
        <x:v>No uniform federal rule currently governs all cases.</x:v>
      </x:c>
    </x:row>
    <x:row r="231">
      <x:c r="A231" s="51" t="str">
        <x:v>MECH-227</x:v>
      </x:c>
      <x:c r="B231" s="51" t="str">
        <x:v>Automatic-stay collectivisation</x:v>
      </x:c>
      <x:c r="C231" s="51" t="str">
        <x:v>Bankruptcy petition</x:v>
      </x:c>
      <x:c r="D231" s="51" t="str">
        <x:v>Temporary halt to individual collection</x:v>
      </x:c>
      <x:c r="E231" s="51" t="str">
        <x:v>Bankruptcy replaces a creditor race with a collective process.</x:v>
      </x:c>
      <x:c r="F231" s="51" t="str">
        <x:v>S1</x:v>
      </x:c>
      <x:c r="G231" s="51" t="str">
        <x:v>Stay scope and exceptions vary.</x:v>
      </x:c>
    </x:row>
    <x:row r="232">
      <x:c r="A232" s="51" t="str">
        <x:v>MECH-228</x:v>
      </x:c>
      <x:c r="B232" s="51" t="str">
        <x:v>DIP-priority conversion</x:v>
      </x:c>
      <x:c r="C232" s="51" t="str">
        <x:v>New distressed financing</x:v>
      </x:c>
      <x:c r="D232" s="51" t="str">
        <x:v>Priority claim, liens and covenants</x:v>
      </x:c>
      <x:c r="E232" s="51" t="str">
        <x:v>Fresh capital can obtain superior legal priority in exchange for rescue liquidity.</x:v>
      </x:c>
      <x:c r="F232" s="51" t="str">
        <x:v>S1</x:v>
      </x:c>
      <x:c r="G232" s="51" t="str">
        <x:v>Priority does not automatically equal ownership.</x:v>
      </x:c>
    </x:row>
    <x:row r="233">
      <x:c r="A233" s="51" t="str">
        <x:v>MECH-229</x:v>
      </x:c>
      <x:c r="B233" s="51" t="str">
        <x:v>Cash-collateral leverage</x:v>
      </x:c>
      <x:c r="C233" s="51" t="str">
        <x:v>Prepetition security interest</x:v>
      </x:c>
      <x:c r="D233" s="51" t="str">
        <x:v>Budget and adequate-protection conditions</x:v>
      </x:c>
      <x:c r="E233" s="51" t="str">
        <x:v>Control over collateral converts into bargaining power over operations during bankruptcy.</x:v>
      </x:c>
      <x:c r="F233" s="51" t="str">
        <x:v>S1</x:v>
      </x:c>
      <x:c r="G233" s="51" t="str">
        <x:v>Courts can authorise use over objection under statutory standards.</x:v>
      </x:c>
    </x:row>
    <x:row r="234">
      <x:c r="A234" s="51" t="str">
        <x:v>MECH-230</x:v>
      </x:c>
      <x:c r="B234" s="51" t="str">
        <x:v>Plan-to-capital-structure conversion</x:v>
      </x:c>
      <x:c r="C234" s="51" t="str">
        <x:v>Creditor claims, votes and valuation</x:v>
      </x:c>
      <x:c r="D234" s="51" t="str">
        <x:v>New debt, equity and distributions</x:v>
      </x:c>
      <x:c r="E234" s="51" t="str">
        <x:v>Plan confirmation reallocates enterprise value across creditor and equity classes.</x:v>
      </x:c>
      <x:c r="F234" s="51" t="str">
        <x:v>S1</x:v>
      </x:c>
      <x:c r="G234" s="51" t="str">
        <x:v>Valuation and class treatment remain contestable.</x:v>
      </x:c>
    </x:row>
    <x:row r="235">
      <x:c r="A235" s="51" t="str">
        <x:v>MECH-231</x:v>
      </x:c>
      <x:c r="B235" s="51" t="str">
        <x:v>Court-supervised asset transfer</x:v>
      </x:c>
      <x:c r="C235" s="51" t="str">
        <x:v>Distressed assets and bids</x:v>
      </x:c>
      <x:c r="D235" s="51" t="str">
        <x:v>New ownership through approved sale</x:v>
      </x:c>
      <x:c r="E235" s="51" t="str">
        <x:v>Bankruptcy sales convert illiquid enterprise assets into recoveries and new control.</x:v>
      </x:c>
      <x:c r="F235" s="51" t="str">
        <x:v>S1</x:v>
      </x:c>
      <x:c r="G235" s="51" t="str">
        <x:v>The highest bid may not maximise all stakeholder welfare.</x:v>
      </x:c>
    </x:row>
    <x:row r="236">
      <x:c r="A236" s="51" t="str">
        <x:v>MECH-232</x:v>
      </x:c>
      <x:c r="B236" s="51" t="str">
        <x:v>Cross-border recognition</x:v>
      </x:c>
      <x:c r="C236" s="51" t="str">
        <x:v>Foreign insolvency proceeding</x:v>
      </x:c>
      <x:c r="D236" s="51" t="str">
        <x:v>Domestic cooperation and protective relief</x:v>
      </x:c>
      <x:c r="E236" s="51" t="str">
        <x:v>Recognition connects separate national insolvency systems around one debtor.</x:v>
      </x:c>
      <x:c r="F236" s="51" t="str">
        <x:v>S1</x:v>
      </x:c>
      <x:c r="G236" s="51" t="str">
        <x:v>Public-policy and recognition requirements limit relief.</x:v>
      </x:c>
    </x:row>
    <x:row r="237">
      <x:c r="A237" s="51" t="str">
        <x:v>MECH-233</x:v>
      </x:c>
      <x:c r="B237" s="51" t="str">
        <x:v>Application-to-exclusionary-right conversion</x:v>
      </x:c>
      <x:c r="C237" s="51" t="str">
        <x:v>Technical disclosure and claims</x:v>
      </x:c>
      <x:c r="D237" s="51" t="str">
        <x:v>Territorial patent right</x:v>
      </x:c>
      <x:c r="E237" s="51" t="str">
        <x:v>Patent examination converts knowledge into a time-limited right to exclude.</x:v>
      </x:c>
      <x:c r="F237" s="51" t="str">
        <x:v>S1</x:v>
      </x:c>
      <x:c r="G237" s="51" t="str">
        <x:v>A patent is not a guarantee of validity, value or freedom to operate.</x:v>
      </x:c>
    </x:row>
    <x:row r="238">
      <x:c r="A238" s="51" t="str">
        <x:v>MECH-234</x:v>
      </x:c>
      <x:c r="B238" s="51" t="str">
        <x:v>PCT option preservation</x:v>
      </x:c>
      <x:c r="C238" s="51" t="str">
        <x:v>Single international application</x:v>
      </x:c>
      <x:c r="D238" s="51" t="str">
        <x:v>Delayed national filing choices</x:v>
      </x:c>
      <x:c r="E238" s="51" t="str">
        <x:v>The PCT coordinates filing strategy without creating a global patent.</x:v>
      </x:c>
      <x:c r="F238" s="51" t="str">
        <x:v>S1</x:v>
      </x:c>
      <x:c r="G238" s="51" t="str">
        <x:v>National offices retain grant authority.</x:v>
      </x:c>
    </x:row>
    <x:row r="239">
      <x:c r="A239" s="51" t="str">
        <x:v>MECH-235</x:v>
      </x:c>
      <x:c r="B239" s="51" t="str">
        <x:v>Licence monetisation</x:v>
      </x:c>
      <x:c r="C239" s="51" t="str">
        <x:v>Exclusionary patent right</x:v>
      </x:c>
      <x:c r="D239" s="51" t="str">
        <x:v>Royalty and authorised use</x:v>
      </x:c>
      <x:c r="E239" s="51" t="str">
        <x:v>Licensing converts legal exclusion into recurring commercial access.</x:v>
      </x:c>
      <x:c r="F239" s="51" t="str">
        <x:v>S1</x:v>
      </x:c>
      <x:c r="G239" s="51" t="str">
        <x:v>Terms can reflect market power, litigation risk and alternatives.</x:v>
      </x:c>
    </x:row>
    <x:row r="240">
      <x:c r="A240" s="51" t="str">
        <x:v>MECH-236</x:v>
      </x:c>
      <x:c r="B240" s="51" t="str">
        <x:v>Section 337 border conversion</x:v>
      </x:c>
      <x:c r="C240" s="51" t="str">
        <x:v>IP violation finding</x:v>
      </x:c>
      <x:c r="D240" s="51" t="str">
        <x:v>Exclusion of covered imports</x:v>
      </x:c>
      <x:c r="E240" s="51" t="str">
        <x:v>The USITC converts adjudicated IP claims into border remedies implemented by customs.</x:v>
      </x:c>
      <x:c r="F240" s="51" t="str">
        <x:v>S1</x:v>
      </x:c>
      <x:c r="G240" s="51" t="str">
        <x:v>USITC relief is not a general damages award or worldwide ban.</x:v>
      </x:c>
    </x:row>
    <x:row r="241">
      <x:c r="A241" s="51" t="str">
        <x:v>MECH-237</x:v>
      </x:c>
      <x:c r="B241" s="51" t="str">
        <x:v>Legal-state sequencing</x:v>
      </x:c>
      <x:c r="C241" s="51" t="str">
        <x:v>Claim, order, award or filing</x:v>
      </x:c>
      <x:c r="D241" s="51" t="str">
        <x:v>Next legally distinct state</x:v>
      </x:c>
      <x:c r="E241" s="51" t="str">
        <x:v>Legal power must be tracked through exact states rather than inferred from labels.</x:v>
      </x:c>
      <x:c r="F241" s="51" t="str">
        <x:v>S1</x:v>
      </x:c>
      <x:c r="G241" s="51" t="str">
        <x:v>Skipping intermediate states creates false claims about finality or ownership.</x:v>
      </x:c>
    </x:row>
    <x:row r="242">
      <x:c r="A242" s="51" t="str">
        <x:v>MECH-238</x:v>
      </x:c>
      <x:c r="B242" s="51" t="str">
        <x:v>Premium-to-pool conversion</x:v>
      </x:c>
      <x:c r="C242" s="51" t="str">
        <x:v>Policyholder premiums</x:v>
      </x:c>
      <x:c r="D242" s="51" t="str">
        <x:v>Diversified insurer loss pool</x:v>
      </x:c>
      <x:c r="E242" s="51" t="str">
        <x:v>Insurance pools many uncertain losses into a funded contractual balance sheet.</x:v>
      </x:c>
      <x:c r="F242" s="51" t="str">
        <x:v>S1</x:v>
      </x:c>
      <x:c r="G242" s="51" t="str">
        <x:v>Correlation, selection and underpricing can defeat diversification.</x:v>
      </x:c>
    </x:row>
    <x:row r="243">
      <x:c r="A243" s="51" t="str">
        <x:v>MECH-239</x:v>
      </x:c>
      <x:c r="B243" s="51" t="str">
        <x:v>Claim-verification conversion</x:v>
      </x:c>
      <x:c r="C243" s="51" t="str">
        <x:v>Reported loss and policy terms</x:v>
      </x:c>
      <x:c r="D243" s="51" t="str">
        <x:v>Approved, denied or adjusted claim</x:v>
      </x:c>
      <x:c r="E243" s="51" t="str">
        <x:v>Claims handling translates physical damage into a contractual financial obligation.</x:v>
      </x:c>
      <x:c r="F243" s="51" t="str">
        <x:v>S1</x:v>
      </x:c>
      <x:c r="G243" s="51" t="str">
        <x:v>Coverage disputes and estimation error remain.</x:v>
      </x:c>
    </x:row>
    <x:row r="244">
      <x:c r="A244" s="51" t="str">
        <x:v>MECH-240</x:v>
      </x:c>
      <x:c r="B244" s="51" t="str">
        <x:v>Reinsurance volatility transfer</x:v>
      </x:c>
      <x:c r="C244" s="51" t="str">
        <x:v>Primary insurance portfolio</x:v>
      </x:c>
      <x:c r="D244" s="51" t="str">
        <x:v>Ceded loss layer</x:v>
      </x:c>
      <x:c r="E244" s="51" t="str">
        <x:v>Reinsurance moves defined frequency or severity risk to a larger balance sheet.</x:v>
      </x:c>
      <x:c r="F244" s="51" t="str">
        <x:v>S1</x:v>
      </x:c>
      <x:c r="G244" s="51" t="str">
        <x:v>It introduces reinsurer credit and contract-basis risk.</x:v>
      </x:c>
    </x:row>
    <x:row r="245">
      <x:c r="A245" s="51" t="str">
        <x:v>MECH-241</x:v>
      </x:c>
      <x:c r="B245" s="51" t="str">
        <x:v>Retrocession risk layering</x:v>
      </x:c>
      <x:c r="C245" s="51" t="str">
        <x:v>Reinsurance accumulation</x:v>
      </x:c>
      <x:c r="D245" s="51" t="str">
        <x:v>Further ceded catastrophe exposure</x:v>
      </x:c>
      <x:c r="E245" s="51" t="str">
        <x:v>Retrocession spreads peak risk across multiple insurance balance sheets.</x:v>
      </x:c>
      <x:c r="F245" s="51" t="str">
        <x:v>S1</x:v>
      </x:c>
      <x:c r="G245" s="51" t="str">
        <x:v>Interconnected contracts can conceal concentration.</x:v>
      </x:c>
    </x:row>
    <x:row r="246">
      <x:c r="A246" s="51" t="str">
        <x:v>MECH-242</x:v>
      </x:c>
      <x:c r="B246" s="51" t="str">
        <x:v>Marketplace capacity aggregation</x:v>
      </x:c>
      <x:c r="C246" s="51" t="str">
        <x:v>Brokered risk and multiple syndicates</x:v>
      </x:c>
      <x:c r="D246" s="51" t="str">
        <x:v>Combined specialty insurance line</x:v>
      </x:c>
      <x:c r="E246" s="51" t="str">
        <x:v>A marketplace pools separate underwriting appetites without merging all capital into one company.</x:v>
      </x:c>
      <x:c r="F246" s="51" t="str">
        <x:v>S1</x:v>
      </x:c>
      <x:c r="G246" s="51" t="str">
        <x:v>Central support is bounded and syndicates remain distinct.</x:v>
      </x:c>
    </x:row>
    <x:row r="247">
      <x:c r="A247" s="51" t="str">
        <x:v>MECH-243</x:v>
      </x:c>
      <x:c r="B247" s="51" t="str">
        <x:v>Chain-of-security reinforcement</x:v>
      </x:c>
      <x:c r="C247" s="51" t="str">
        <x:v>Syndicate and member resources</x:v>
      </x:c>
      <x:c r="D247" s="51" t="str">
        <x:v>Additional central policyholder protection</x:v>
      </x:c>
      <x:c r="E247" s="51" t="str">
        <x:v>Layered central resources increase confidence beyond individual underwriting entities.</x:v>
      </x:c>
      <x:c r="F247" s="51" t="str">
        <x:v>S1</x:v>
      </x:c>
      <x:c r="G247" s="51" t="str">
        <x:v>They are not unlimited state guarantees.</x:v>
      </x:c>
    </x:row>
    <x:row r="248">
      <x:c r="A248" s="51" t="str">
        <x:v>MECH-244</x:v>
      </x:c>
      <x:c r="B248" s="51" t="str">
        <x:v>Insurance-to-security transformation</x:v>
      </x:c>
      <x:c r="C248" s="51" t="str">
        <x:v>Defined catastrophe exposure</x:v>
      </x:c>
      <x:c r="D248" s="51" t="str">
        <x:v>Principal-at-risk notes</x:v>
      </x:c>
      <x:c r="E248" s="51" t="str">
        <x:v>Catastrophe bonds convert insurance risk into collateralised capital-market instruments.</x:v>
      </x:c>
      <x:c r="F248" s="51" t="str">
        <x:v>S1</x:v>
      </x:c>
      <x:c r="G248" s="51" t="str">
        <x:v>Trigger basis can diverge from sponsor losses.</x:v>
      </x:c>
    </x:row>
    <x:row r="249">
      <x:c r="A249" s="51" t="str">
        <x:v>MECH-245</x:v>
      </x:c>
      <x:c r="B249" s="51" t="str">
        <x:v>Trigger-to-principal conversion</x:v>
      </x:c>
      <x:c r="C249" s="51" t="str">
        <x:v>Contractual event trigger</x:v>
      </x:c>
      <x:c r="D249" s="51" t="str">
        <x:v>Reduction of investor principal and sponsor recovery</x:v>
      </x:c>
      <x:c r="E249" s="51" t="str">
        <x:v>ILS triggers turn a physical or loss event into a security write-down.</x:v>
      </x:c>
      <x:c r="F249" s="51" t="str">
        <x:v>S1</x:v>
      </x:c>
      <x:c r="G249" s="51" t="str">
        <x:v>Trigger design may create basis risk.</x:v>
      </x:c>
    </x:row>
    <x:row r="250">
      <x:c r="A250" s="51" t="str">
        <x:v>MECH-246</x:v>
      </x:c>
      <x:c r="B250" s="51" t="str">
        <x:v>Protection-gap retention</x:v>
      </x:c>
      <x:c r="C250" s="51" t="str">
        <x:v>Total catastrophe loss less insured recovery</x:v>
      </x:c>
      <x:c r="D250" s="51" t="str">
        <x:v>Loss borne by households, firms and governments</x:v>
      </x:c>
      <x:c r="E250" s="51" t="str">
        <x:v>Uninsured risk remains on exposed balance sheets or public systems.</x:v>
      </x:c>
      <x:c r="F250" s="51" t="str">
        <x:v>S1</x:v>
      </x:c>
      <x:c r="G250" s="51" t="str">
        <x:v>Post-event aid and informal transfers can change ultimate incidence.</x:v>
      </x:c>
    </x:row>
    <x:row r="251">
      <x:c r="A251" s="51" t="str">
        <x:v>MECH-247</x:v>
      </x:c>
      <x:c r="B251" s="51" t="str">
        <x:v>Derivative payoff transformation</x:v>
      </x:c>
      <x:c r="C251" s="51" t="str">
        <x:v>Underlying price, rate or credit event</x:v>
      </x:c>
      <x:c r="D251" s="51" t="str">
        <x:v>Contractual cash-flow change</x:v>
      </x:c>
      <x:c r="E251" s="51" t="str">
        <x:v>Derivatives isolate and trade specified economic sensitivities.</x:v>
      </x:c>
      <x:c r="F251" s="51" t="str">
        <x:v>S1</x:v>
      </x:c>
      <x:c r="G251" s="51" t="str">
        <x:v>Basis, liquidity and leverage risks remain.</x:v>
      </x:c>
    </x:row>
    <x:row r="252">
      <x:c r="A252" s="51" t="str">
        <x:v>MECH-248</x:v>
      </x:c>
      <x:c r="B252" s="51" t="str">
        <x:v>Dealer risk redistribution</x:v>
      </x:c>
      <x:c r="C252" s="51" t="str">
        <x:v>Client hedge</x:v>
      </x:c>
      <x:c r="D252" s="51" t="str">
        <x:v>Offsetting dealer portfolio and market trades</x:v>
      </x:c>
      <x:c r="E252" s="51" t="str">
        <x:v>Dealers warehouse, net and redistribute heterogeneous risks.</x:v>
      </x:c>
      <x:c r="F252" s="51" t="str">
        <x:v>S1</x:v>
      </x:c>
      <x:c r="G252" s="51" t="str">
        <x:v>Concentration can build at dealers and counterparties.</x:v>
      </x:c>
    </x:row>
    <x:row r="253">
      <x:c r="A253" s="51" t="str">
        <x:v>MECH-249</x:v>
      </x:c>
      <x:c r="B253" s="51" t="str">
        <x:v>Novation centralisation</x:v>
      </x:c>
      <x:c r="C253" s="51" t="str">
        <x:v>Bilateral trade</x:v>
      </x:c>
      <x:c r="D253" s="51" t="str">
        <x:v>Two matched CCP obligations</x:v>
      </x:c>
      <x:c r="E253" s="51" t="str">
        <x:v>Central clearing substitutes one regulated counterparty for bilateral exposure.</x:v>
      </x:c>
      <x:c r="F253" s="51" t="str">
        <x:v>S1</x:v>
      </x:c>
      <x:c r="G253" s="51" t="str">
        <x:v>Risk is reduced and concentrated, not eliminated.</x:v>
      </x:c>
    </x:row>
    <x:row r="254">
      <x:c r="A254" s="51" t="str">
        <x:v>MECH-250</x:v>
      </x:c>
      <x:c r="B254" s="51" t="str">
        <x:v>Initial-margin liquidity conversion</x:v>
      </x:c>
      <x:c r="C254" s="51" t="str">
        <x:v>Liquid assets</x:v>
      </x:c>
      <x:c r="D254" s="51" t="str">
        <x:v>Collateral covering potential future exposure</x:v>
      </x:c>
      <x:c r="E254" s="51" t="str">
        <x:v>Initial margin transforms participant liquidity into default protection.</x:v>
      </x:c>
      <x:c r="F254" s="51" t="str">
        <x:v>S1</x:v>
      </x:c>
      <x:c r="G254" s="51" t="str">
        <x:v>Margin calls can amplify stress and fire sales.</x:v>
      </x:c>
    </x:row>
    <x:row r="255">
      <x:c r="A255" s="51" t="str">
        <x:v>MECH-251</x:v>
      </x:c>
      <x:c r="B255" s="51" t="str">
        <x:v>Variation-margin immediacy</x:v>
      </x:c>
      <x:c r="C255" s="51" t="str">
        <x:v>Current mark-to-market loss</x:v>
      </x:c>
      <x:c r="D255" s="51" t="str">
        <x:v>Immediate settlement cash flow</x:v>
      </x:c>
      <x:c r="E255" s="51" t="str">
        <x:v>Variation margin prevents current exposure accumulation by transferring cash quickly.</x:v>
      </x:c>
      <x:c r="F255" s="51" t="str">
        <x:v>S1</x:v>
      </x:c>
      <x:c r="G255" s="51" t="str">
        <x:v>It can create acute liquidity shocks.</x:v>
      </x:c>
    </x:row>
    <x:row r="256">
      <x:c r="A256" s="51" t="str">
        <x:v>MECH-252</x:v>
      </x:c>
      <x:c r="B256" s="51" t="str">
        <x:v>Collateral eligibility hierarchy</x:v>
      </x:c>
      <x:c r="C256" s="51" t="str">
        <x:v>Cash and securities</x:v>
      </x:c>
      <x:c r="D256" s="51" t="str">
        <x:v>Haircut-adjusted collateral value</x:v>
      </x:c>
      <x:c r="E256" s="51" t="str">
        <x:v>Eligibility and haircuts turn asset quality into usable risk resources.</x:v>
      </x:c>
      <x:c r="F256" s="51" t="str">
        <x:v>S1</x:v>
      </x:c>
      <x:c r="G256" s="51" t="str">
        <x:v>Market stress can reduce collateral value and liquidity.</x:v>
      </x:c>
    </x:row>
    <x:row r="257">
      <x:c r="A257" s="51" t="str">
        <x:v>MECH-253</x:v>
      </x:c>
      <x:c r="B257" s="51" t="str">
        <x:v>Defaulter-pays sequencing</x:v>
      </x:c>
      <x:c r="C257" s="51" t="str">
        <x:v>Failed member resources</x:v>
      </x:c>
      <x:c r="D257" s="51" t="str">
        <x:v>First-loss absorption</x:v>
      </x:c>
      <x:c r="E257" s="51" t="str">
        <x:v>Waterfalls allocate the failed participant's resources before mutualised layers.</x:v>
      </x:c>
      <x:c r="F257" s="51" t="str">
        <x:v>S1</x:v>
      </x:c>
      <x:c r="G257" s="51" t="str">
        <x:v>Extreme losses can exceed defaulter resources.</x:v>
      </x:c>
    </x:row>
    <x:row r="258">
      <x:c r="A258" s="51" t="str">
        <x:v>MECH-254</x:v>
      </x:c>
      <x:c r="B258" s="51" t="str">
        <x:v>Default-loss mutualisation</x:v>
      </x:c>
      <x:c r="C258" s="51" t="str">
        <x:v>Residual member default loss</x:v>
      </x:c>
      <x:c r="D258" s="51" t="str">
        <x:v>Default-fund and assessment burden</x:v>
      </x:c>
      <x:c r="E258" s="51" t="str">
        <x:v>Central clearing distributes extreme tail losses across surviving members under rules.</x:v>
      </x:c>
      <x:c r="F258" s="51" t="str">
        <x:v>S1</x:v>
      </x:c>
      <x:c r="G258" s="51" t="str">
        <x:v>Mutualisation can transmit stress among major institutions.</x:v>
      </x:c>
    </x:row>
    <x:row r="259">
      <x:c r="A259" s="51" t="str">
        <x:v>MECH-255</x:v>
      </x:c>
      <x:c r="B259" s="51" t="str">
        <x:v>Default-auction mobilisation</x:v>
      </x:c>
      <x:c r="C259" s="51" t="str">
        <x:v>Defaulted portfolio</x:v>
      </x:c>
      <x:c r="D259" s="51" t="str">
        <x:v>Hedged, auctioned or liquidated positions</x:v>
      </x:c>
      <x:c r="E259" s="51" t="str">
        <x:v>CCPs mobilise member expertise to restore a balanced book after failure.</x:v>
      </x:c>
      <x:c r="F259" s="51" t="str">
        <x:v>S1</x:v>
      </x:c>
      <x:c r="G259" s="51" t="str">
        <x:v>Auction incentives and concentration risk require governance.</x:v>
      </x:c>
    </x:row>
    <x:row r="260">
      <x:c r="A260" s="51" t="str">
        <x:v>MECH-256</x:v>
      </x:c>
      <x:c r="B260" s="51" t="str">
        <x:v>Recovery-to-resolution transition</x:v>
      </x:c>
      <x:c r="C260" s="51" t="str">
        <x:v>Exhausted private recovery tools</x:v>
      </x:c>
      <x:c r="D260" s="51" t="str">
        <x:v>Public resolution intervention</x:v>
      </x:c>
      <x:c r="E260" s="51" t="str">
        <x:v>Resolution authorities preserve critical clearing functions or wind them down.</x:v>
      </x:c>
      <x:c r="F260" s="51" t="str">
        <x:v>S1</x:v>
      </x:c>
      <x:c r="G260" s="51" t="str">
        <x:v>Resolution can still impose losses and market disruption.</x:v>
      </x:c>
    </x:row>
    <x:row r="261">
      <x:c r="A261" s="51" t="str">
        <x:v>MECH-257</x:v>
      </x:c>
      <x:c r="B261" s="51" t="str">
        <x:v>Netting exposure compression</x:v>
      </x:c>
      <x:c r="C261" s="51" t="str">
        <x:v>Gross reciprocal obligations</x:v>
      </x:c>
      <x:c r="D261" s="51" t="str">
        <x:v>Single close-out amount</x:v>
      </x:c>
      <x:c r="E261" s="51" t="str">
        <x:v>Legally enforceable netting reduces replacement-cost exposure across contracts.</x:v>
      </x:c>
      <x:c r="F261" s="51" t="str">
        <x:v>S1</x:v>
      </x:c>
      <x:c r="G261" s="51" t="str">
        <x:v>Notional remains large and netting can fail legally or operationally.</x:v>
      </x:c>
    </x:row>
    <x:row r="262">
      <x:c r="A262" s="51" t="str">
        <x:v>MECH-258</x:v>
      </x:c>
      <x:c r="B262" s="51" t="str">
        <x:v>Notional-versus-risk separation</x:v>
      </x:c>
      <x:c r="C262" s="51" t="str">
        <x:v>Contract reference amount</x:v>
      </x:c>
      <x:c r="D262" s="51" t="str">
        <x:v>Actual market, credit and liquidity exposure</x:v>
      </x:c>
      <x:c r="E262" s="51" t="str">
        <x:v>Notional measures scale, not the amount economically at risk.</x:v>
      </x:c>
      <x:c r="F262" s="51" t="str">
        <x:v>S1</x:v>
      </x:c>
      <x:c r="G262" s="51" t="str">
        <x:v>Notional can still signal interconnectedness and operational burden.</x:v>
      </x:c>
    </x:row>
    <x:row r="263">
      <x:c r="A263" s="51" t="str">
        <x:v>MECH-259</x:v>
      </x:c>
      <x:c r="B263" s="51" t="str">
        <x:v>Bank deposit creation</x:v>
      </x:c>
      <x:c r="C263" s="51" t="str">
        <x:v>Loan or nonbank asset purchase</x:v>
      </x:c>
      <x:c r="D263" s="51" t="str">
        <x:v>Matching commercial-bank deposit liability</x:v>
      </x:c>
      <x:c r="E263" s="51" t="str">
        <x:v>Bank balance-sheet expansion creates money-like claims while also creating credit or market exposure.</x:v>
      </x:c>
      <x:c r="F263" s="51" t="str">
        <x:v>S1</x:v>
      </x:c>
      <x:c r="G263" s="51" t="str">
        <x:v>Capital, liquidity, credit demand and settlement outflows constrain expansion.</x:v>
      </x:c>
    </x:row>
    <x:row r="264">
      <x:c r="A264" s="51" t="str">
        <x:v>MECH-260</x:v>
      </x:c>
      <x:c r="B264" s="51" t="str">
        <x:v>Par-convertibility expectation</x:v>
      </x:c>
      <x:c r="C264" s="51" t="str">
        <x:v>Bank deposit liability</x:v>
      </x:c>
      <x:c r="D264" s="51" t="str">
        <x:v>Payment at face value in cash or settlement money</x:v>
      </x:c>
      <x:c r="E264" s="51" t="str">
        <x:v>Deposit insurance, central-bank liquidity and supervision support the expectation that bank deposits trade at par.</x:v>
      </x:c>
      <x:c r="F264" s="51" t="str">
        <x:v>S1</x:v>
      </x:c>
      <x:c r="G264" s="51" t="str">
        <x:v>Uninsured claims can lose value after failure.</x:v>
      </x:c>
    </x:row>
    <x:row r="265">
      <x:c r="A265" s="51" t="str">
        <x:v>MECH-261</x:v>
      </x:c>
      <x:c r="B265" s="51" t="str">
        <x:v>Interbank settlement drain</x:v>
      </x:c>
      <x:c r="C265" s="51" t="str">
        <x:v>Deposit transfer across banks</x:v>
      </x:c>
      <x:c r="D265" s="51" t="str">
        <x:v>Reserve outflow from payer bank</x:v>
      </x:c>
      <x:c r="E265" s="51" t="str">
        <x:v>Payments can move deposits away from the originating bank and create refinancing needs.</x:v>
      </x:c>
      <x:c r="F265" s="51" t="str">
        <x:v>S1</x:v>
      </x:c>
      <x:c r="G265" s="51" t="str">
        <x:v>Banks can offset flows through markets and central-bank facilities.</x:v>
      </x:c>
    </x:row>
    <x:row r="266">
      <x:c r="A266" s="51" t="str">
        <x:v>MECH-262</x:v>
      </x:c>
      <x:c r="B266" s="51" t="str">
        <x:v>Maturity-transformation spread</x:v>
      </x:c>
      <x:c r="C266" s="51" t="str">
        <x:v>Longer-duration earning assets</x:v>
      </x:c>
      <x:c r="D266" s="51" t="str">
        <x:v>Shorter-duration money-like liabilities</x:v>
      </x:c>
      <x:c r="E266" s="51" t="str">
        <x:v>Banks earn spreads by funding less-liquid assets with runnable or repricing liabilities.</x:v>
      </x:c>
      <x:c r="F266" s="51" t="str">
        <x:v>S1</x:v>
      </x:c>
      <x:c r="G266" s="51" t="str">
        <x:v>Runs and rate changes can reverse the spread.</x:v>
      </x:c>
    </x:row>
    <x:row r="267">
      <x:c r="A267" s="51" t="str">
        <x:v>MECH-263</x:v>
      </x:c>
      <x:c r="B267" s="51" t="str">
        <x:v>LCR liquidity conversion</x:v>
      </x:c>
      <x:c r="C267" s="51" t="str">
        <x:v>Projected 30-day outflows</x:v>
      </x:c>
      <x:c r="D267" s="51" t="str">
        <x:v>Required HQLA stock</x:v>
      </x:c>
      <x:c r="E267" s="51" t="str">
        <x:v>Regulation converts stressed cash-flow assumptions into liquid-asset requirements.</x:v>
      </x:c>
      <x:c r="F267" s="51" t="str">
        <x:v>S1</x:v>
      </x:c>
      <x:c r="G267" s="51" t="str">
        <x:v>HQLA may lose value or operational accessibility under extreme stress.</x:v>
      </x:c>
    </x:row>
    <x:row r="268">
      <x:c r="A268" s="51" t="str">
        <x:v>MECH-264</x:v>
      </x:c>
      <x:c r="B268" s="51" t="str">
        <x:v>NSFR structural funding conversion</x:v>
      </x:c>
      <x:c r="C268" s="51" t="str">
        <x:v>Illiquid asset profile</x:v>
      </x:c>
      <x:c r="D268" s="51" t="str">
        <x:v>Required stable funding</x:v>
      </x:c>
      <x:c r="E268" s="51" t="str">
        <x:v>The NSFR discourages financing long-duration assets with unstable short-term liabilities.</x:v>
      </x:c>
      <x:c r="F268" s="51" t="str">
        <x:v>S1</x:v>
      </x:c>
      <x:c r="G268" s="51" t="str">
        <x:v>It does not eliminate all funding runs.</x:v>
      </x:c>
    </x:row>
    <x:row r="269">
      <x:c r="A269" s="51" t="str">
        <x:v>MECH-265</x:v>
      </x:c>
      <x:c r="B269" s="51" t="str">
        <x:v>Deposit-insurance par support</x:v>
      </x:c>
      <x:c r="C269" s="51" t="str">
        <x:v>Eligible failed-bank deposit</x:v>
      </x:c>
      <x:c r="D269" s="51" t="str">
        <x:v>Full insured payout or transfer</x:v>
      </x:c>
      <x:c r="E269" s="51" t="str">
        <x:v>Deposit insurance preserves the money value of eligible deposit claims after failure.</x:v>
      </x:c>
      <x:c r="F269" s="51" t="str">
        <x:v>S1</x:v>
      </x:c>
      <x:c r="G269" s="51" t="str">
        <x:v>Coverage is capped and category-specific.</x:v>
      </x:c>
    </x:row>
    <x:row r="270">
      <x:c r="A270" s="51" t="str">
        <x:v>MECH-266</x:v>
      </x:c>
      <x:c r="B270" s="51" t="str">
        <x:v>Assessment mutualisation</x:v>
      </x:c>
      <x:c r="C270" s="51" t="str">
        <x:v>Bank assessment payments</x:v>
      </x:c>
      <x:c r="D270" s="51" t="str">
        <x:v>Collective deposit-insurance fund</x:v>
      </x:c>
      <x:c r="E270" s="51" t="str">
        <x:v>The industry collectively prepays part of the cost of insured-bank failure.</x:v>
      </x:c>
      <x:c r="F270" s="51" t="str">
        <x:v>S1</x:v>
      </x:c>
      <x:c r="G270" s="51" t="str">
        <x:v>Large systemic losses can exceed accumulated fund resources.</x:v>
      </x:c>
    </x:row>
    <x:row r="271">
      <x:c r="A271" s="51" t="str">
        <x:v>MECH-267</x:v>
      </x:c>
      <x:c r="B271" s="51" t="str">
        <x:v>Least-cost resolution selection</x:v>
      </x:c>
      <x:c r="C271" s="51" t="str">
        <x:v>Competing bids and liquidation estimates</x:v>
      </x:c>
      <x:c r="D271" s="51" t="str">
        <x:v>Chosen resolution structure</x:v>
      </x:c>
      <x:c r="E271" s="51" t="str">
        <x:v>The FDIC compares estimated costs to the insurance fund before selecting a resolution method.</x:v>
      </x:c>
      <x:c r="F271" s="51" t="str">
        <x:v>S1</x:v>
      </x:c>
      <x:c r="G271" s="51" t="str">
        <x:v>The least-cost option for the DIF need not maximise every creditor's recovery.</x:v>
      </x:c>
    </x:row>
    <x:row r="272">
      <x:c r="A272" s="51" t="str">
        <x:v>MECH-268</x:v>
      </x:c>
      <x:c r="B272" s="51" t="str">
        <x:v>Bridge-bank continuity</x:v>
      </x:c>
      <x:c r="C272" s="51" t="str">
        <x:v>Failed-bank operations</x:v>
      </x:c>
      <x:c r="D272" s="51" t="str">
        <x:v>Temporary public-chartered operating bank</x:v>
      </x:c>
      <x:c r="E272" s="51" t="str">
        <x:v>A bridge bank preserves payments and franchise value while ownership is reallocated.</x:v>
      </x:c>
      <x:c r="F272" s="51" t="str">
        <x:v>S1</x:v>
      </x:c>
      <x:c r="G272" s="51" t="str">
        <x:v>It is temporary and can still generate losses.</x:v>
      </x:c>
    </x:row>
    <x:row r="273">
      <x:c r="A273" s="51" t="str">
        <x:v>MECH-269</x:v>
      </x:c>
      <x:c r="B273" s="51" t="str">
        <x:v>Receivership hierarchy</x:v>
      </x:c>
      <x:c r="C273" s="51" t="str">
        <x:v>Recovered failed-bank assets</x:v>
      </x:c>
      <x:c r="D273" s="51" t="str">
        <x:v>Priority-ordered creditor distributions</x:v>
      </x:c>
      <x:c r="E273" s="51" t="str">
        <x:v>Statutory priority converts asset recoveries into unequal creditor outcomes.</x:v>
      </x:c>
      <x:c r="F273" s="51" t="str">
        <x:v>S1</x:v>
      </x:c>
      <x:c r="G273" s="51" t="str">
        <x:v>Final recovery depends on asset realisation.</x:v>
      </x:c>
    </x:row>
    <x:row r="274">
      <x:c r="A274" s="51" t="str">
        <x:v>MECH-270</x:v>
      </x:c>
      <x:c r="B274" s="51" t="str">
        <x:v>TLAC bail-in conversion</x:v>
      </x:c>
      <x:c r="C274" s="51" t="str">
        <x:v>Eligible bank debt</x:v>
      </x:c>
      <x:c r="D274" s="51" t="str">
        <x:v>Loss absorption and new equity</x:v>
      </x:c>
      <x:c r="E274" s="51" t="str">
        <x:v>Resolution authorities can recapitalise a failing systemic bank by writing down or converting eligible liabilities.</x:v>
      </x:c>
      <x:c r="F274" s="51" t="str">
        <x:v>S1</x:v>
      </x:c>
      <x:c r="G274" s="51" t="str">
        <x:v>Execution across borders remains operationally difficult.</x:v>
      </x:c>
    </x:row>
    <x:row r="275">
      <x:c r="A275" s="51" t="str">
        <x:v>MECH-271</x:v>
      </x:c>
      <x:c r="B275" s="51" t="str">
        <x:v>Collateral-to-reserves conversion</x:v>
      </x:c>
      <x:c r="C275" s="51" t="str">
        <x:v>Bank loans and securities</x:v>
      </x:c>
      <x:c r="D275" s="51" t="str">
        <x:v>Central-bank reserve liquidity</x:v>
      </x:c>
      <x:c r="E275" s="51" t="str">
        <x:v>The discount window turns illiquid bank assets into temporary settlement cash at a haircut.</x:v>
      </x:c>
      <x:c r="F275" s="51" t="str">
        <x:v>S1</x:v>
      </x:c>
      <x:c r="G275" s="51" t="str">
        <x:v>It addresses liquidity, not necessarily solvency.</x:v>
      </x:c>
    </x:row>
    <x:row r="276">
      <x:c r="A276" s="51" t="str">
        <x:v>MECH-272</x:v>
      </x:c>
      <x:c r="B276" s="51" t="str">
        <x:v>Standing-repo rate ceiling</x:v>
      </x:c>
      <x:c r="C276" s="51" t="str">
        <x:v>Eligible securities and counterparty access</x:v>
      </x:c>
      <x:c r="D276" s="51" t="str">
        <x:v>Overnight reserves at a standing rate</x:v>
      </x:c>
      <x:c r="E276" s="51" t="str">
        <x:v>A standing secured facility can cap extreme repo rates if eligible firms use it.</x:v>
      </x:c>
      <x:c r="F276" s="51" t="str">
        <x:v>S1</x:v>
      </x:c>
      <x:c r="G276" s="51" t="str">
        <x:v>Stigma and balance-sheet costs can limit uptake.</x:v>
      </x:c>
    </x:row>
    <x:row r="277">
      <x:c r="A277" s="51" t="str">
        <x:v>MECH-273</x:v>
      </x:c>
      <x:c r="B277" s="51" t="str">
        <x:v>FHLBank encumbrance conversion</x:v>
      </x:c>
      <x:c r="C277" s="51" t="str">
        <x:v>Eligible member assets</x:v>
      </x:c>
      <x:c r="D277" s="51" t="str">
        <x:v>Secured wholesale advance</x:v>
      </x:c>
      <x:c r="E277" s="51" t="str">
        <x:v>FHLBank funding converts collateral into liquidity while increasing asset encumbrance.</x:v>
      </x:c>
      <x:c r="F277" s="51" t="str">
        <x:v>S1</x:v>
      </x:c>
      <x:c r="G277" s="51" t="str">
        <x:v>Secured priority can shift losses to unsecured creditors.</x:v>
      </x:c>
    </x:row>
    <x:row r="278">
      <x:c r="A278" s="51" t="str">
        <x:v>MECH-274</x:v>
      </x:c>
      <x:c r="B278" s="51" t="str">
        <x:v>Repo collateralised funding</x:v>
      </x:c>
      <x:c r="C278" s="51" t="str">
        <x:v>Securities inventory</x:v>
      </x:c>
      <x:c r="D278" s="51" t="str">
        <x:v>Short-term cash borrowing</x:v>
      </x:c>
      <x:c r="E278" s="51" t="str">
        <x:v>Repo finances securities through a sale-and-repurchase legal structure.</x:v>
      </x:c>
      <x:c r="F278" s="51" t="str">
        <x:v>S1</x:v>
      </x:c>
      <x:c r="G278" s="51" t="str">
        <x:v>Maturity rollover and haircut risk remain.</x:v>
      </x:c>
    </x:row>
    <x:row r="279">
      <x:c r="A279" s="51" t="str">
        <x:v>MECH-275</x:v>
      </x:c>
      <x:c r="B279" s="51" t="str">
        <x:v>Repo haircut buffer</x:v>
      </x:c>
      <x:c r="C279" s="51" t="str">
        <x:v>Collateral market value</x:v>
      </x:c>
      <x:c r="D279" s="51" t="str">
        <x:v>Lower cash advance</x:v>
      </x:c>
      <x:c r="E279" s="51" t="str">
        <x:v>A haircut protects the lender against price and liquidation risk.</x:v>
      </x:c>
      <x:c r="F279" s="51" t="str">
        <x:v>S1</x:v>
      </x:c>
      <x:c r="G279" s="51" t="str">
        <x:v>Haircuts can rise procyclically during stress.</x:v>
      </x:c>
    </x:row>
    <x:row r="280">
      <x:c r="A280" s="51" t="str">
        <x:v>MECH-276</x:v>
      </x:c>
      <x:c r="B280" s="51" t="str">
        <x:v>Tri-party operational delegation</x:v>
      </x:c>
      <x:c r="C280" s="51" t="str">
        <x:v>Repo contract and collateral set</x:v>
      </x:c>
      <x:c r="D280" s="51" t="str">
        <x:v>Agent-managed valuation, allocation and settlement</x:v>
      </x:c>
      <x:c r="E280" s="51" t="str">
        <x:v>A clearing bank reduces operational burden while becoming critical infrastructure.</x:v>
      </x:c>
      <x:c r="F280" s="51" t="str">
        <x:v>S1</x:v>
      </x:c>
      <x:c r="G280" s="51" t="str">
        <x:v>The agent does not guarantee the principal counterparties.</x:v>
      </x:c>
    </x:row>
    <x:row r="281">
      <x:c r="A281" s="51" t="str">
        <x:v>MECH-277</x:v>
      </x:c>
      <x:c r="B281" s="51" t="str">
        <x:v>Money-fund cash substitution</x:v>
      </x:c>
      <x:c r="C281" s="51" t="str">
        <x:v>Investor cash</x:v>
      </x:c>
      <x:c r="D281" s="51" t="str">
        <x:v>Redeemable short-term fund shares</x:v>
      </x:c>
      <x:c r="E281" s="51" t="str">
        <x:v>Money funds offer cash-like investment claims backed by market portfolios.</x:v>
      </x:c>
      <x:c r="F281" s="51" t="str">
        <x:v>S1</x:v>
      </x:c>
      <x:c r="G281" s="51" t="str">
        <x:v>Shares are not insured deposits.</x:v>
      </x:c>
    </x:row>
    <x:row r="282">
      <x:c r="A282" s="51" t="str">
        <x:v>MECH-278</x:v>
      </x:c>
      <x:c r="B282" s="51" t="str">
        <x:v>Redemption-liquidity conversion</x:v>
      </x:c>
      <x:c r="C282" s="51" t="str">
        <x:v>Fund redemption request</x:v>
      </x:c>
      <x:c r="D282" s="51" t="str">
        <x:v>Asset sale, maturing cash or liquidity fee</x:v>
      </x:c>
      <x:c r="E282" s="51" t="str">
        <x:v>Money funds transform investor withdrawals into portfolio liquidity demands.</x:v>
      </x:c>
      <x:c r="F282" s="51" t="str">
        <x:v>S1</x:v>
      </x:c>
      <x:c r="G282" s="51" t="str">
        <x:v>Large simultaneous redemptions can pressure markets.</x:v>
      </x:c>
    </x:row>
    <x:row r="283">
      <x:c r="A283" s="51" t="str">
        <x:v>MECH-279</x:v>
      </x:c>
      <x:c r="B283" s="51" t="str">
        <x:v>ON-RRP public-counterparty substitution</x:v>
      </x:c>
      <x:c r="C283" s="51" t="str">
        <x:v>Money-fund cash</x:v>
      </x:c>
      <x:c r="D283" s="51" t="str">
        <x:v>Overnight claim on the Federal Reserve</x:v>
      </x:c>
      <x:c r="E283" s="51" t="str">
        <x:v>Eligible funds can replace private repo exposure with a public overnight counterparty.</x:v>
      </x:c>
      <x:c r="F283" s="51" t="str">
        <x:v>S1</x:v>
      </x:c>
      <x:c r="G283" s="51" t="str">
        <x:v>Facility access is limited and policy-driven.</x:v>
      </x:c>
    </x:row>
    <x:row r="284">
      <x:c r="A284" s="51" t="str">
        <x:v>MECH-280</x:v>
      </x:c>
      <x:c r="B284" s="51" t="str">
        <x:v>Sponsored clearing access</x:v>
      </x:c>
      <x:c r="C284" s="51" t="str">
        <x:v>Non-member repo position</x:v>
      </x:c>
      <x:c r="D284" s="51" t="str">
        <x:v>FICC-cleared position via member sponsor</x:v>
      </x:c>
      <x:c r="E284" s="51" t="str">
        <x:v>Sponsorship expands CCP access to nonbanks without granting direct membership.</x:v>
      </x:c>
      <x:c r="F284" s="51" t="str">
        <x:v>S1</x:v>
      </x:c>
      <x:c r="G284" s="51" t="str">
        <x:v>Sponsor credit, margin and operational obligations remain.</x:v>
      </x:c>
    </x:row>
    <x:row r="285">
      <x:c r="A285" s="51" t="str">
        <x:v>MECH-281</x:v>
      </x:c>
      <x:c r="B285" s="51" t="str">
        <x:v>Treasury-netting compression</x:v>
      </x:c>
      <x:c r="C285" s="51" t="str">
        <x:v>Many gross Treasury trades</x:v>
      </x:c>
      <x:c r="D285" s="51" t="str">
        <x:v>Smaller net settlement obligations</x:v>
      </x:c>
      <x:c r="E285" s="51" t="str">
        <x:v>FICC netting reduces settlement volumes and bilateral exposures.</x:v>
      </x:c>
      <x:c r="F285" s="51" t="str">
        <x:v>S1</x:v>
      </x:c>
      <x:c r="G285" s="51" t="str">
        <x:v>It concentrates default and liquidity risk at the CCP.</x:v>
      </x:c>
    </x:row>
    <x:row r="286">
      <x:c r="A286" s="51" t="str">
        <x:v>MECH-282</x:v>
      </x:c>
      <x:c r="B286" s="51" t="str">
        <x:v>Securities-lending possession split</x:v>
      </x:c>
      <x:c r="C286" s="51" t="str">
        <x:v>Beneficially owned security</x:v>
      </x:c>
      <x:c r="D286" s="51" t="str">
        <x:v>Temporary borrower possession</x:v>
      </x:c>
      <x:c r="E286" s="51" t="str">
        <x:v>Securities lending enables market use without permanent disposal of the investment exposure.</x:v>
      </x:c>
      <x:c r="F286" s="51" t="str">
        <x:v>S1</x:v>
      </x:c>
      <x:c r="G286" s="51" t="str">
        <x:v>Legal title, voting and manufactured payments vary.</x:v>
      </x:c>
    </x:row>
    <x:row r="287">
      <x:c r="A287" s="51" t="str">
        <x:v>MECH-283</x:v>
      </x:c>
      <x:c r="B287" s="51" t="str">
        <x:v>Securities recall option</x:v>
      </x:c>
      <x:c r="C287" s="51" t="str">
        <x:v>Lent security</x:v>
      </x:c>
      <x:c r="D287" s="51" t="str">
        <x:v>Return obligation</x:v>
      </x:c>
      <x:c r="E287" s="51" t="str">
        <x:v>Recall rights let asset owners recover securities for voting, sale or settlement.</x:v>
      </x:c>
      <x:c r="F287" s="51" t="str">
        <x:v>S1</x:v>
      </x:c>
      <x:c r="G287" s="51" t="str">
        <x:v>Recall can create sourcing pressure and settlement risk.</x:v>
      </x:c>
    </x:row>
    <x:row r="288">
      <x:c r="A288" s="51" t="str">
        <x:v>MECH-284</x:v>
      </x:c>
      <x:c r="B288" s="51" t="str">
        <x:v>Unrealised-loss liquidity conversion</x:v>
      </x:c>
      <x:c r="C288" s="51" t="str">
        <x:v>Market-value decline in securities</x:v>
      </x:c>
      <x:c r="D288" s="51" t="str">
        <x:v>Potential realised loss during forced sale</x:v>
      </x:c>
      <x:c r="E288" s="51" t="str">
        <x:v>Stable funding can defer loss realisation, while runs can force assets into the market.</x:v>
      </x:c>
      <x:c r="F288" s="51" t="str">
        <x:v>S1</x:v>
      </x:c>
      <x:c r="G288" s="51" t="str">
        <x:v>Economic value and accounting classification remain distinct.</x:v>
      </x:c>
    </x:row>
  </x:sheetData>
  <x:mergeCells>
    <x:mergeCell ref="A1:G1"/>
    <x:mergeCell ref="A2:G2"/>
  </x:mergeCells>
  <x:conditionalFormatting sqref="F5:F288">
    <x:cfRule type="expression" dxfId="84" priority="1">
      <x:formula>F5="E1"</x:formula>
    </x:cfRule>
    <x:cfRule type="expression" dxfId="85" priority="2">
      <x:formula>F5="E2"</x:formula>
    </x:cfRule>
    <x:cfRule type="expression" dxfId="86" priority="3">
      <x:formula>F5="S1"</x:formula>
    </x:cfRule>
    <x:cfRule type="expression" dxfId="87" priority="4">
      <x:formula>F5="A1"</x:formula>
    </x:cfRule>
    <x:cfRule type="expression" dxfId="88" priority="5">
      <x:formula>F5="U1"</x:formula>
    </x:cfRule>
    <x:cfRule type="expression" dxfId="89" priority="6">
      <x:formula>F5="N1"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9b09b8fdea45d8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7" hidden="0" customWidth="1"/>
    <x:col min="3" max="3" width="21" hidden="0" customWidth="1"/>
    <x:col min="4" max="4" width="53" hidden="0" customWidth="1"/>
    <x:col min="5" max="5" width="45" hidden="0" customWidth="1"/>
    <x:col min="6" max="6" width="79" hidden="0" customWidth="1"/>
  </x:cols>
  <x:sheetData>
    <x:row r="1" ht="31" customHeight="1">
      <x:c r="A1" s="5" t="str">
        <x:v>Claim and Evidence-Boundary Ledger — V17</x:v>
      </x:c>
    </x:row>
    <x:row r="2">
      <x:c r="A2" s="12" t="str">
        <x:v>Version 17, verified through 2026-07-27. Deposits, collateral, liquidity, solvency, insurance and final loss remain separate.</x:v>
      </x:c>
    </x:row>
    <x:row r="4">
      <x:c r="A4" s="50" t="str">
        <x:v>Claim ID</x:v>
      </x:c>
      <x:c r="B4" s="50" t="str">
        <x:v>Claim</x:v>
      </x:c>
      <x:c r="C4" s="50" t="str">
        <x:v>Grade</x:v>
      </x:c>
      <x:c r="D4" s="50" t="str">
        <x:v>Related IDs</x:v>
      </x:c>
      <x:c r="E4" s="50" t="str">
        <x:v>Source IDs</x:v>
      </x:c>
      <x:c r="F4" s="50" t="str">
        <x:v>Review rule</x:v>
      </x:c>
    </x:row>
    <x:row r="5">
      <x:c r="A5" s="51" t="str">
        <x:v>CLM-001</x:v>
      </x:c>
      <x:c r="B5" s="51" t="str">
        <x:v>The dollar remains the leading reserve currency, while reserve portfolios diversify gradually.</x:v>
      </x:c>
      <x:c r="C5" s="51" t="str">
        <x:v>E1</x:v>
      </x:c>
      <x:c r="D5" s="51" t="str">
        <x:v>MON-008</x:v>
      </x:c>
      <x:c r="E5" s="51" t="str">
        <x:v>SRC-004</x:v>
      </x:c>
      <x:c r="F5" s="51" t="str">
        <x:v>Update each COFER release.</x:v>
      </x:c>
    </x:row>
    <x:row r="6">
      <x:c r="A6" s="51" t="str">
        <x:v>CLM-002</x:v>
      </x:c>
      <x:c r="B6" s="51" t="str">
        <x:v>Dollar power is a system of markets, collateral, banks and backstops, not only oil invoicing.</x:v>
      </x:c>
      <x:c r="C6" s="51" t="str">
        <x:v>S1</x:v>
      </x:c>
      <x:c r="D6" s="51" t="str">
        <x:v>MON-001–MON-013</x:v>
      </x:c>
      <x:c r="E6" s="51" t="str">
        <x:v>SRC-001; SRC-003; SRC-004</x:v>
      </x:c>
      <x:c r="F6" s="51" t="str">
        <x:v>Test alternative-system completeness.</x:v>
      </x:c>
    </x:row>
    <x:row r="7">
      <x:c r="A7" s="51" t="str">
        <x:v>CLM-003</x:v>
      </x:c>
      <x:c r="B7" s="51" t="str">
        <x:v>Large asset managers exercise delegated governance authority but do not beneficially own all managed assets.</x:v>
      </x:c>
      <x:c r="C7" s="51" t="str">
        <x:v>E1</x:v>
      </x:c>
      <x:c r="D7" s="51" t="str">
        <x:v>AM-001–AM-015</x:v>
      </x:c>
      <x:c r="E7" s="51" t="str">
        <x:v>SRC-009–SRC-014</x:v>
      </x:c>
      <x:c r="F7" s="51" t="str">
        <x:v>Keep legal fund/entity distinctions explicit.</x:v>
      </x:c>
    </x:row>
    <x:row r="8">
      <x:c r="A8" s="51" t="str">
        <x:v>CLM-004</x:v>
      </x:c>
      <x:c r="B8" s="51" t="str">
        <x:v>Gulf sovereign capital is increasingly being converted into AI and data-centre infrastructure.</x:v>
      </x:c>
      <x:c r="C8" s="51" t="str">
        <x:v>E1/S1</x:v>
      </x:c>
      <x:c r="D8" s="51" t="str">
        <x:v>GULF-001–GULF-016</x:v>
      </x:c>
      <x:c r="E8" s="51" t="str">
        <x:v>SRC-015–SRC-017</x:v>
      </x:c>
      <x:c r="F8" s="51" t="str">
        <x:v>Track project completion and voting rights.</x:v>
      </x:c>
    </x:row>
    <x:row r="9">
      <x:c r="A9" s="51" t="str">
        <x:v>CLM-005</x:v>
      </x:c>
      <x:c r="B9" s="51" t="str">
        <x:v>China dominates refining for 19 of 20 strategic minerals analysed by the IEA, averaging about 70%.</x:v>
      </x:c>
      <x:c r="C9" s="51" t="str">
        <x:v>E1</x:v>
      </x:c>
      <x:c r="D9" s="51" t="str">
        <x:v>MAT-006</x:v>
      </x:c>
      <x:c r="E9" s="51" t="str">
        <x:v>SRC-020</x:v>
      </x:c>
      <x:c r="F9" s="51" t="str">
        <x:v>Update with next IEA outlook.</x:v>
      </x:c>
    </x:row>
    <x:row r="10">
      <x:c r="A10" s="51" t="str">
        <x:v>CLM-006</x:v>
      </x:c>
      <x:c r="B10" s="51" t="str">
        <x:v>China's social-credit architecture is becoming more integrated but is not one universal citizen score.</x:v>
      </x:c>
      <x:c r="C10" s="51" t="str">
        <x:v>E1</x:v>
      </x:c>
      <x:c r="D10" s="51" t="str">
        <x:v>CHN-001; CHN-002; CHN-021</x:v>
      </x:c>
      <x:c r="E10" s="51" t="str">
        <x:v>SRC-025</x:v>
      </x:c>
      <x:c r="F10" s="51" t="str">
        <x:v>Track implementation and local systems.</x:v>
      </x:c>
    </x:row>
    <x:row r="11">
      <x:c r="A11" s="51" t="str">
        <x:v>CLM-007</x:v>
      </x:c>
      <x:c r="B11" s="51" t="str">
        <x:v>Palantir has formal strategic relationships with US and Israeli defence institutions.</x:v>
      </x:c>
      <x:c r="C11" s="51" t="str">
        <x:v>E1</x:v>
      </x:c>
      <x:c r="D11" s="51" t="str">
        <x:v>PAL-001; PAL-004–PAL-007</x:v>
      </x:c>
      <x:c r="E11" s="51" t="str">
        <x:v>SRC-030; SRC-031</x:v>
      </x:c>
      <x:c r="F11" s="51" t="str">
        <x:v>Exact operational scope remains partly classified.</x:v>
      </x:c>
    </x:row>
    <x:row r="12">
      <x:c r="A12" s="51" t="str">
        <x:v>CLM-008</x:v>
      </x:c>
      <x:c r="B12" s="51" t="str">
        <x:v>Claude's use in the Venezuela operation is reported but not independently verified in public.</x:v>
      </x:c>
      <x:c r="C12" s="51" t="str">
        <x:v>A1</x:v>
      </x:c>
      <x:c r="D12" s="51" t="str">
        <x:v>PAL-009–PAL-011</x:v>
      </x:c>
      <x:c r="E12" s="51" t="str">
        <x:v>SRC-032</x:v>
      </x:c>
      <x:c r="F12" s="51" t="str">
        <x:v>Upgrade only with official confirmation or corroborated primary records.</x:v>
      </x:c>
    </x:row>
    <x:row r="13">
      <x:c r="A13" s="51" t="str">
        <x:v>CLM-009</x:v>
      </x:c>
      <x:c r="B13" s="51" t="str">
        <x:v>Epstein, Barak and Thiel-linked capital overlap around Carbyne, but no unified command structure is established.</x:v>
      </x:c>
      <x:c r="C13" s="51" t="str">
        <x:v>E2/S1</x:v>
      </x:c>
      <x:c r="D13" s="51" t="str">
        <x:v>EPS-001–EPS-008</x:v>
      </x:c>
      <x:c r="E13" s="51" t="str">
        <x:v>SRC-043–SRC-048</x:v>
      </x:c>
      <x:c r="F13" s="51" t="str">
        <x:v>Keep chronology, knowledge and edge type separate.</x:v>
      </x:c>
    </x:row>
    <x:row r="14">
      <x:c r="A14" s="51" t="str">
        <x:v>CLM-010</x:v>
      </x:c>
      <x:c r="B14" s="51" t="str">
        <x:v>Epstein's alleged Mossad role remains unproven.</x:v>
      </x:c>
      <x:c r="C14" s="51" t="str">
        <x:v>A1/U1 boundary</x:v>
      </x:c>
      <x:c r="D14" s="51" t="str">
        <x:v>EPS-009; EPS-010; EPS-013</x:v>
      </x:c>
      <x:c r="E14" s="51" t="str">
        <x:v>SRC-049</x:v>
      </x:c>
      <x:c r="F14" s="51" t="str">
        <x:v>Requires independently corroborated documentary chain.</x:v>
      </x:c>
    </x:row>
    <x:row r="15">
      <x:c r="A15" s="51" t="str">
        <x:v>CLM-011</x:v>
      </x:c>
      <x:c r="B15" s="51" t="str">
        <x:v>The governed can become computationally transparent while governing networks remain institutionally opaque.</x:v>
      </x:c>
      <x:c r="C15" s="51" t="str">
        <x:v>S1</x:v>
      </x:c>
      <x:c r="D15" s="51" t="str">
        <x:v>NET-001</x:v>
      </x:c>
      <x:c r="E15" s="51" t="str">
        <x:v>SRC-027–SRC-031</x:v>
      </x:c>
      <x:c r="F15" s="51" t="str">
        <x:v>Operationalise with procurement, appeal and disclosure metrics.</x:v>
      </x:c>
    </x:row>
    <x:row r="16">
      <x:c r="A16" s="51" t="str">
        <x:v>CLM-012</x:v>
      </x:c>
      <x:c r="B16" s="51" t="str">
        <x:v>AI can make power architectures adaptive by lowering the cost of observation, classification and feedback.</x:v>
      </x:c>
      <x:c r="C16" s="51" t="str">
        <x:v>S1</x:v>
      </x:c>
      <x:c r="D16" s="51" t="str">
        <x:v>NET-004; NET-005; CHN-004; PAL-008</x:v>
      </x:c>
      <x:c r="E16" s="51" t="str">
        <x:v>SRC-026; SRC-028; SRC-031</x:v>
      </x:c>
      <x:c r="F16" s="51" t="str">
        <x:v>Needs comparative empirical testing.</x:v>
      </x:c>
    </x:row>
    <x:row r="17">
      <x:c r="A17" s="51" t="str">
        <x:v>CLM-013</x:v>
      </x:c>
      <x:c r="B17" s="51" t="str">
        <x:v>One universal cabal is analytically unnecessary and unsupported.</x:v>
      </x:c>
      <x:c r="C17" s="51" t="str">
        <x:v>U1 boundary</x:v>
      </x:c>
      <x:c r="D17" s="51" t="str">
        <x:v>EPS-015; BOUND-003</x:v>
      </x:c>
      <x:c r="E17" s="51" t="str">
        <x:v>SRC-043; SRC-045</x:v>
      </x:c>
      <x:c r="F17" s="51" t="str">
        <x:v>Do not upgrade based on network density alone.</x:v>
      </x:c>
    </x:row>
    <x:row r="18">
      <x:c r="A18" s="51" t="str">
        <x:v>CLM-014</x:v>
      </x:c>
      <x:c r="B18" s="51" t="str">
        <x:v>Trump and Epstein had a substantial documented social relationship, but 'best friend' and criminal-participation claims exceed the cited evidence.</x:v>
      </x:c>
      <x:c r="C18" s="51" t="str">
        <x:v>E2/U1 boundary</x:v>
      </x:c>
      <x:c r="D18" s="51" t="str">
        <x:v>TRP-001–TRP-004</x:v>
      </x:c>
      <x:c r="E18" s="51" t="str">
        <x:v>SRC-054; SRC-055</x:v>
      </x:c>
      <x:c r="F18" s="51" t="str">
        <x:v>Keep social relationship, travel, allegations and criminal findings in separate rows.</x:v>
      </x:c>
    </x:row>
    <x:row r="19">
      <x:c r="A19" s="51" t="str">
        <x:v>CLM-015</x:v>
      </x:c>
      <x:c r="B19" s="51" t="str">
        <x:v>The current Trump-era power map includes a distinct office–family-business–Gulf-capital–crypto network.</x:v>
      </x:c>
      <x:c r="C19" s="51" t="str">
        <x:v>E1/S1</x:v>
      </x:c>
      <x:c r="D19" s="51" t="str">
        <x:v>CRY-001–CRY-010; KUS-001–KUS-004</x:v>
      </x:c>
      <x:c r="E19" s="51" t="str">
        <x:v>SRC-070–SRC-077</x:v>
      </x:c>
      <x:c r="F19" s="51" t="str">
        <x:v>Test each potential policy conflict through chronology, beneficial ownership and communications; do not assume quid pro quo.</x:v>
      </x:c>
    </x:row>
    <x:row r="20">
      <x:c r="A20" s="51" t="str">
        <x:v>CLM-016</x:v>
      </x:c>
      <x:c r="B20" s="51" t="str">
        <x:v>Frontier AI governance is distributed across CEOs, nonprofit/purpose governance bodies, cloud providers, chip suppliers, investors and government customers.</x:v>
      </x:c>
      <x:c r="C20" s="51" t="str">
        <x:v>E1/S1</x:v>
      </x:c>
      <x:c r="D20" s="51" t="str">
        <x:v>AIG-001–AIG-021; OAI-001–OAI-019; ANT-001–ANT-015; AIC-001–AIC-009</x:v>
      </x:c>
      <x:c r="E20" s="51" t="str">
        <x:v>SRC-078–SRC-100</x:v>
      </x:c>
      <x:c r="F20" s="51" t="str">
        <x:v>Update financing, board and contract rights continuously.</x:v>
      </x:c>
    </x:row>
    <x:row r="21">
      <x:c r="A21" s="51" t="str">
        <x:v>CLM-017</x:v>
      </x:c>
      <x:c r="B21" s="51" t="str">
        <x:v>PCAST creates a formal advisory bridge between the White House and leading technology, venture, chip, cloud and energy actors.</x:v>
      </x:c>
      <x:c r="C21" s="51" t="str">
        <x:v>E1</x:v>
      </x:c>
      <x:c r="D21" s="51" t="str">
        <x:v>AIG-001–AIG-016</x:v>
      </x:c>
      <x:c r="E21" s="51" t="str">
        <x:v>SRC-078</x:v>
      </x:c>
      <x:c r="F21" s="51" t="str">
        <x:v>Membership establishes access, not policy control or unified agreement.</x:v>
      </x:c>
    </x:row>
    <x:row r="22">
      <x:c r="A22" s="51" t="str">
        <x:v>CLM-018</x:v>
      </x:c>
      <x:c r="B22" s="51" t="str">
        <x:v>The Epstein network relied not only on social brokerage but also on institutional infrastructure supplied by banks, universities, advisers and philanthropic organisations.</x:v>
      </x:c>
      <x:c r="C22" s="51" t="str">
        <x:v>E1/E2/S1</x:v>
      </x:c>
      <x:c r="D22" s="51" t="str">
        <x:v>GAT-001–GAT-007; FIN-001–FIN-009; ACA-001–ACA-008</x:v>
      </x:c>
      <x:c r="E22" s="51" t="str">
        <x:v>SRC-058–SRC-069</x:v>
      </x:c>
      <x:c r="F22" s="51" t="str">
        <x:v>Separate institutional settlements/reviews from admissions and individual criminal knowledge.</x:v>
      </x:c>
    </x:row>
    <x:row r="23">
      <x:c r="A23" s="51" t="str">
        <x:v>CLM-019</x:v>
      </x:c>
      <x:c r="B23" s="51" t="str">
        <x:v>A name appearing in released files is not equivalent to a verified meeting, close relationship, financial edge or criminal implication.</x:v>
      </x:c>
      <x:c r="C23" s="51" t="str">
        <x:v>Evidence rule</x:v>
      </x:c>
      <x:c r="D23" s="51" t="str">
        <x:v>APP-001–APP-011; MECH-021</x:v>
      </x:c>
      <x:c r="E23" s="51" t="str">
        <x:v>SRC-054–SRC-057</x:v>
      </x:c>
      <x:c r="F23" s="51" t="str">
        <x:v>Use an appearance register and require corroboration before promotion.</x:v>
      </x:c>
    </x:row>
    <x:row r="24">
      <x:c r="A24" s="51" t="str">
        <x:v>CLM-020</x:v>
      </x:c>
      <x:c r="B24" s="51" t="str">
        <x:v>Large AI infrastructure is increasingly financed through circular supplier–customer–investor relationships joining model labs, clouds, chip firms and sovereign capital.</x:v>
      </x:c>
      <x:c r="C24" s="51" t="str">
        <x:v>S1</x:v>
      </x:c>
      <x:c r="D24" s="51" t="str">
        <x:v>OAI-006–OAI-019; ANT-013–ANT-015; AIC-001–AIC-008</x:v>
      </x:c>
      <x:c r="E24" s="51" t="str">
        <x:v>SRC-080–SRC-100</x:v>
      </x:c>
      <x:c r="F24" s="51" t="str">
        <x:v>Track conditional tranches, purchase obligations, credit guarantees and ultimate risk holders.</x:v>
      </x:c>
    </x:row>
    <x:row r="25">
      <x:c r="A25" s="51" t="str">
        <x:v>CLM-021</x:v>
      </x:c>
      <x:c r="B25" s="51" t="str">
        <x:v>The dollar system power depends on clearing, settlement, custody and sanctions institutions—not only currency denomination or Treasury reserves.</x:v>
      </x:c>
      <x:c r="C25" s="51" t="str">
        <x:v>E1/S1</x:v>
      </x:c>
      <x:c r="D25" s="51" t="str">
        <x:v>PAY-001–PAY-006; SAN-001–SAN-004</x:v>
      </x:c>
      <x:c r="E25" s="51" t="str">
        <x:v>SRC-101–SRC-110</x:v>
      </x:c>
      <x:c r="F25" s="51" t="str">
        <x:v>Map participant access, legal jurisdiction and failure modes for each rail.</x:v>
      </x:c>
    </x:row>
    <x:row r="26">
      <x:c r="A26" s="51" t="str">
        <x:v>CLM-022</x:v>
      </x:c>
      <x:c r="B26" s="51" t="str">
        <x:v>Stablecoins extend the dollar while creating new private chokepoints at reserve managers, issuers, custodians and administrative freeze keys.</x:v>
      </x:c>
      <x:c r="C26" s="51" t="str">
        <x:v>E1/S1</x:v>
      </x:c>
      <x:c r="D26" s="51" t="str">
        <x:v>STB-001–STB-007</x:v>
      </x:c>
      <x:c r="E26" s="51" t="str">
        <x:v>SRC-113–SRC-119</x:v>
      </x:c>
      <x:c r="F26" s="51" t="str">
        <x:v>Track reserve custodians, redemption banks, blacklist governance and bankruptcy rights.</x:v>
      </x:c>
    </x:row>
    <x:row r="27">
      <x:c r="A27" s="51" t="str">
        <x:v>CLM-023</x:v>
      </x:c>
      <x:c r="B27" s="51" t="str">
        <x:v>AI infrastructure is increasingly financed as a coupled system of private credit, supplier guarantees, dedicated power and special-purpose asset ownership.</x:v>
      </x:c>
      <x:c r="C27" s="51" t="str">
        <x:v>E1/S1</x:v>
      </x:c>
      <x:c r="D27" s="51" t="str">
        <x:v>INF-001–INF-012</x:v>
      </x:c>
      <x:c r="E27" s="51" t="str">
        <x:v>SRC-120–SRC-125</x:v>
      </x:c>
      <x:c r="F27" s="51" t="str">
        <x:v>Obtain project-level loan documents, guarantees, PPAs, leases and beneficial ownership.</x:v>
      </x:c>
    </x:row>
    <x:row r="28">
      <x:c r="A28" s="51" t="str">
        <x:v>CLM-024</x:v>
      </x:c>
      <x:c r="B28" s="51" t="str">
        <x:v>New defence-tech firms are converging with incumbent primes and enterprise procurement rather than simply replacing the traditional defence industry.</x:v>
      </x:c>
      <x:c r="C28" s="51" t="str">
        <x:v>E1/S1</x:v>
      </x:c>
      <x:c r="D28" s="51" t="str">
        <x:v>DEF-001–DEF-010</x:v>
      </x:c>
      <x:c r="E28" s="51" t="str">
        <x:v>SRC-126–SRC-130</x:v>
      </x:c>
      <x:c r="F28" s="51" t="str">
        <x:v>Add task orders, data rights, weapons-authorisation layers and programme outcomes.</x:v>
      </x:c>
    </x:row>
    <x:row r="29">
      <x:c r="A29" s="51" t="str">
        <x:v>CLM-025</x:v>
      </x:c>
      <x:c r="B29" s="51" t="str">
        <x:v>Commodity traders, shipping networks and marine insurers are conversion institutions linking finance to physical resource delivery.</x:v>
      </x:c>
      <x:c r="C29" s="51" t="str">
        <x:v>E1/S1</x:v>
      </x:c>
      <x:c r="D29" s="51" t="str">
        <x:v>COM-001–COM-012</x:v>
      </x:c>
      <x:c r="E29" s="51" t="str">
        <x:v>SRC-131–SRC-146</x:v>
      </x:c>
      <x:c r="F29" s="51" t="str">
        <x:v>Add facility banks, cargo ownership, charter parties, insurance exclusions and sanctions licences.</x:v>
      </x:c>
    </x:row>
    <x:row r="30">
      <x:c r="A30" s="51" t="str">
        <x:v>CLM-026</x:v>
      </x:c>
      <x:c r="B30" s="51" t="str">
        <x:v>Credit ratings, audit opinions and data-broker scores are private classifications that become powerful when institutional mandates attach consequences to them.</x:v>
      </x:c>
      <x:c r="C30" s="51" t="str">
        <x:v>E1/S1</x:v>
      </x:c>
      <x:c r="D30" s="51" t="str">
        <x:v>DAT-001–DAT-006; RAT-001–RAT-005; AUD-001–AUD-009</x:v>
      </x:c>
      <x:c r="E30" s="51" t="str">
        <x:v>SRC-134–SRC-142</x:v>
      </x:c>
      <x:c r="F30" s="51" t="str">
        <x:v>Map issuer-payment models, client mandates, appeal rights, error rates and regulatory dependencies.</x:v>
      </x:c>
    </x:row>
    <x:row r="31">
      <x:c r="A31" s="51" t="str">
        <x:v>CLM-027</x:v>
      </x:c>
      <x:c r="B31" s="51" t="str">
        <x:v>Political-platform power includes control over paid reach, policy eligibility and the data interfaces through which outsiders can audit the platform.</x:v>
      </x:c>
      <x:c r="C31" s="51" t="str">
        <x:v>E1/S1</x:v>
      </x:c>
      <x:c r="D31" s="51" t="str">
        <x:v>MED-001–MED-004</x:v>
      </x:c>
      <x:c r="E31" s="51" t="str">
        <x:v>SRC-143; SRC-144</x:v>
      </x:c>
      <x:c r="F31" s="51" t="str">
        <x:v>Separate paid advertising, organic ranking, enforcement and research-data access.</x:v>
      </x:c>
    </x:row>
    <x:row r="32">
      <x:c r="A32" s="51" t="str">
        <x:v>CLM-028</x:v>
      </x:c>
      <x:c r="B32" s="51" t="str">
        <x:v>Strategic control increasingly operates through licences and permissions rather than direct ownership.</x:v>
      </x:c>
      <x:c r="C32" s="51" t="str">
        <x:v>E1/S1</x:v>
      </x:c>
      <x:c r="D32" s="51" t="str">
        <x:v>CTL, DIG, CLD, APPSTORE and GRID relationships</x:v>
      </x:c>
      <x:c r="E32" s="51" t="str">
        <x:v>SRC-147–SRC-168; SRC-181–SRC-182</x:v>
      </x:c>
      <x:c r="F32" s="51" t="str">
        <x:v>Record the issuing authority, legal basis, object controlled, duration and appeal route for every permission edge.</x:v>
      </x:c>
    </x:row>
    <x:row r="33">
      <x:c r="A33" s="51" t="str">
        <x:v>CLM-029</x:v>
      </x:c>
      <x:c r="B33" s="51" t="str">
        <x:v>The advanced-semiconductor stack is a sequence of interdependent chokepoints: EDA, equipment, foundry capacity, memory, packaging and export licences.</x:v>
      </x:c>
      <x:c r="C33" s="51" t="str">
        <x:v>E1/S1</x:v>
      </x:c>
      <x:c r="D33" s="51" t="str">
        <x:v>CTL-001–CTL-013; prior MAT and INF rows</x:v>
      </x:c>
      <x:c r="E33" s="51" t="str">
        <x:v>SRC-147–SRC-155</x:v>
      </x:c>
      <x:c r="F33" s="51" t="str">
        <x:v>Add KLA, Applied Materials, Tokyo Electron, packaging and HBM contracts in the next pass.</x:v>
      </x:c>
    </x:row>
    <x:row r="34">
      <x:c r="A34" s="51" t="str">
        <x:v>CLM-030</x:v>
      </x:c>
      <x:c r="B34" s="51" t="str">
        <x:v>Hyperscalers are vertically integrating cables and classified cloud, making communications infrastructure part of platform power.</x:v>
      </x:c>
      <x:c r="C34" s="51" t="str">
        <x:v>E1/S1</x:v>
      </x:c>
      <x:c r="D34" s="51" t="str">
        <x:v>DIG-001–DIG-008; CLD-001–CLD-008</x:v>
      </x:c>
      <x:c r="E34" s="51" t="str">
        <x:v>SRC-156–SRC-164</x:v>
      </x:c>
      <x:c r="F34" s="51" t="str">
        <x:v>Obtain cable ownership shares, landing licences, capacity allocations and JWCC task orders.</x:v>
      </x:c>
    </x:row>
    <x:row r="35">
      <x:c r="A35" s="51" t="str">
        <x:v>CLM-031</x:v>
      </x:c>
      <x:c r="B35" s="51" t="str">
        <x:v>App stores function as private regulatory systems whose permissioning power is now constrained by public gatekeeper law.</x:v>
      </x:c>
      <x:c r="C35" s="51" t="str">
        <x:v>E1/S1</x:v>
      </x:c>
      <x:c r="D35" s="51" t="str">
        <x:v>APPSTORE-001–APPSTORE-008</x:v>
      </x:c>
      <x:c r="E35" s="51" t="str">
        <x:v>SRC-165–SRC-168</x:v>
      </x:c>
      <x:c r="F35" s="51" t="str">
        <x:v>Measure approval, removal, appeal, fees and alternative-distribution usage by jurisdiction.</x:v>
      </x:c>
    </x:row>
    <x:row r="36">
      <x:c r="A36" s="51" t="str">
        <x:v>CLM-032</x:v>
      </x:c>
      <x:c r="B36" s="51" t="str">
        <x:v>Index and benchmark providers influence capital and contract terms through methodology reuse, not through beneficial ownership of linked assets.</x:v>
      </x:c>
      <x:c r="C36" s="51" t="str">
        <x:v>E1/S1</x:v>
      </x:c>
      <x:c r="D36" s="51" t="str">
        <x:v>IDX-001–IDX-009</x:v>
      </x:c>
      <x:c r="E36" s="51" t="str">
        <x:v>SRC-169–SRC-174</x:v>
      </x:c>
      <x:c r="F36" s="51" t="str">
        <x:v>Test event-study effects of inclusions, exclusions, country reclassifications and benchmark revisions.</x:v>
      </x:c>
    </x:row>
    <x:row r="37">
      <x:c r="A37" s="51" t="str">
        <x:v>CLM-033</x:v>
      </x:c>
      <x:c r="B37" s="51" t="str">
        <x:v>Current US beneficial-ownership rules create an explicit transparency asymmetry between domestic and defined foreign entities.</x:v>
      </x:c>
      <x:c r="C37" s="51" t="str">
        <x:v>E1</x:v>
      </x:c>
      <x:c r="D37" s="51" t="str">
        <x:v>OWN-001–OWN-006</x:v>
      </x:c>
      <x:c r="E37" s="51" t="str">
        <x:v>SRC-175–SRC-178</x:v>
      </x:c>
      <x:c r="F37" s="51" t="str">
        <x:v>Track final rule changes, state registries, bank CDD and law-enforcement access.</x:v>
      </x:c>
    </x:row>
    <x:row r="38">
      <x:c r="A38" s="51" t="str">
        <x:v>CLM-034</x:v>
      </x:c>
      <x:c r="B38" s="51" t="str">
        <x:v>Reinsurance and grid access are hidden capacity constraints: they determine whether physical assets can be insured and AI loads can be energised.</x:v>
      </x:c>
      <x:c r="C38" s="51" t="str">
        <x:v>E1/S1</x:v>
      </x:c>
      <x:c r="D38" s="51" t="str">
        <x:v>RISK-001–RISK-003; GRID-001–GRID-003</x:v>
      </x:c>
      <x:c r="E38" s="51" t="str">
        <x:v>SRC-179–SRC-182</x:v>
      </x:c>
      <x:c r="F38" s="51" t="str">
        <x:v>Add treaty terms, exclusions, regional capacity auctions and cost-allocation outcomes.</x:v>
      </x:c>
    </x:row>
    <x:row r="39">
      <x:c r="A39" s="51" t="str">
        <x:v>CLM-035</x:v>
      </x:c>
      <x:c r="B39" s="51" t="str">
        <x:v>The internet remains decentralised in operation but depends on concentrated coordination layers including root-zone management, major resolvers, cables and commercial satellite systems.</x:v>
      </x:c>
      <x:c r="C39" s="51" t="str">
        <x:v>E1/S1</x:v>
      </x:c>
      <x:c r="D39" s="51" t="str">
        <x:v>DIG and NETINF relationships</x:v>
      </x:c>
      <x:c r="E39" s="51" t="str">
        <x:v>SRC-156–SRC-160; SRC-183–SRC-186</x:v>
      </x:c>
      <x:c r="F39" s="51" t="str">
        <x:v>Map root-server operators, major resolvers, cable ownership and government satellite task orders.</x:v>
      </x:c>
    </x:row>
    <x:row r="40">
      <x:c r="A40" s="51" t="str">
        <x:v>CLM-036</x:v>
      </x:c>
      <x:c r="B40" s="51" t="str">
        <x:v>Knowledge power is distributed across patents, trade secrets, architecture licences and open standards rather than patents alone.</x:v>
      </x:c>
      <x:c r="C40" s="51" t="str">
        <x:v>E1/S1</x:v>
      </x:c>
      <x:c r="D40" s="51" t="str">
        <x:v>KNO-001–KNO-013</x:v>
      </x:c>
      <x:c r="E40" s="51" t="str">
        <x:v>SRC-187–SRC-193</x:v>
      </x:c>
      <x:c r="F40" s="51" t="str">
        <x:v>Add direct patent-family and licence-contract review before making company-specific exclusion claims.</x:v>
      </x:c>
    </x:row>
    <x:row r="41">
      <x:c r="A41" s="51" t="str">
        <x:v>CLM-037</x:v>
      </x:c>
      <x:c r="B41" s="51" t="str">
        <x:v>Arm and RISC-V represent contrasting architecture-governance models: proprietary licensing and royalties versus an open standard with commercial implementations.</x:v>
      </x:c>
      <x:c r="C41" s="51" t="str">
        <x:v>E1/S1</x:v>
      </x:c>
      <x:c r="D41" s="51" t="str">
        <x:v>KNO-006–KNO-013</x:v>
      </x:c>
      <x:c r="E41" s="51" t="str">
        <x:v>SRC-190–SRC-193</x:v>
      </x:c>
      <x:c r="F41" s="51" t="str">
        <x:v>Compare total switching costs, software ecosystems, verification and national-security dependencies.</x:v>
      </x:c>
    </x:row>
    <x:row r="42">
      <x:c r="A42" s="51" t="str">
        <x:v>CLM-038</x:v>
      </x:c>
      <x:c r="B42" s="51" t="str">
        <x:v>AI standards become power when procurement, certification, insurance or regulation attaches consequences to conformity.</x:v>
      </x:c>
      <x:c r="C42" s="51" t="str">
        <x:v>E1/S1</x:v>
      </x:c>
      <x:c r="D42" s="51" t="str">
        <x:v>STD-001–STD-009</x:v>
      </x:c>
      <x:c r="E42" s="51" t="str">
        <x:v>SRC-194–SRC-204</x:v>
      </x:c>
      <x:c r="F42" s="51" t="str">
        <x:v>Map which contracts and laws incorporate each standard by reference.</x:v>
      </x:c>
    </x:row>
    <x:row r="43">
      <x:c r="A43" s="51" t="str">
        <x:v>CLM-039</x:v>
      </x:c>
      <x:c r="B43" s="51" t="str">
        <x:v>Public AI research infrastructure can counter compute concentration but remains dependent on allocation rules and private contributions.</x:v>
      </x:c>
      <x:c r="C43" s="51" t="str">
        <x:v>E1/S1</x:v>
      </x:c>
      <x:c r="D43" s="51" t="str">
        <x:v>RES-001–RES-008</x:v>
      </x:c>
      <x:c r="E43" s="51" t="str">
        <x:v>SRC-205–SRC-209</x:v>
      </x:c>
      <x:c r="F43" s="51" t="str">
        <x:v>Add partner-level resources, award recipients, utilisation and conflict-of-interest rules.</x:v>
      </x:c>
    </x:row>
    <x:row r="44">
      <x:c r="A44" s="51" t="str">
        <x:v>CLM-040</x:v>
      </x:c>
      <x:c r="B44" s="51" t="str">
        <x:v>Immigration systems are part of the innovation stack because visas and work authorisation determine which firms and universities can access global talent.</x:v>
      </x:c>
      <x:c r="C44" s="51" t="str">
        <x:v>E1/S1</x:v>
      </x:c>
      <x:c r="D44" s="51" t="str">
        <x:v>TAL-001–TAL-006</x:v>
      </x:c>
      <x:c r="E44" s="51" t="str">
        <x:v>SRC-210–SRC-213</x:v>
      </x:c>
      <x:c r="F44" s="51" t="str">
        <x:v>Add employer-level sponsorship, wage, nationality, transfer and retention data.</x:v>
      </x:c>
    </x:row>
    <x:row r="45">
      <x:c r="A45" s="51" t="str">
        <x:v>CLM-041</x:v>
      </x:c>
      <x:c r="B45" s="51" t="str">
        <x:v>Technology lobbying is a documented policy-conversion channel, but disclosure establishes advocacy rather than bribery or policy causation.</x:v>
      </x:c>
      <x:c r="C45" s="51" t="str">
        <x:v>E1/S1 boundary</x:v>
      </x:c>
      <x:c r="D45" s="51" t="str">
        <x:v>LOB-001–LOB-019</x:v>
      </x:c>
      <x:c r="E45" s="51" t="str">
        <x:v>SRC-214–SRC-220</x:v>
      </x:c>
      <x:c r="F45" s="51" t="str">
        <x:v>Link filings to meeting logs, draft text, rule changes and counter-lobbying before making causal claims.</x:v>
      </x:c>
    </x:row>
    <x:row r="46">
      <x:c r="A46" s="51" t="str">
        <x:v>CLM-042</x:v>
      </x:c>
      <x:c r="B46" s="51" t="str">
        <x:v>Professional intermediaries—including standards bodies, certifiers, research allocators, immigration authorities and lobbyists—shape access without owning the underlying technology.</x:v>
      </x:c>
      <x:c r="C46" s="51" t="str">
        <x:v>S1</x:v>
      </x:c>
      <x:c r="D46" s="51" t="str">
        <x:v>STD, RES, TAL and LOB layers</x:v>
      </x:c>
      <x:c r="E46" s="51" t="str">
        <x:v>SRC-194–SRC-220</x:v>
      </x:c>
      <x:c r="F46" s="51" t="str">
        <x:v>Treat each intermediary's formal authority and appeal structure separately.</x:v>
      </x:c>
    </x:row>
    <x:row r="47">
      <x:c r="A47" s="51" t="str">
        <x:v>CLM-043</x:v>
      </x:c>
      <x:c r="B47" s="51" t="str">
        <x:v>Corporate governance power is split among legal jurisdiction, boards, shareholders, advisers, custodians and courts rather than residing in shareholders alone.</x:v>
      </x:c>
      <x:c r="C47" s="51" t="str">
        <x:v>E1/S1</x:v>
      </x:c>
      <x:c r="D47" s="51" t="str">
        <x:v>LAW and OWNR rows</x:v>
      </x:c>
      <x:c r="E47" s="51" t="str">
        <x:v>SRC-221–SRC-229</x:v>
      </x:c>
      <x:c r="F47" s="51" t="str">
        <x:v>Map company-specific charters, share classes, delegated votes and litigation outcomes.</x:v>
      </x:c>
    </x:row>
    <x:row r="48">
      <x:c r="A48" s="51" t="str">
        <x:v>CLM-044</x:v>
      </x:c>
      <x:c r="B48" s="51" t="str">
        <x:v>Intermediated securities markets separate record title, beneficial ownership, voting instructions and economic exposure.</x:v>
      </x:c>
      <x:c r="C48" s="51" t="str">
        <x:v>E1/S1</x:v>
      </x:c>
      <x:c r="D48" s="51" t="str">
        <x:v>OWNR-001–OWNR-004</x:v>
      </x:c>
      <x:c r="E48" s="51" t="str">
        <x:v>SRC-228; SRC-229</x:v>
      </x:c>
      <x:c r="F48" s="51" t="str">
        <x:v>Add stock-lending, omnibus-account and reconciliation data before attributing final voting control.</x:v>
      </x:c>
    </x:row>
    <x:row r="49">
      <x:c r="A49" s="51" t="str">
        <x:v>CLM-045</x:v>
      </x:c>
      <x:c r="B49" s="51" t="str">
        <x:v>Secured-credit law determines loss allocation before bankruptcy by assigning collateral priority, while Chapter 11 reallocates control during distress.</x:v>
      </x:c>
      <x:c r="C49" s="51" t="str">
        <x:v>E1/S1</x:v>
      </x:c>
      <x:c r="D49" s="51" t="str">
        <x:v>COLL and BK rows</x:v>
      </x:c>
      <x:c r="E49" s="51" t="str">
        <x:v>SRC-230–SRC-233</x:v>
      </x:c>
      <x:c r="F49" s="51" t="str">
        <x:v>Collect loan agreements, financing statements, DIP orders and confirmed plans for empirical testing.</x:v>
      </x:c>
    </x:row>
    <x:row r="50">
      <x:c r="A50" s="51" t="str">
        <x:v>CLM-046</x:v>
      </x:c>
      <x:c r="B50" s="51" t="str">
        <x:v>Close-out netting reduces gross derivatives exposure but creates a legally privileged failure-resolution path outside ordinary claim-by-claim insolvency.</x:v>
      </x:c>
      <x:c r="C50" s="51" t="str">
        <x:v>E1/S1</x:v>
      </x:c>
      <x:c r="D50" s="51" t="str">
        <x:v>DNET-001–DNET-004</x:v>
      </x:c>
      <x:c r="E50" s="51" t="str">
        <x:v>SRC-234; SRC-235</x:v>
      </x:c>
      <x:c r="F50" s="51" t="str">
        <x:v>Compare netting jurisdictions, safe harbours and actual default outcomes.</x:v>
      </x:c>
    </x:row>
    <x:row r="51">
      <x:c r="A51" s="51" t="str">
        <x:v>CLM-047</x:v>
      </x:c>
      <x:c r="B51" s="51" t="str">
        <x:v>Arbitration converts prior consent into private or international adjudicative authority, but national courts remain necessary for enforcement and public-law boundaries.</x:v>
      </x:c>
      <x:c r="C51" s="51" t="str">
        <x:v>E1/S1</x:v>
      </x:c>
      <x:c r="D51" s="51" t="str">
        <x:v>ARB-001–ARB-006</x:v>
      </x:c>
      <x:c r="E51" s="51" t="str">
        <x:v>SRC-236–SRC-239</x:v>
      </x:c>
      <x:c r="F51" s="51" t="str">
        <x:v>Map seats, governing laws, enforcement actions, arbitrator appointments and funders.</x:v>
      </x:c>
    </x:row>
    <x:row r="52">
      <x:c r="A52" s="51" t="str">
        <x:v>CLM-048</x:v>
      </x:c>
      <x:c r="B52" s="51" t="str">
        <x:v>Sovereign debt restructuring is a coordination system without a single bankruptcy court, relying on IMF analysis, creditor groups, CACs and comparability principles.</x:v>
      </x:c>
      <x:c r="C52" s="51" t="str">
        <x:v>E1/S1</x:v>
      </x:c>
      <x:c r="D52" s="51" t="str">
        <x:v>SOV-001–SOV-007</x:v>
      </x:c>
      <x:c r="E52" s="51" t="str">
        <x:v>SRC-240–SRC-244</x:v>
      </x:c>
      <x:c r="F52" s="51" t="str">
        <x:v>Build case-level timelines for official, bonded, bank and domestic debt treatments.</x:v>
      </x:c>
    </x:row>
    <x:row r="53">
      <x:c r="A53" s="51" t="str">
        <x:v>CLM-049</x:v>
      </x:c>
      <x:c r="B53" s="51" t="str">
        <x:v>Litigation finance can broaden access to enforcement while converting legal claims into private financial assets with disclosure and conflict questions.</x:v>
      </x:c>
      <x:c r="C53" s="51" t="str">
        <x:v>E1/S1</x:v>
      </x:c>
      <x:c r="D53" s="51" t="str">
        <x:v>LIT-001–LIT-006</x:v>
      </x:c>
      <x:c r="E53" s="51" t="str">
        <x:v>SRC-245–SRC-249</x:v>
      </x:c>
      <x:c r="F53" s="51" t="str">
        <x:v>Collect funding agreements, return waterfalls, control rights, disclosures and case outcomes.</x:v>
      </x:c>
    </x:row>
    <x:row r="54">
      <x:c r="A54" s="51" t="str">
        <x:v>CLM-050</x:v>
      </x:c>
      <x:c r="B54" s="51" t="str">
        <x:v>The spring-loaded door is legally implemented through priority and forum rules: the actor controlling liquidity, collateral or adjudication can capture value after failure.</x:v>
      </x:c>
      <x:c r="C54" s="51" t="str">
        <x:v>S1</x:v>
      </x:c>
      <x:c r="D54" s="51" t="str">
        <x:v>COLL, BK, DNET, ARB, SOV and LIT layers</x:v>
      </x:c>
      <x:c r="E54" s="51" t="str">
        <x:v>SRC-230–SRC-249</x:v>
      </x:c>
      <x:c r="F54" s="51" t="str">
        <x:v>Test crisis transactions using court dockets, bond exchanges and recovery waterfalls.</x:v>
      </x:c>
    </x:row>
    <x:row r="55">
      <x:c r="A55" s="51" t="str">
        <x:v>CLM-051</x:v>
      </x:c>
      <x:c r="B55" s="51" t="str">
        <x:v>Tax sovereignty is increasingly coordinated through minimum-tax, transfer-pricing and country-reporting systems, but tax collection remains nationally administered.</x:v>
      </x:c>
      <x:c r="C55" s="51" t="str">
        <x:v>E1/S1</x:v>
      </x:c>
      <x:c r="D55" s="51" t="str">
        <x:v>FTX-001–FTX-010</x:v>
      </x:c>
      <x:c r="E55" s="51" t="str">
        <x:v>SRC-250–SRC-258</x:v>
      </x:c>
      <x:c r="F55" s="51" t="str">
        <x:v>Distinguish model rules, domestic implementation, information exchange and final assessment.</x:v>
      </x:c>
    </x:row>
    <x:row r="56">
      <x:c r="A56" s="51" t="str">
        <x:v>CLM-052</x:v>
      </x:c>
      <x:c r="B56" s="51" t="str">
        <x:v>Federal procurement power is exercised through contract type, supplier eligibility, ordering authority, data rights and the difference between ceilings and actual obligations.</x:v>
      </x:c>
      <x:c r="C56" s="51" t="str">
        <x:v>E1/S1</x:v>
      </x:c>
      <x:c r="D56" s="51" t="str">
        <x:v>PROC-001–PROC-011</x:v>
      </x:c>
      <x:c r="E56" s="51" t="str">
        <x:v>SRC-259–SRC-265</x:v>
      </x:c>
      <x:c r="F56" s="51" t="str">
        <x:v>Never treat IDIQ or OTA ceilings as realised expenditure without order-level data.</x:v>
      </x:c>
    </x:row>
    <x:row r="57">
      <x:c r="A57" s="51" t="str">
        <x:v>CLM-053</x:v>
      </x:c>
      <x:c r="B57" s="51" t="str">
        <x:v>Industrial policy combines negotiated grants, public R&amp;D and formula-based tax credits, each with different selection, accountability and risk-sharing mechanisms.</x:v>
      </x:c>
      <x:c r="C57" s="51" t="str">
        <x:v>E1/S1</x:v>
      </x:c>
      <x:c r="D57" s="51" t="str">
        <x:v>SUB-001–SUB-010</x:v>
      </x:c>
      <x:c r="E57" s="51" t="str">
        <x:v>SRC-266–SRC-269</x:v>
      </x:c>
      <x:c r="F57" s="51" t="str">
        <x:v>Measure disbursement, private co-investment, additionality, output and spillovers separately.</x:v>
      </x:c>
    </x:row>
    <x:row r="58">
      <x:c r="A58" s="51" t="str">
        <x:v>CLM-054</x:v>
      </x:c>
      <x:c r="B58" s="51" t="str">
        <x:v>Federal credit programmes can support projects with modest recorded subsidy costs relative to face exposure because the budget records expected net present-value cost rather than maximum liability.</x:v>
      </x:c>
      <x:c r="C58" s="51" t="str">
        <x:v>E1/S1</x:v>
      </x:c>
      <x:c r="D58" s="51" t="str">
        <x:v>FCR-001–FCR-008</x:v>
      </x:c>
      <x:c r="E58" s="51" t="str">
        <x:v>SRC-270–SRC-276</x:v>
      </x:c>
      <x:c r="F58" s="51" t="str">
        <x:v>Retain face exposure, subsidy estimate, re-estimate and realised cash loss as separate fields.</x:v>
      </x:c>
    </x:row>
    <x:row r="59">
      <x:c r="A59" s="51" t="str">
        <x:v>CLM-055</x:v>
      </x:c>
      <x:c r="B59" s="51" t="str">
        <x:v>Deposit insurance is principally industry funded, but its confidence and resolution function makes it part of the public financial safety net.</x:v>
      </x:c>
      <x:c r="C59" s="51" t="str">
        <x:v>E1/S1</x:v>
      </x:c>
      <x:c r="D59" s="51" t="str">
        <x:v>DEP-001–DEP-005</x:v>
      </x:c>
      <x:c r="E59" s="51" t="str">
        <x:v>SRC-277; SRC-278</x:v>
      </x:c>
      <x:c r="F59" s="51" t="str">
        <x:v>Do not infer current taxpayer loss from the existence of a public backstop.</x:v>
      </x:c>
    </x:row>
    <x:row r="60">
      <x:c r="A60" s="51" t="str">
        <x:v>CLM-056</x:v>
      </x:c>
      <x:c r="B60" s="51" t="str">
        <x:v>Central-bank collateral rules determine which private assets can be converted into public money during stress and at what haircut.</x:v>
      </x:c>
      <x:c r="C60" s="51" t="str">
        <x:v>E1/S1</x:v>
      </x:c>
      <x:c r="D60" s="51" t="str">
        <x:v>LIQ-001–LIQ-008</x:v>
      </x:c>
      <x:c r="E60" s="51" t="str">
        <x:v>SRC-279–SRC-284</x:v>
      </x:c>
      <x:c r="F60" s="51" t="str">
        <x:v>Map facility eligibility, collateral class, haircut, maturity, rate and recourse.</x:v>
      </x:c>
    </x:row>
    <x:row r="61">
      <x:c r="A61" s="51" t="str">
        <x:v>CLM-057</x:v>
      </x:c>
      <x:c r="B61" s="51" t="str">
        <x:v>Development and export guarantees mobilise private capital by reallocating selected risks, but authorised exposure is not equivalent to expected public cost.</x:v>
      </x:c>
      <x:c r="C61" s="51" t="str">
        <x:v>E1/S1</x:v>
      </x:c>
      <x:c r="D61" s="51" t="str">
        <x:v>GUA-001–GUA-008</x:v>
      </x:c>
      <x:c r="E61" s="51" t="str">
        <x:v>SRC-285–SRC-288</x:v>
      </x:c>
      <x:c r="F61" s="51" t="str">
        <x:v>Separate authorisation, commitment, disbursement, exposure, subsidy cost, claim and recovery.</x:v>
      </x:c>
    </x:row>
    <x:row r="62">
      <x:c r="A62" s="51" t="str">
        <x:v>CLM-058</x:v>
      </x:c>
      <x:c r="B62" s="51" t="str">
        <x:v>Public risk transfer is the fiscal mirror of private collateral priority: the state can lower private financing cost by absorbing risks that are remote, political or difficult to diversify.</x:v>
      </x:c>
      <x:c r="C62" s="51" t="str">
        <x:v>S1</x:v>
      </x:c>
      <x:c r="D62" s="51" t="str">
        <x:v>SUB, FCR, DEP, LIQ and GUA layers</x:v>
      </x:c>
      <x:c r="E62" s="51" t="str">
        <x:v>SRC-266–SRC-288</x:v>
      </x:c>
      <x:c r="F62" s="51" t="str">
        <x:v>Test whether support creates additional capacity or merely transfers rents and tail losses.</x:v>
      </x:c>
    </x:row>
    <x:row r="63">
      <x:c r="A63" s="51" t="str">
        <x:v>CLM-059</x:v>
      </x:c>
      <x:c r="B63" s="51" t="str">
        <x:v>Land ownership is a regulated bundle whose economic value depends on zoning, permits, development rights, taxation and infrastructure access.</x:v>
      </x:c>
      <x:c r="C63" s="51" t="str">
        <x:v>E1/S1</x:v>
      </x:c>
      <x:c r="D63" s="51" t="str">
        <x:v>LAND-001–LAND-008; MUNI-001–MUNI-002</x:v>
      </x:c>
      <x:c r="E63" s="51" t="str">
        <x:v>SRC-289–SRC-293</x:v>
      </x:c>
      <x:c r="F63" s="51" t="str">
        <x:v>Map parcel-level zoning, permits, assessments and infrastructure before attributing value to title alone.</x:v>
      </x:c>
    </x:row>
    <x:row r="64">
      <x:c r="A64" s="51" t="str">
        <x:v>CLM-060</x:v>
      </x:c>
      <x:c r="B64" s="51" t="str">
        <x:v>US housing transactions depend on layered public and private registries: county records establish public notice while MERS tracks member-reported servicing and beneficial interests.</x:v>
      </x:c>
      <x:c r="C64" s="51" t="str">
        <x:v>E1/S1</x:v>
      </x:c>
      <x:c r="D64" s="51" t="str">
        <x:v>TITLE and SERV rows</x:v>
      </x:c>
      <x:c r="E64" s="51" t="str">
        <x:v>SRC-317–SRC-321</x:v>
      </x:c>
      <x:c r="F64" s="51" t="str">
        <x:v>Separate deed title, mortgagee of record, note ownership, servicing rights and eNote control.</x:v>
      </x:c>
    </x:row>
    <x:row r="65">
      <x:c r="A65" s="51" t="str">
        <x:v>CLM-061</x:v>
      </x:c>
      <x:c r="B65" s="51" t="str">
        <x:v>Mortgage securitization separates household occupancy, property title, loan ownership, servicing, guaranty and investor cash-flow rights.</x:v>
      </x:c>
      <x:c r="C65" s="51" t="str">
        <x:v>E1/S1</x:v>
      </x:c>
      <x:c r="D65" s="51" t="str">
        <x:v>MORT, SERV and HFIN rows</x:v>
      </x:c>
      <x:c r="E65" s="51" t="str">
        <x:v>SRC-300–SRC-318</x:v>
      </x:c>
      <x:c r="F65" s="51" t="str">
        <x:v>Never use 'the bank owns the house' without identifying default status and the exact legal claim.</x:v>
      </x:c>
    </x:row>
    <x:row r="66">
      <x:c r="A66" s="51" t="str">
        <x:v>CLM-062</x:v>
      </x:c>
      <x:c r="B66" s="51" t="str">
        <x:v>Fannie Mae, Freddie Mac, Ginnie Mae, FHA and the FHLBanks perform different public-risk and liquidity functions and must not be collapsed into one housing guarantee.</x:v>
      </x:c>
      <x:c r="C66" s="51" t="str">
        <x:v>E1</x:v>
      </x:c>
      <x:c r="D66" s="51" t="str">
        <x:v>HFIN-001–HFIN-017</x:v>
      </x:c>
      <x:c r="E66" s="51" t="str">
        <x:v>SRC-300–SRC-313; SRC-325–SRC-327</x:v>
      </x:c>
      <x:c r="F66" s="51" t="str">
        <x:v>Preserve explicit sovereign guarantee, Enterprise corporate guarantee, insurance and collateralised advance as separate instruments.</x:v>
      </x:c>
    </x:row>
    <x:row r="67">
      <x:c r="A67" s="51" t="str">
        <x:v>CLM-063</x:v>
      </x:c>
      <x:c r="B67" s="51" t="str">
        <x:v>Institutional single-family rental ownership is economically significant in selected markets, but portfolio counts alone do not prove national market dominance or abusive conduct.</x:v>
      </x:c>
      <x:c r="C67" s="51" t="str">
        <x:v>E1/S1 boundary</x:v>
      </x:c>
      <x:c r="D67" s="51" t="str">
        <x:v>RENT-001–RENT-006</x:v>
      </x:c>
      <x:c r="E67" s="51" t="str">
        <x:v>SRC-322–SRC-324</x:v>
      </x:c>
      <x:c r="F67" s="51" t="str">
        <x:v>Test local acquisition share, rent, eviction, maintenance and tenant outcomes against matched landlords.</x:v>
      </x:c>
    </x:row>
    <x:row r="68">
      <x:c r="A68" s="51" t="str">
        <x:v>CLM-064</x:v>
      </x:c>
      <x:c r="B68" s="51" t="str">
        <x:v>Property tax and municipal debt connect land values and user charges to local fiscal capacity, infrastructure and intergenerational obligations.</x:v>
      </x:c>
      <x:c r="C68" s="51" t="str">
        <x:v>E1/S1</x:v>
      </x:c>
      <x:c r="D68" s="51" t="str">
        <x:v>MUNI-001–MUNI-010</x:v>
      </x:c>
      <x:c r="E68" s="51" t="str">
        <x:v>SRC-292–SRC-299; SRC-329</x:v>
      </x:c>
      <x:c r="F68" s="51" t="str">
        <x:v>Separate general-obligation, revenue-bond, tax increment and conduit structures.</x:v>
      </x:c>
    </x:row>
    <x:row r="69">
      <x:c r="A69" s="51" t="str">
        <x:v>CLM-065</x:v>
      </x:c>
      <x:c r="B69" s="51" t="str">
        <x:v>Zoning and mortgage standards jointly determine access: one governs physical supply while the other governs which households and loans can receive scalable finance.</x:v>
      </x:c>
      <x:c r="C69" s="51" t="str">
        <x:v>S1</x:v>
      </x:c>
      <x:c r="D69" s="51" t="str">
        <x:v>LAND and HFIN layers</x:v>
      </x:c>
      <x:c r="E69" s="51" t="str">
        <x:v>SRC-289–SRC-291; SRC-300–SRC-327</x:v>
      </x:c>
      <x:c r="F69" s="51" t="str">
        <x:v>Test interactions between permitting, conforming limits, insurance and local prices.</x:v>
      </x:c>
    </x:row>
    <x:row r="70">
      <x:c r="A70" s="51" t="str">
        <x:v>CLM-066</x:v>
      </x:c>
      <x:c r="B70" s="51" t="str">
        <x:v>Housing is simultaneously shelter, collateral, tax base, securitized cash flow and institutional portfolio asset; each role creates a different claim on the same physical property.</x:v>
      </x:c>
      <x:c r="C70" s="51" t="str">
        <x:v>S1</x:v>
      </x:c>
      <x:c r="D70" s="51" t="str">
        <x:v>V8 full layer</x:v>
      </x:c>
      <x:c r="E70" s="51" t="str">
        <x:v>SRC-289–SRC-332</x:v>
      </x:c>
      <x:c r="F70" s="51" t="str">
        <x:v>Maintain separate legal objects and do not infer unified control from overlap.</x:v>
      </x:c>
    </x:row>
    <x:row r="71">
      <x:c r="A71" s="51" t="str">
        <x:v>CLM-067</x:v>
      </x:c>
      <x:c r="B71" s="51" t="str">
        <x:v>Oil production coordination is a recurring sovereign bargaining system, not proof that OPEC or one state controls the entire world oil price.</x:v>
      </x:c>
      <x:c r="C71" s="51" t="str">
        <x:v>E1/S1</x:v>
      </x:c>
      <x:c r="D71" s="51" t="str">
        <x:v>ENER-001–ENER-009</x:v>
      </x:c>
      <x:c r="E71" s="51" t="str">
        <x:v>SRC-333–SRC-343</x:v>
      </x:c>
      <x:c r="F71" s="51" t="str">
        <x:v>Compare coalition output, spare capacity, inventories, demand and non-member supply before attributing price changes.</x:v>
      </x:c>
    </x:row>
    <x:row r="72">
      <x:c r="A72" s="51" t="str">
        <x:v>CLM-068</x:v>
      </x:c>
      <x:c r="B72" s="51" t="str">
        <x:v>Commodity benchmarks are privately or exchange-administered constitutions that convert selected physical evidence into prices used across contracts and derivatives.</x:v>
      </x:c>
      <x:c r="C72" s="51" t="str">
        <x:v>E1/S1</x:v>
      </x:c>
      <x:c r="D72" s="51" t="str">
        <x:v>BENCH-001–BENCH-010</x:v>
      </x:c>
      <x:c r="E72" s="51" t="str">
        <x:v>SRC-345–SRC-353</x:v>
      </x:c>
      <x:c r="F72" s="51" t="str">
        <x:v>Audit methodology, eligible grades, timing, participants and conflict controls before alleging manipulation.</x:v>
      </x:c>
    </x:row>
    <x:row r="73">
      <x:c r="A73" s="51" t="str">
        <x:v>CLM-069</x:v>
      </x:c>
      <x:c r="B73" s="51" t="str">
        <x:v>Commodity merchants exercise power through liquidity, information, logistics and optionality rather than necessarily owning the underlying reserves or final industrial assets.</x:v>
      </x:c>
      <x:c r="C73" s="51" t="str">
        <x:v>E1/S1</x:v>
      </x:c>
      <x:c r="D73" s="51" t="str">
        <x:v>TRAD-001–TRAD-010</x:v>
      </x:c>
      <x:c r="E73" s="51" t="str">
        <x:v>SRC-354–SRC-361</x:v>
      </x:c>
      <x:c r="F73" s="51" t="str">
        <x:v>Measure counterparty concentration, storage, credit facilities, offtake and benchmark participation by commodity.</x:v>
      </x:c>
    </x:row>
    <x:row r="74">
      <x:c r="A74" s="51" t="str">
        <x:v>CLM-070</x:v>
      </x:c>
      <x:c r="B74" s="51" t="str">
        <x:v>LNG power depends on the integrated stack of upstream gas, liquefaction, long-term offtake, specialised vessels, destination access and benchmark pricing.</x:v>
      </x:c>
      <x:c r="C74" s="51" t="str">
        <x:v>E1/S1</x:v>
      </x:c>
      <x:c r="D74" s="51" t="str">
        <x:v>LNG-001–LNG-007</x:v>
      </x:c>
      <x:c r="E74" s="51" t="str">
        <x:v>SRC-340–SRC-345</x:v>
      </x:c>
      <x:c r="F74" s="51" t="str">
        <x:v>Separate nameplate capacity, operational output, contracted volume, cargo liftings and destination.</x:v>
      </x:c>
    </x:row>
    <x:row r="75">
      <x:c r="A75" s="51" t="str">
        <x:v>CLM-071</x:v>
      </x:c>
      <x:c r="B75" s="51" t="str">
        <x:v>Ship ownership, flag, registered owner, commercial charterer, operator, insurer and cargo owner are different legal and economic roles.</x:v>
      </x:c>
      <x:c r="C75" s="51" t="str">
        <x:v>E1/S1</x:v>
      </x:c>
      <x:c r="D75" s="51" t="str">
        <x:v>SHIP-001–SHIP-007; INSUR rows</x:v>
      </x:c>
      <x:c r="E75" s="51" t="str">
        <x:v>SRC-362–SRC-370</x:v>
      </x:c>
      <x:c r="F75" s="51" t="str">
        <x:v>Use IMO identifiers and voyage-specific records before attributing control or liability.</x:v>
      </x:c>
    </x:row>
    <x:row r="76">
      <x:c r="A76" s="51" t="str">
        <x:v>CLM-072</x:v>
      </x:c>
      <x:c r="B76" s="51" t="str">
        <x:v>Marine insurance and sanctions policy turn private service networks into geopolitical enforcement channels, but they do not physically stop every targeted cargo.</x:v>
      </x:c>
      <x:c r="C76" s="51" t="str">
        <x:v>E1/S1</x:v>
      </x:c>
      <x:c r="D76" s="51" t="str">
        <x:v>INSUR-001–INSUR-007</x:v>
      </x:c>
      <x:c r="E76" s="51" t="str">
        <x:v>SRC-368–SRC-372</x:v>
      </x:c>
      <x:c r="F76" s="51" t="str">
        <x:v>Track insurer, flag, bank, service jurisdiction, attestation and alternative providers by voyage.</x:v>
      </x:c>
    </x:row>
    <x:row r="77">
      <x:c r="A77" s="51" t="str">
        <x:v>CLM-073</x:v>
      </x:c>
      <x:c r="B77" s="51" t="str">
        <x:v>Letters of credit finance documents rather than goods: payment assurance arises from bank undertakings conditioned on documentary compliance.</x:v>
      </x:c>
      <x:c r="C77" s="51" t="str">
        <x:v>E1</x:v>
      </x:c>
      <x:c r="D77" s="51" t="str">
        <x:v>TFIN-001–TFIN-010</x:v>
      </x:c>
      <x:c r="E77" s="51" t="str">
        <x:v>SRC-373–SRC-378</x:v>
      </x:c>
      <x:c r="F77" s="51" t="str">
        <x:v>Separate commercial performance, documentary compliance, fraud, sanctions and final cargo delivery.</x:v>
      </x:c>
    </x:row>
    <x:row r="78">
      <x:c r="A78" s="51" t="str">
        <x:v>CLM-074</x:v>
      </x:c>
      <x:c r="B78" s="51" t="str">
        <x:v>A commodity cargo is simultaneously physical material, benchmark exposure, warehouse or bill-of-lading title, financed collateral, insured risk and sanctions-screened trade.</x:v>
      </x:c>
      <x:c r="C78" s="51" t="str">
        <x:v>S1</x:v>
      </x:c>
      <x:c r="D78" s="51" t="str">
        <x:v>V9 full layer</x:v>
      </x:c>
      <x:c r="E78" s="51" t="str">
        <x:v>SRC-333–SRC-378</x:v>
      </x:c>
      <x:c r="F78" s="51" t="str">
        <x:v>Maintain separate identities for cargo, contract, vessel, benchmark, bank obligation and insurance policy.</x:v>
      </x:c>
    </x:row>
    <x:row r="79">
      <x:c r="A79" s="51" t="str">
        <x:v>CLM-075</x:v>
      </x:c>
      <x:c r="B79" s="51" t="str">
        <x:v>AI compute power is a stack, not a single-company asset: EDA, lithography, foundry, packaging, memory, networking, cloud, power and model demand are separate conversion points.</x:v>
      </x:c>
      <x:c r="C79" s="51" t="str">
        <x:v>E1/S1</x:v>
      </x:c>
      <x:c r="D79" s="51" t="str">
        <x:v>CHIP and CLOUD layers</x:v>
      </x:c>
      <x:c r="E79" s="51" t="str">
        <x:v>SRC-379–SRC-415</x:v>
      </x:c>
      <x:c r="F79" s="51" t="str">
        <x:v>Identify the exact layer before attributing control or dependency.</x:v>
      </x:c>
    </x:row>
    <x:row r="80">
      <x:c r="A80" s="51" t="str">
        <x:v>CLM-076</x:v>
      </x:c>
      <x:c r="B80" s="51" t="str">
        <x:v>NVIDIA's commercial dominance does not mean it owns TSMC, ASML, cloud customers or the electricity infrastructure supporting its accelerators.</x:v>
      </x:c>
      <x:c r="C80" s="51" t="str">
        <x:v>E1/S1 boundary</x:v>
      </x:c>
      <x:c r="D80" s="51" t="str">
        <x:v>CHIP-001–CHIP-004; CLOUD-010</x:v>
      </x:c>
      <x:c r="E80" s="51" t="str">
        <x:v>SRC-379–SRC-387; SRC-410</x:v>
      </x:c>
      <x:c r="F80" s="51" t="str">
        <x:v>Separate supplier dependence, bargaining power, ownership and technical standards.</x:v>
      </x:c>
    </x:row>
    <x:row r="81">
      <x:c r="A81" s="51" t="str">
        <x:v>CLM-077</x:v>
      </x:c>
      <x:c r="B81" s="51" t="str">
        <x:v>OpenAI's infrastructure strategy is multi-provider: Microsoft remains the primary cloud partner while Stargate, Oracle, SoftBank and custom silicon expand alternative capacity.</x:v>
      </x:c>
      <x:c r="C81" s="51" t="str">
        <x:v>E1</x:v>
      </x:c>
      <x:c r="D81" s="51" t="str">
        <x:v>CLOUD-001–CLOUD-004; FINAI-001–FINAI-002</x:v>
      </x:c>
      <x:c r="E81" s="51" t="str">
        <x:v>SRC-394–SRC-405</x:v>
      </x:c>
      <x:c r="F81" s="51" t="str">
        <x:v>Preserve cloud priority, purchase commitment, equity investment and project ownership as different relationships.</x:v>
      </x:c>
    </x:row>
    <x:row r="82">
      <x:c r="A82" s="51" t="str">
        <x:v>CLM-078</x:v>
      </x:c>
      <x:c r="B82" s="51" t="str">
        <x:v>Anthropic's Amazon and Google agreements demonstrate multi-cloud bargaining rather than ownership by either provider.</x:v>
      </x:c>
      <x:c r="C82" s="51" t="str">
        <x:v>E1</x:v>
      </x:c>
      <x:c r="D82" s="51" t="str">
        <x:v>CLOUD-005–CLOUD-008</x:v>
      </x:c>
      <x:c r="E82" s="51" t="str">
        <x:v>SRC-412–SRC-415</x:v>
      </x:c>
      <x:c r="F82" s="51" t="str">
        <x:v>Track investment, primary-cloud status, accelerator type, contracted GW and model availability separately.</x:v>
      </x:c>
    </x:row>
    <x:row r="83">
      <x:c r="A83" s="51" t="str">
        <x:v>CLM-079</x:v>
      </x:c>
      <x:c r="B83" s="51" t="str">
        <x:v>AI infrastructure can be financed as long-duration infrastructure when GPUs, powered facilities and customer contracts are bundled, but technological obsolescence creates unusual collateral risk.</x:v>
      </x:c>
      <x:c r="C83" s="51" t="str">
        <x:v>E1/S1</x:v>
      </x:c>
      <x:c r="D83" s="51" t="str">
        <x:v>FINAI-002–FINAI-009</x:v>
      </x:c>
      <x:c r="E83" s="51" t="str">
        <x:v>SRC-403–SRC-420</x:v>
      </x:c>
      <x:c r="F83" s="51" t="str">
        <x:v>Record debt maturity, collateral, customer concentration, hardware generation and residual value.</x:v>
      </x:c>
    </x:row>
    <x:row r="84">
      <x:c r="A84" s="51" t="str">
        <x:v>CLM-080</x:v>
      </x:c>
      <x:c r="B84" s="51" t="str">
        <x:v>Electricity and interconnection are now binding AI inputs; compute capacity should be measured in energised, operational megawatts rather than announced dollars or planned gigawatts alone.</x:v>
      </x:c>
      <x:c r="C84" s="51" t="str">
        <x:v>E1/S1</x:v>
      </x:c>
      <x:c r="D84" s="51" t="str">
        <x:v>POWERAI-001–POWERAI-007</x:v>
      </x:c>
      <x:c r="E84" s="51" t="str">
        <x:v>SRC-395–SRC-429</x:v>
      </x:c>
      <x:c r="F84" s="51" t="str">
        <x:v>Separate announced, contracted, interconnected, energised and utilised capacity.</x:v>
      </x:c>
    </x:row>
    <x:row r="85">
      <x:c r="A85" s="51" t="str">
        <x:v>CLM-081</x:v>
      </x:c>
      <x:c r="B85" s="51" t="str">
        <x:v>Export controls convert chip performance, ultimate-parent identity and destination into legal access to AI capability.</x:v>
      </x:c>
      <x:c r="C85" s="51" t="str">
        <x:v>E1</x:v>
      </x:c>
      <x:c r="D85" s="51" t="str">
        <x:v>POLAI-001–POLAI-005</x:v>
      </x:c>
      <x:c r="E85" s="51" t="str">
        <x:v>SRC-421–SRC-426</x:v>
      </x:c>
      <x:c r="F85" s="51" t="str">
        <x:v>Track item classification, destination, customer, licence status, conditions and end use.</x:v>
      </x:c>
    </x:row>
    <x:row r="86">
      <x:c r="A86" s="51" t="str">
        <x:v>CLM-082</x:v>
      </x:c>
      <x:c r="B86" s="51" t="str">
        <x:v>AI CEOs are high-leverage authorised brokers inside corporate systems, but public prominence is not evidence that they personally own partner companies or secretly coordinate the whole stack.</x:v>
      </x:c>
      <x:c r="C86" s="51" t="str">
        <x:v>E1/S1 boundary</x:v>
      </x:c>
      <x:c r="D86" s="51" t="str">
        <x:v>EXEC-001–EXEC-012</x:v>
      </x:c>
      <x:c r="E86" s="51" t="str">
        <x:v>SRC-430–SRC-441</x:v>
      </x:c>
      <x:c r="F86" s="51" t="str">
        <x:v>Use formal office, board rights, share ownership, signed contracts and disclosed investments—not fame or social proximity.</x:v>
      </x:c>
    </x:row>
    <x:row r="87">
      <x:c r="A87" s="51" t="str">
        <x:v>CLM-083</x:v>
      </x:c>
      <x:c r="B87" s="51" t="str">
        <x:v>Bill Gates is historically central to Microsoft but is not the current executive controlling Microsoft's Azure and OpenAI infrastructure decisions.</x:v>
      </x:c>
      <x:c r="C87" s="51" t="str">
        <x:v>E1 boundary</x:v>
      </x:c>
      <x:c r="D87" s="51" t="str">
        <x:v>EXEC-003; EXEC-012</x:v>
      </x:c>
      <x:c r="E87" s="51" t="str">
        <x:v>SRC-432; SRC-441</x:v>
      </x:c>
      <x:c r="F87" s="51" t="str">
        <x:v>Preserve historical influence while assigning current executive authority to current officeholders.</x:v>
      </x:c>
    </x:row>
    <x:row r="88">
      <x:c r="A88" s="51" t="str">
        <x:v>CLM-084</x:v>
      </x:c>
      <x:c r="B88" s="51" t="str">
        <x:v>The Internet is a federation of independently owned networks joined through standards, routing, peering and identifier systems; no single company owns it.</x:v>
      </x:c>
      <x:c r="C88" s="51" t="str">
        <x:v>E1/S1</x:v>
      </x:c>
      <x:c r="D88" s="51" t="str">
        <x:v>V11TEL; V11DNS; V11IXP</x:v>
      </x:c>
      <x:c r="E88" s="51" t="str">
        <x:v>SRC-442–SRC-457</x:v>
      </x:c>
      <x:c r="F88" s="51" t="str">
        <x:v>Identify the exact physical, routing, naming or platform layer before attributing control.</x:v>
      </x:c>
    </x:row>
    <x:row r="89">
      <x:c r="A89" s="51" t="str">
        <x:v>CLM-085</x:v>
      </x:c>
      <x:c r="B89" s="51" t="str">
        <x:v>Private platform companies increasingly own submarine-cable capacity, but cable ownership is not equivalent to ownership of landing stations, national backhaul or all traffic on the route.</x:v>
      </x:c>
      <x:c r="C89" s="51" t="str">
        <x:v>E1/S1 boundary</x:v>
      </x:c>
      <x:c r="D89" s="51" t="str">
        <x:v>V11SUB-001–V11SUB-007</x:v>
      </x:c>
      <x:c r="E89" s="51" t="str">
        <x:v>SRC-451–SRC-454</x:v>
      </x:c>
      <x:c r="F89" s="51" t="str">
        <x:v>Record fiber-pair ownership, landing entities, capacity rights and terrestrial interconnection separately.</x:v>
      </x:c>
    </x:row>
    <x:row r="90">
      <x:c r="A90" s="51" t="str">
        <x:v>CLM-086</x:v>
      </x:c>
      <x:c r="B90" s="51" t="str">
        <x:v>ICANN and IANA coordinate identifiers and the DNS root; they do not control Internet content, access networks or the routing decisions of autonomous systems.</x:v>
      </x:c>
      <x:c r="C90" s="51" t="str">
        <x:v>E1 boundary</x:v>
      </x:c>
      <x:c r="D90" s="51" t="str">
        <x:v>V11DNS-001–V11DNS-007</x:v>
      </x:c>
      <x:c r="E90" s="51" t="str">
        <x:v>SRC-444–SRC-448</x:v>
      </x:c>
      <x:c r="F90" s="51" t="str">
        <x:v>Preserve policy, root-zone operations, registry, registrar, resolver and hosting as distinct roles.</x:v>
      </x:c>
    </x:row>
    <x:row r="91">
      <x:c r="A91" s="51" t="str">
        <x:v>CLM-087</x:v>
      </x:c>
      <x:c r="B91" s="51" t="str">
        <x:v>Internet exchanges and CDNs reduce latency and transit dependence while creating new concentration and correlated-failure risks.</x:v>
      </x:c>
      <x:c r="C91" s="51" t="str">
        <x:v>E1/S1</x:v>
      </x:c>
      <x:c r="D91" s="51" t="str">
        <x:v>V11IXP; V11EDGE</x:v>
      </x:c>
      <x:c r="E91" s="51" t="str">
        <x:v>SRC-455–SRC-462</x:v>
      </x:c>
      <x:c r="F91" s="51" t="str">
        <x:v>Measure connected networks, traffic, facility dependence, control-plane design and failover.</x:v>
      </x:c>
    </x:row>
    <x:row r="92">
      <x:c r="A92" s="51" t="str">
        <x:v>CLM-088</x:v>
      </x:c>
      <x:c r="B92" s="51" t="str">
        <x:v>Satellite broadband is an integrated stack of spectrum, launch, satellites, gateways, terminals and terrestrial interconnection; constellation size alone does not equal usable national service.</x:v>
      </x:c>
      <x:c r="C92" s="51" t="str">
        <x:v>E1/S1</x:v>
      </x:c>
      <x:c r="D92" s="51" t="str">
        <x:v>V11SAT-001–V11SAT-010</x:v>
      </x:c>
      <x:c r="E92" s="51" t="str">
        <x:v>SRC-463–SRC-476</x:v>
      </x:c>
      <x:c r="F92" s="51" t="str">
        <x:v>Separate launched, operational, licensed, covered and subscribed capacity.</x:v>
      </x:c>
    </x:row>
    <x:row r="93">
      <x:c r="A93" s="51" t="str">
        <x:v>CLM-089</x:v>
      </x:c>
      <x:c r="B93" s="51" t="str">
        <x:v>App stores govern distribution, review and discovery on their platforms, but ecosystem billings are not identical to platform commission revenue.</x:v>
      </x:c>
      <x:c r="C93" s="51" t="str">
        <x:v>E1 boundary</x:v>
      </x:c>
      <x:c r="D93" s="51" t="str">
        <x:v>V11STORE-001–V11STORE-005</x:v>
      </x:c>
      <x:c r="E93" s="51" t="str">
        <x:v>SRC-477–SRC-484</x:v>
      </x:c>
      <x:c r="F93" s="51" t="str">
        <x:v>Separate developer sales, physical-goods commerce, digital payments and platform fees.</x:v>
      </x:c>
    </x:row>
    <x:row r="94">
      <x:c r="A94" s="51" t="str">
        <x:v>CLM-090</x:v>
      </x:c>
      <x:c r="B94" s="51" t="str">
        <x:v>Executive authority must be date-specific: Tim Cook is Apple CEO on July 27, 2026, while John Ternus is designated to assume the role on September 1, 2026.</x:v>
      </x:c>
      <x:c r="C94" s="51" t="str">
        <x:v>E1 boundary</x:v>
      </x:c>
      <x:c r="D94" s="51" t="str">
        <x:v>V11EXEC-006–V11EXEC-007</x:v>
      </x:c>
      <x:c r="E94" s="51" t="str">
        <x:v>SRC-480; SRC-481</x:v>
      </x:c>
      <x:c r="F94" s="51" t="str">
        <x:v>Assign authority using the effective date rather than announcement date.</x:v>
      </x:c>
    </x:row>
    <x:row r="95">
      <x:c r="A95" s="51" t="str">
        <x:v>CLM-091</x:v>
      </x:c>
      <x:c r="B95" s="51" t="str">
        <x:v>Elon Musk has unusually concentrated formal voting and executive control at SpaceX, but that does not create legal authority over spectrum regulators, foreign markets or independent ground infrastructure.</x:v>
      </x:c>
      <x:c r="C95" s="51" t="str">
        <x:v>E1/S1 boundary</x:v>
      </x:c>
      <x:c r="D95" s="51" t="str">
        <x:v>V11SAT-001–V11SAT-004</x:v>
      </x:c>
      <x:c r="E95" s="51" t="str">
        <x:v>SRC-466; SRC-467</x:v>
      </x:c>
      <x:c r="F95" s="51" t="str">
        <x:v>Separate corporate voting control from sovereign licensing and third-party assets.</x:v>
      </x:c>
    </x:row>
    <x:row r="96">
      <x:c r="A96" s="51" t="str">
        <x:v>CLM-092</x:v>
      </x:c>
      <x:c r="B96" s="51" t="str">
        <x:v>Digital distribution power exists at several layers—cable route, landing station, routing exchange, DNS, CDN, satellite gateway and app store—and can migrate when redundancy is added.</x:v>
      </x:c>
      <x:c r="C96" s="51" t="str">
        <x:v>S1</x:v>
      </x:c>
      <x:c r="D96" s="51" t="str">
        <x:v>V11 full layer</x:v>
      </x:c>
      <x:c r="E96" s="51" t="str">
        <x:v>SRC-442–SRC-490</x:v>
      </x:c>
      <x:c r="F96" s="51" t="str">
        <x:v>Map substitution and failover before claiming a permanent chokepoint.</x:v>
      </x:c>
    </x:row>
    <x:row r="97">
      <x:c r="A97" s="51" t="str">
        <x:v>CLM-093</x:v>
      </x:c>
      <x:c r="B97" s="51" t="str">
        <x:v>Digital identity is not a single database: issuer, wallet, authentication service, credential holder and relying party are separate roles.</x:v>
      </x:c>
      <x:c r="C97" s="51" t="str">
        <x:v>E1/S1</x:v>
      </x:c>
      <x:c r="D97" s="51" t="str">
        <x:v>V12ID-001–V12ID-007</x:v>
      </x:c>
      <x:c r="E97" s="51" t="str">
        <x:v>SRC-502–SRC-507</x:v>
      </x:c>
      <x:c r="F97" s="51" t="str">
        <x:v>Record the exact credential, issuer, presentation, verifier and downstream decision.</x:v>
      </x:c>
    </x:row>
    <x:row r="98">
      <x:c r="A98" s="51" t="str">
        <x:v>CLM-094</x:v>
      </x:c>
      <x:c r="B98" s="51" t="str">
        <x:v>A successful identity authentication establishes that supplied factors matched the system's record; it does not by itself establish eligibility, consent, truthfulness or legal guilt.</x:v>
      </x:c>
      <x:c r="C98" s="51" t="str">
        <x:v>E1 boundary</x:v>
      </x:c>
      <x:c r="D98" s="51" t="str">
        <x:v>V12ID-001–V12ID-004</x:v>
      </x:c>
      <x:c r="E98" s="51" t="str">
        <x:v>SRC-503; SRC-504</x:v>
      </x:c>
      <x:c r="F98" s="51" t="str">
        <x:v>Separate identity match from the service or enforcement decision.</x:v>
      </x:c>
    </x:row>
    <x:row r="99">
      <x:c r="A99" s="51" t="str">
        <x:v>CLM-095</x:v>
      </x:c>
      <x:c r="B99" s="51" t="str">
        <x:v>Visa and Mastercard are high-scale payment networks, but they usually do not hold the customer's bank deposit, extend every credit line or own the merchant sale.</x:v>
      </x:c>
      <x:c r="C99" s="51" t="str">
        <x:v>E1 boundary</x:v>
      </x:c>
      <x:c r="D99" s="51" t="str">
        <x:v>V12PAY-001–V12PAY-006</x:v>
      </x:c>
      <x:c r="E99" s="51" t="str">
        <x:v>SRC-491–SRC-494</x:v>
      </x:c>
      <x:c r="F99" s="51" t="str">
        <x:v>Preserve issuer, network, acquirer, merchant and customer roles.</x:v>
      </x:c>
    </x:row>
    <x:row r="100">
      <x:c r="A100" s="51" t="str">
        <x:v>CLM-096</x:v>
      </x:c>
      <x:c r="B100" s="51" t="str">
        <x:v>Instant-payment rails settle between institutions; retail customers generally access them through banks or payment service providers that retain identity, fraud and compliance controls.</x:v>
      </x:c>
      <x:c r="C100" s="51" t="str">
        <x:v>E1/S1</x:v>
      </x:c>
      <x:c r="D100" s="51" t="str">
        <x:v>V12INST-001–V12INST-006</x:v>
      </x:c>
      <x:c r="E100" s="51" t="str">
        <x:v>SRC-497–SRC-501</x:v>
      </x:c>
      <x:c r="F100" s="51" t="str">
        <x:v>Separate wholesale rail participation from retail product availability.</x:v>
      </x:c>
    </x:row>
    <x:row r="101">
      <x:c r="A101" s="51" t="str">
        <x:v>CLM-097</x:v>
      </x:c>
      <x:c r="B101" s="51" t="str">
        <x:v>Advertising power combines auction rules, predicted user response, inventory access and consent architecture; it is not reducible to the highest monetary bid.</x:v>
      </x:c>
      <x:c r="C101" s="51" t="str">
        <x:v>E1/S1</x:v>
      </x:c>
      <x:c r="D101" s="51" t="str">
        <x:v>V12ADS-001–V12ADS-007</x:v>
      </x:c>
      <x:c r="E101" s="51" t="str">
        <x:v>SRC-508–SRC-515; SRC-531–SRC-532</x:v>
      </x:c>
      <x:c r="F101" s="51" t="str">
        <x:v>Record bid, quality, prediction, inventory, identifier and platform-policy layers.</x:v>
      </x:c>
    </x:row>
    <x:row r="102">
      <x:c r="A102" s="51" t="str">
        <x:v>CLM-098</x:v>
      </x:c>
      <x:c r="B102" s="51" t="str">
        <x:v>LiveRamp identity resolution is commercial interoperability infrastructure, not a state-issued identity or an infallible representation of a person.</x:v>
      </x:c>
      <x:c r="C102" s="51" t="str">
        <x:v>E1 boundary</x:v>
      </x:c>
      <x:c r="D102" s="51" t="str">
        <x:v>V12DATA-001–V12DATA-004</x:v>
      </x:c>
      <x:c r="E102" s="51" t="str">
        <x:v>SRC-516; SRC-517</x:v>
      </x:c>
      <x:c r="F102" s="51" t="str">
        <x:v>Distinguish legal identity, directly identifiable information, pseudonymous identifiers and modelled matches.</x:v>
      </x:c>
    </x:row>
    <x:row r="103">
      <x:c r="A103" s="51" t="str">
        <x:v>CLM-099</x:v>
      </x:c>
      <x:c r="B103" s="51" t="str">
        <x:v>Risk, fraud and operational analytics become consequential when embedded in institutional decision rules; vendors provide inputs while customers retain formal authority.</x:v>
      </x:c>
      <x:c r="C103" s="51" t="str">
        <x:v>E1/S1</x:v>
      </x:c>
      <x:c r="D103" s="51" t="str">
        <x:v>V12RISK-001–V12RISK-004</x:v>
      </x:c>
      <x:c r="E103" s="51" t="str">
        <x:v>SRC-518–SRC-521; SRC-533</x:v>
      </x:c>
      <x:c r="F103" s="51" t="str">
        <x:v>Document who sets thresholds, who can override and who issues the final decision.</x:v>
      </x:c>
    </x:row>
    <x:row r="104">
      <x:c r="A104" s="51" t="str">
        <x:v>CLM-100</x:v>
      </x:c>
      <x:c r="B104" s="51" t="str">
        <x:v>Public-safety platforms can connect sensors and evidence across agencies, but platform reach does not establish lawful use, accuracy or federal access in every deployment.</x:v>
      </x:c>
      <x:c r="C104" s="51" t="str">
        <x:v>E1/S1 boundary</x:v>
      </x:c>
      <x:c r="D104" s="51" t="str">
        <x:v>V12SAFE-001–V12SAFE-004</x:v>
      </x:c>
      <x:c r="E104" s="51" t="str">
        <x:v>SRC-522–SRC-527; SRC-534</x:v>
      </x:c>
      <x:c r="F104" s="51" t="str">
        <x:v>Record local ownership, retention, sharing settings, audit logs and legal authority.</x:v>
      </x:c>
    </x:row>
    <x:row r="105">
      <x:c r="A105" s="51" t="str">
        <x:v>CLM-101</x:v>
      </x:c>
      <x:c r="B105" s="51" t="str">
        <x:v>The adaptive surveillance risk arises from feedback among identity, payment, advertising, risk and sensor systems; evidence of one connection is not evidence of a unified command system.</x:v>
      </x:c>
      <x:c r="C105" s="51" t="str">
        <x:v>S1 boundary</x:v>
      </x:c>
      <x:c r="D105" s="51" t="str">
        <x:v>V12 full layer</x:v>
      </x:c>
      <x:c r="E105" s="51" t="str">
        <x:v>SRC-491–SRC-535</x:v>
      </x:c>
      <x:c r="F105" s="51" t="str">
        <x:v>Require a documented contract, data flow or governance right for every cross-system edge.</x:v>
      </x:c>
    </x:row>
    <x:row r="106">
      <x:c r="A106" s="51" t="str">
        <x:v>CLM-102</x:v>
      </x:c>
      <x:c r="B106" s="51" t="str">
        <x:v>FATF Recommendations are international standards, not self-executing domestic law; coercive effect comes from national implementation and private responses.</x:v>
      </x:c>
      <x:c r="C106" s="51" t="str">
        <x:v>E1/S1</x:v>
      </x:c>
      <x:c r="D106" s="51" t="str">
        <x:v>V13AML-001–V13AML-004</x:v>
      </x:c>
      <x:c r="E106" s="51" t="str">
        <x:v>SRC-536; SRC-539</x:v>
      </x:c>
      <x:c r="F106" s="51" t="str">
        <x:v>Record the implementing statute, regulation, supervisor and effective date.</x:v>
      </x:c>
    </x:row>
    <x:row r="107">
      <x:c r="A107" s="51" t="str">
        <x:v>CLM-103</x:v>
      </x:c>
      <x:c r="B107" s="51" t="str">
        <x:v>FATF increased monitoring is not a FATF economic-sanctions regime, although institutions may impose higher due diligence or de-risking in response.</x:v>
      </x:c>
      <x:c r="C107" s="51" t="str">
        <x:v>E1/S1 boundary</x:v>
      </x:c>
      <x:c r="D107" s="51" t="str">
        <x:v>V13AML-003; MECH-184</x:v>
      </x:c>
      <x:c r="E107" s="51" t="str">
        <x:v>SRC-541; SRC-542</x:v>
      </x:c>
      <x:c r="F107" s="51" t="str">
        <x:v>Separate formal FATF status from bank, investor and government reactions.</x:v>
      </x:c>
    </x:row>
    <x:row r="108">
      <x:c r="A108" s="51" t="str">
        <x:v>CLM-104</x:v>
      </x:c>
      <x:c r="B108" s="51" t="str">
        <x:v>Beneficial ownership identifies ultimate natural-person ownership or control; it does not by itself establish criminality, operational control or legal title to every asset.</x:v>
      </x:c>
      <x:c r="C108" s="51" t="str">
        <x:v>E1/S1 boundary</x:v>
      </x:c>
      <x:c r="D108" s="51" t="str">
        <x:v>V13BO-001–V13BO-005</x:v>
      </x:c>
      <x:c r="E108" s="51" t="str">
        <x:v>SRC-537; SRC-538; SRC-545–SRC-547</x:v>
      </x:c>
      <x:c r="F108" s="51" t="str">
        <x:v>Record ownership percentage, control right, registry source and verification status.</x:v>
      </x:c>
    </x:row>
    <x:row r="109">
      <x:c r="A109" s="51" t="str">
        <x:v>CLM-105</x:v>
      </x:c>
      <x:c r="B109" s="51" t="str">
        <x:v>A Suspicious Activity Report is a confidential financial-intelligence lead, not proof that the reported person committed a crime.</x:v>
      </x:c>
      <x:c r="C109" s="51" t="str">
        <x:v>E1 boundary</x:v>
      </x:c>
      <x:c r="D109" s="51" t="str">
        <x:v>V13FIU-001–V13FIU-004</x:v>
      </x:c>
      <x:c r="E109" s="51" t="str">
        <x:v>SRC-543; SRC-544</x:v>
      </x:c>
      <x:c r="F109" s="51" t="str">
        <x:v>Separate report, analysis, investigation, charge and conviction.</x:v>
      </x:c>
    </x:row>
    <x:row r="110">
      <x:c r="A110" s="51" t="str">
        <x:v>CLM-106</x:v>
      </x:c>
      <x:c r="B110" s="51" t="str">
        <x:v>OFAC blocking immobilises property; it is not the same as confiscation, forfeiture or transfer of title to the U.S. government.</x:v>
      </x:c>
      <x:c r="C110" s="51" t="str">
        <x:v>E1 boundary</x:v>
      </x:c>
      <x:c r="D110" s="51" t="str">
        <x:v>V13SAN-001–V13SAN-011; V13FORF</x:v>
      </x:c>
      <x:c r="E110" s="51" t="str">
        <x:v>SRC-553–SRC-558; SRC-577–SRC-581</x:v>
      </x:c>
      <x:c r="F110" s="51" t="str">
        <x:v>Use distinct fields for blocked, seized, forfeited, returned and distributed assets.</x:v>
      </x:c>
    </x:row>
    <x:row r="111">
      <x:c r="A111" s="51" t="str">
        <x:v>CLM-107</x:v>
      </x:c>
      <x:c r="B111" s="51" t="str">
        <x:v>SWIFT transmits financial messages and does not generally hold customer funds or manage customer accounts; message exclusion can impede payments without itself seizing money.</x:v>
      </x:c>
      <x:c r="C111" s="51" t="str">
        <x:v>E1 boundary</x:v>
      </x:c>
      <x:c r="D111" s="51" t="str">
        <x:v>V13SWIFT-001–V13SWIFT-004</x:v>
      </x:c>
      <x:c r="E111" s="51" t="str">
        <x:v>SRC-559–SRC-562</x:v>
      </x:c>
      <x:c r="F111" s="51" t="str">
        <x:v>Separate messaging access, correspondent account, liquidity and settlement.</x:v>
      </x:c>
    </x:row>
    <x:row r="112">
      <x:c r="A112" s="51" t="str">
        <x:v>CLM-108</x:v>
      </x:c>
      <x:c r="B112" s="51" t="str">
        <x:v>CRS, CARF and FATCA create defined reporting and exchange duties, not a universal public or real-time database of every person's financial activity.</x:v>
      </x:c>
      <x:c r="C112" s="51" t="str">
        <x:v>E1/S1 boundary</x:v>
      </x:c>
      <x:c r="D112" s="51" t="str">
        <x:v>V13TAX-001–V13TAX-008</x:v>
      </x:c>
      <x:c r="E112" s="51" t="str">
        <x:v>SRC-563–SRC-570</x:v>
      </x:c>
      <x:c r="F112" s="51" t="str">
        <x:v>Record reportable account, taxpayer nexus, exchange agreement, period and recipient authority.</x:v>
      </x:c>
    </x:row>
    <x:row r="113">
      <x:c r="A113" s="51" t="str">
        <x:v>CLM-109</x:v>
      </x:c>
      <x:c r="B113" s="51" t="str">
        <x:v>World Bank debarment is an administrative procurement sanction and may propagate through cross-debarment; it is not necessarily a criminal conviction or universal business ban.</x:v>
      </x:c>
      <x:c r="C113" s="51" t="str">
        <x:v>E1 boundary</x:v>
      </x:c>
      <x:c r="D113" s="51" t="str">
        <x:v>V13PROC-001–V13PROC-006</x:v>
      </x:c>
      <x:c r="E113" s="51" t="str">
        <x:v>SRC-571–SRC-576</x:v>
      </x:c>
      <x:c r="F113" s="51" t="str">
        <x:v>Record decision tier, sanction period, release conditions and participating institutions.</x:v>
      </x:c>
    </x:row>
    <x:row r="114">
      <x:c r="A114" s="51" t="str">
        <x:v>CLM-110</x:v>
      </x:c>
      <x:c r="B114" s="51" t="str">
        <x:v>Seizure, blocking and forfeiture are different legal states; final forfeiture requires a separate legal process and may generate victim or third-party claims.</x:v>
      </x:c>
      <x:c r="C114" s="51" t="str">
        <x:v>E1 boundary</x:v>
      </x:c>
      <x:c r="D114" s="51" t="str">
        <x:v>V13FORF-001–V13FORF-006</x:v>
      </x:c>
      <x:c r="E114" s="51" t="str">
        <x:v>SRC-577–SRC-581</x:v>
      </x:c>
      <x:c r="F114" s="51" t="str">
        <x:v>Track custody, title, court order, claim status and distribution separately.</x:v>
      </x:c>
    </x:row>
    <x:row r="115">
      <x:c r="A115" s="51" t="str">
        <x:v>CLM-111</x:v>
      </x:c>
      <x:c r="B115" s="51" t="str">
        <x:v>Appointment to an advisory council establishes formal access and a consultative role; it does not establish binding authority, policy adoption or control of government.</x:v>
      </x:c>
      <x:c r="C115" s="51" t="str">
        <x:v>E1/S1 boundary</x:v>
      </x:c>
      <x:c r="D115" s="51" t="str">
        <x:v>AIG-001–AIG-016; V14ADV</x:v>
      </x:c>
      <x:c r="E115" s="51" t="str">
        <x:v>SRC-586–SRC-589</x:v>
      </x:c>
      <x:c r="F115" s="51" t="str">
        <x:v>Record appointment, term, ethics status, advice produced and actual policy adoption separately.</x:v>
      </x:c>
    </x:row>
    <x:row r="116">
      <x:c r="A116" s="51" t="str">
        <x:v>CLM-112</x:v>
      </x:c>
      <x:c r="B116" s="51" t="str">
        <x:v>Lobbying expenditure establishes paid advocacy on disclosed issues, not successful persuasion, corruption or control of an official.</x:v>
      </x:c>
      <x:c r="C116" s="51" t="str">
        <x:v>E1 boundary</x:v>
      </x:c>
      <x:c r="D116" s="51" t="str">
        <x:v>V14LOB-001–V14LOB-006</x:v>
      </x:c>
      <x:c r="E116" s="51" t="str">
        <x:v>SRC-591–SRC-595</x:v>
      </x:c>
      <x:c r="F116" s="51" t="str">
        <x:v>Link lobbying to outcomes only through meetings, drafts, timing, correspondence and decision evidence.</x:v>
      </x:c>
    </x:row>
    <x:row r="117">
      <x:c r="A117" s="51" t="str">
        <x:v>CLM-113</x:v>
      </x:c>
      <x:c r="B117" s="51" t="str">
        <x:v>Super PAC contributions and independent expenditures establish political-finance relationships, but do not by themselves establish candidate coordination, quid pro quo or electoral causation.</x:v>
      </x:c>
      <x:c r="C117" s="51" t="str">
        <x:v>E1 boundary</x:v>
      </x:c>
      <x:c r="D117" s="51" t="str">
        <x:v>V14PAC-001–V14PAC-006</x:v>
      </x:c>
      <x:c r="E117" s="51" t="str">
        <x:v>SRC-596–SRC-603</x:v>
      </x:c>
      <x:c r="F117" s="51" t="str">
        <x:v>Preserve donor, committee, vendor, communication, beneficiary and coordination evidence separately.</x:v>
      </x:c>
    </x:row>
    <x:row r="118">
      <x:c r="A118" s="51" t="str">
        <x:v>CLM-114</x:v>
      </x:c>
      <x:c r="B118" s="51" t="str">
        <x:v>Philanthropic grants allocate resources and agenda capacity; they do not automatically purchase research conclusions or transfer public authority to the donor.</x:v>
      </x:c>
      <x:c r="C118" s="51" t="str">
        <x:v>E1/S1 boundary</x:v>
      </x:c>
      <x:c r="D118" s="51" t="str">
        <x:v>V14PHIL-001–V14PHIL-013</x:v>
      </x:c>
      <x:c r="E118" s="51" t="str">
        <x:v>SRC-604–SRC-617</x:v>
      </x:c>
      <x:c r="F118" s="51" t="str">
        <x:v>Record grant restrictions, governance rights, outputs, recipient independence and renewal dependence.</x:v>
      </x:c>
    </x:row>
    <x:row r="119">
      <x:c r="A119" s="51" t="str">
        <x:v>CLM-115</x:v>
      </x:c>
      <x:c r="B119" s="51" t="str">
        <x:v>Think-tank funding can shape institutional capacity and policy supply, but donor support is not proof that a donor authored or controlled a specific conclusion.</x:v>
      </x:c>
      <x:c r="C119" s="51" t="str">
        <x:v>E1/S1 boundary</x:v>
      </x:c>
      <x:c r="D119" s="51" t="str">
        <x:v>V14THINK-001–V14THINK-007</x:v>
      </x:c>
      <x:c r="E119" s="51" t="str">
        <x:v>SRC-618–SRC-625</x:v>
      </x:c>
      <x:c r="F119" s="51" t="str">
        <x:v>Trace project funding, author independence, citations, appointments and policy uptake.</x:v>
      </x:c>
    </x:row>
    <x:row r="120">
      <x:c r="A120" s="51" t="str">
        <x:v>CLM-116</x:v>
      </x:c>
      <x:c r="B120" s="51" t="str">
        <x:v>Media ownership and voting control create governance power, but do not establish owner direction of every article, broadcast or journalistic conclusion.</x:v>
      </x:c>
      <x:c r="C120" s="51" t="str">
        <x:v>E1/S1 boundary</x:v>
      </x:c>
      <x:c r="D120" s="51" t="str">
        <x:v>V14MEDIA-001–V14MEDIA-006</x:v>
      </x:c>
      <x:c r="E120" s="51" t="str">
        <x:v>SRC-626–SRC-629; SRC-612–SRC-613</x:v>
      </x:c>
      <x:c r="F120" s="51" t="str">
        <x:v>Separate voting rights, executive authority, budget, editorial constitution and item-level intervention.</x:v>
      </x:c>
    </x:row>
    <x:row r="121">
      <x:c r="A121" s="51" t="str">
        <x:v>CLM-117</x:v>
      </x:c>
      <x:c r="B121" s="51" t="str">
        <x:v>Bill Gates and Foundation personnel had repeated documented meetings with Epstein, and the Foundation review found vetting failures; the review found no Foundation payment to Epstein or evidence of participation in or knowledge of his crimes.</x:v>
      </x:c>
      <x:c r="C121" s="51" t="str">
        <x:v>E1 boundary</x:v>
      </x:c>
      <x:c r="D121" s="51" t="str">
        <x:v>GAT-001–GAT-007; V14ELITE-002–003</x:v>
      </x:c>
      <x:c r="E121" s="51" t="str">
        <x:v>SRC-607; SRC-608; SRC-635; SRC-636</x:v>
      </x:c>
      <x:c r="F121" s="51" t="str">
        <x:v>State both the documented relationship and the review's evidentiary limits.</x:v>
      </x:c>
    </x:row>
    <x:row r="122">
      <x:c r="A122" s="51" t="str">
        <x:v>CLM-118</x:v>
      </x:c>
      <x:c r="B122" s="51" t="str">
        <x:v>Donald Trump and Jeffrey Epstein were documented social acquaintances; describing Epstein as Trump's proven 'best friend' or inferring participation in Epstein's crimes exceeds the available evidence.</x:v>
      </x:c>
      <x:c r="C122" s="51" t="str">
        <x:v>E2/U1 boundary</x:v>
      </x:c>
      <x:c r="D122" s="51" t="str">
        <x:v>TRP-001–TRP-004; V14ELITE-004</x:v>
      </x:c>
      <x:c r="E122" s="51" t="str">
        <x:v>SRC-054; SRC-055; SRC-633; SRC-634</x:v>
      </x:c>
      <x:c r="F122" s="51" t="str">
        <x:v>Use dated events, travel and direct quotations; quarantine superlative relationship claims and guilt by association.</x:v>
      </x:c>
    </x:row>
    <x:row r="123">
      <x:c r="A123" s="51" t="str">
        <x:v>CLM-119</x:v>
      </x:c>
      <x:c r="B123" s="51" t="str">
        <x:v>A person's name, planned meeting or reference in the DOJ Epstein Library is not evidence of wrongdoing or proof that a meeting occurred.</x:v>
      </x:c>
      <x:c r="C123" s="51" t="str">
        <x:v>E1/N1 boundary</x:v>
      </x:c>
      <x:c r="D123" s="51" t="str">
        <x:v>V14ELITE-001; V14ELITE-005–006</x:v>
      </x:c>
      <x:c r="E123" s="51" t="str">
        <x:v>SRC-630–SRC-632; SRC-637</x:v>
      </x:c>
      <x:c r="F123" s="51" t="str">
        <x:v>Classify each record by source, role, occurrence, corroboration and alleged conduct.</x:v>
      </x:c>
    </x:row>
    <x:row r="124">
      <x:c r="A124" s="51" t="str">
        <x:v>CLM-120</x:v>
      </x:c>
      <x:c r="B124" s="51" t="str">
        <x:v>Elite networks are real channels of access, but network density does not prove a unified command structure; authority must be traced through offices, votes, contracts, money, appointments and decisions.</x:v>
      </x:c>
      <x:c r="C124" s="51" t="str">
        <x:v>S1 boundary</x:v>
      </x:c>
      <x:c r="D124" s="51" t="str">
        <x:v>V14 full layer</x:v>
      </x:c>
      <x:c r="E124" s="51" t="str">
        <x:v>SRC-586–SRC-637</x:v>
      </x:c>
      <x:c r="F124" s="51" t="str">
        <x:v>Require a documented conversion mechanism for each claimed exercise of power.</x:v>
      </x:c>
    </x:row>
    <x:row r="125">
      <x:c r="A125" s="51" t="str">
        <x:v>CLM-121</x:v>
      </x:c>
      <x:c r="B125" s="51" t="str">
        <x:v>The strongest political-power map separates capital, access, expertise, narrative reach and legal authority rather than treating prominence as one undifferentiated form of control.</x:v>
      </x:c>
      <x:c r="C125" s="51" t="str">
        <x:v>S1</x:v>
      </x:c>
      <x:c r="D125" s="51" t="str">
        <x:v>V14 full layer</x:v>
      </x:c>
      <x:c r="E125" s="51" t="str">
        <x:v>SRC-586–SRC-637</x:v>
      </x:c>
      <x:c r="F125" s="51" t="str">
        <x:v>Score each edge by the exact power dimension and the institution capable of acting.</x:v>
      </x:c>
    </x:row>
    <x:row r="126">
      <x:c r="A126" s="51" t="str">
        <x:v>CLM-122</x:v>
      </x:c>
      <x:c r="B126" s="51" t="str">
        <x:v>A complaint, defence or arbitration request begins a legal process; it does not establish the truth of allegations, liability or entitlement to a remedy.</x:v>
      </x:c>
      <x:c r="C126" s="51" t="str">
        <x:v>E1/S1 boundary</x:v>
      </x:c>
      <x:c r="D126" s="51" t="str">
        <x:v>V15COURT; V15ARB</x:v>
      </x:c>
      <x:c r="E126" s="51" t="str">
        <x:v>SRC-639; SRC-640; SRC-653; SRC-656</x:v>
      </x:c>
      <x:c r="F126" s="51" t="str">
        <x:v>Track filing, jurisdiction, interim orders, merits findings and final judgment separately.</x:v>
      </x:c>
    </x:row>
    <x:row r="127">
      <x:c r="A127" s="51" t="str">
        <x:v>CLM-123</x:v>
      </x:c>
      <x:c r="B127" s="51" t="str">
        <x:v>A judicial or arbitral interim order is not the same as a final judgment or award, and a final award is not the same as successful collection.</x:v>
      </x:c>
      <x:c r="C127" s="51" t="str">
        <x:v>E1/S1 boundary</x:v>
      </x:c>
      <x:c r="D127" s="51" t="str">
        <x:v>V15COURT; V15ARB; MECH-222</x:v>
      </x:c>
      <x:c r="E127" s="51" t="str">
        <x:v>SRC-639; SRC-656</x:v>
      </x:c>
      <x:c r="F127" s="51" t="str">
        <x:v>Record procedural state, appeal or annulment status, enforcement forum and asset recovery.</x:v>
      </x:c>
    </x:row>
    <x:row r="128">
      <x:c r="A128" s="51" t="str">
        <x:v>CLM-124</x:v>
      </x:c>
      <x:c r="B128" s="51" t="str">
        <x:v>Arbitration institutions administer disputes and appointments; the case-specific tribunal ordinarily decides the merits.</x:v>
      </x:c>
      <x:c r="C128" s="51" t="str">
        <x:v>E1 boundary</x:v>
      </x:c>
      <x:c r="D128" s="51" t="str">
        <x:v>ARB-001–006; V15ARB-001–009</x:v>
      </x:c>
      <x:c r="E128" s="51" t="str">
        <x:v>SRC-651–SRC-660; SRC-688</x:v>
      </x:c>
      <x:c r="F128" s="51" t="str">
        <x:v>Separate registry, institutional court, tribunal, national court and enforcement actor.</x:v>
      </x:c>
    </x:row>
    <x:row r="129">
      <x:c r="A129" s="51" t="str">
        <x:v>CLM-125</x:v>
      </x:c>
      <x:c r="B129" s="51" t="str">
        <x:v>Third-party litigation funding provides nonrecourse capital and a contingent return; it does not automatically transfer claim ownership or litigation control.</x:v>
      </x:c>
      <x:c r="C129" s="51" t="str">
        <x:v>E1/S1 boundary</x:v>
      </x:c>
      <x:c r="D129" s="51" t="str">
        <x:v>LIT-001–005; V15LIT-001–005</x:v>
      </x:c>
      <x:c r="E129" s="51" t="str">
        <x:v>SRC-673–SRC-677</x:v>
      </x:c>
      <x:c r="F129" s="51" t="str">
        <x:v>Review each funding contract for economics, control rights, privilege and disclosure.</x:v>
      </x:c>
    </x:row>
    <x:row r="130">
      <x:c r="A130" s="51" t="str">
        <x:v>CLM-126</x:v>
      </x:c>
      <x:c r="B130" s="51" t="str">
        <x:v>A bankruptcy petition creates a collective legal process; it does not predetermine liquidation, creditor recovery, plan confirmation or equity cancellation.</x:v>
      </x:c>
      <x:c r="C130" s="51" t="str">
        <x:v>E1 boundary</x:v>
      </x:c>
      <x:c r="D130" s="51" t="str">
        <x:v>BK-001–006; V15BK-001–012</x:v>
      </x:c>
      <x:c r="E130" s="51" t="str">
        <x:v>SRC-642–SRC-650; SRC-678; SRC-683–SRC-685</x:v>
      </x:c>
      <x:c r="F130" s="51" t="str">
        <x:v>Track filing, stay, financing, sale, plan, conversion, dismissal and distribution as separate states.</x:v>
      </x:c>
    </x:row>
    <x:row r="131">
      <x:c r="A131" s="51" t="str">
        <x:v>CLM-127</x:v>
      </x:c>
      <x:c r="B131" s="51" t="str">
        <x:v>DIP financing and secured-creditor collateral rights create priority and bargaining leverage, but do not automatically confer ownership of the debtor.</x:v>
      </x:c>
      <x:c r="C131" s="51" t="str">
        <x:v>E1/S1 boundary</x:v>
      </x:c>
      <x:c r="D131" s="51" t="str">
        <x:v>V15BK-006–007; MECH-228–229</x:v>
      </x:c>
      <x:c r="E131" s="51" t="str">
        <x:v>SRC-643; SRC-644</x:v>
      </x:c>
      <x:c r="F131" s="51" t="str">
        <x:v>Record liens, covenants, milestones, adequate protection, remedies and court orders.</x:v>
      </x:c>
    </x:row>
    <x:row r="132">
      <x:c r="A132" s="51" t="str">
        <x:v>CLM-128</x:v>
      </x:c>
      <x:c r="B132" s="51" t="str">
        <x:v>A patent grant is a territorial right to exclude, not proof of commercial value, freedom to operate, infringement or immunity from later invalidation.</x:v>
      </x:c>
      <x:c r="C132" s="51" t="str">
        <x:v>E1/S1 boundary</x:v>
      </x:c>
      <x:c r="D132" s="51" t="str">
        <x:v>V15IP-001–008</x:v>
      </x:c>
      <x:c r="E132" s="51" t="str">
        <x:v>SRC-661–SRC-668</x:v>
      </x:c>
      <x:c r="F132" s="51" t="str">
        <x:v>Separate application, grant, ownership, licence, challenge, infringement and remedy.</x:v>
      </x:c>
    </x:row>
    <x:row r="133">
      <x:c r="A133" s="51" t="str">
        <x:v>CLM-129</x:v>
      </x:c>
      <x:c r="B133" s="51" t="str">
        <x:v>A PCT application preserves international filing options but does not create a unitary worldwide patent.</x:v>
      </x:c>
      <x:c r="C133" s="51" t="str">
        <x:v>E1 boundary</x:v>
      </x:c>
      <x:c r="D133" s="51" t="str">
        <x:v>V15IP-002–003; MECH-234</x:v>
      </x:c>
      <x:c r="E133" s="51" t="str">
        <x:v>SRC-663; SRC-664</x:v>
      </x:c>
      <x:c r="F133" s="51" t="str">
        <x:v>Record national-phase entry and each office's decision separately.</x:v>
      </x:c>
    </x:row>
    <x:row r="134">
      <x:c r="A134" s="51" t="str">
        <x:v>CLM-130</x:v>
      </x:c>
      <x:c r="B134" s="51" t="str">
        <x:v>A USITC exclusion order can block covered imports at the U.S. border; it is not a damages judgment, patent transfer or worldwide market prohibition.</x:v>
      </x:c>
      <x:c r="C134" s="51" t="str">
        <x:v>E1 boundary</x:v>
      </x:c>
      <x:c r="D134" s="51" t="str">
        <x:v>V15IP-009–013</x:v>
      </x:c>
      <x:c r="E134" s="51" t="str">
        <x:v>SRC-669–SRC-672; SRC-679; SRC-686</x:v>
      </x:c>
      <x:c r="F134" s="51" t="str">
        <x:v>Track investigation, violation finding, order scope, presidential review and CBP enforcement.</x:v>
      </x:c>
    </x:row>
    <x:row r="135">
      <x:c r="A135" s="51" t="str">
        <x:v>CLM-131</x:v>
      </x:c>
      <x:c r="B135" s="51" t="str">
        <x:v>Legal power is best represented as a sequence of claim, jurisdiction, interim control, final decision, review and enforcement—not as a binary label that a party 'won.'</x:v>
      </x:c>
      <x:c r="C135" s="51" t="str">
        <x:v>S1</x:v>
      </x:c>
      <x:c r="D135" s="51" t="str">
        <x:v>V15 full layer</x:v>
      </x:c>
      <x:c r="E135" s="51" t="str">
        <x:v>SRC-638–SRC-688</x:v>
      </x:c>
      <x:c r="F135" s="51" t="str">
        <x:v>Require exact procedural state and enforcing institution for every legal-power claim.</x:v>
      </x:c>
    </x:row>
    <x:row r="136">
      <x:c r="A136" s="51" t="str">
        <x:v>CLM-132</x:v>
      </x:c>
      <x:c r="B136" s="51" t="str">
        <x:v>Insurance transfers only contractually defined losses; a premium does not buy protection against every possible loss or guarantee immediate full payment.</x:v>
      </x:c>
      <x:c r="C136" s="51" t="str">
        <x:v>E1/S1 boundary</x:v>
      </x:c>
      <x:c r="D136" s="51" t="str">
        <x:v>V16INS; INS-337</x:v>
      </x:c>
      <x:c r="E136" s="51" t="str">
        <x:v>SRC-691; SRC-693</x:v>
      </x:c>
      <x:c r="F136" s="51" t="str">
        <x:v>Record insured peril, exclusions, deductible, limit, claims state and payment separately.</x:v>
      </x:c>
    </x:row>
    <x:row r="137">
      <x:c r="A137" s="51" t="str">
        <x:v>CLM-133</x:v>
      </x:c>
      <x:c r="B137" s="51" t="str">
        <x:v>Reinsurance and retrocession move defined underwriting risk among insurers; they do not eliminate aggregate catastrophe risk or reinsurer credit risk.</x:v>
      </x:c>
      <x:c r="C137" s="51" t="str">
        <x:v>E1/S1 boundary</x:v>
      </x:c>
      <x:c r="D137" s="51" t="str">
        <x:v>V16RE; INS-338–INS-339</x:v>
      </x:c>
      <x:c r="E137" s="51" t="str">
        <x:v>SRC-698; SRC-702</x:v>
      </x:c>
      <x:c r="F137" s="51" t="str">
        <x:v>Trace treaty layer, attachment, limit, collateral, ultimate risk bearer and collectability.</x:v>
      </x:c>
    </x:row>
    <x:row r="138">
      <x:c r="A138" s="51" t="str">
        <x:v>CLM-134</x:v>
      </x:c>
      <x:c r="B138" s="51" t="str">
        <x:v>Lloyd's is a marketplace with syndicates, member capital and central resources—not one ordinary insurance company or an unlimited guarantee fund.</x:v>
      </x:c>
      <x:c r="C138" s="51" t="str">
        <x:v>E1 boundary</x:v>
      </x:c>
      <x:c r="D138" s="51" t="str">
        <x:v>V16LL; INS-340–INS-342</x:v>
      </x:c>
      <x:c r="E138" s="51" t="str">
        <x:v>SRC-693–SRC-697</x:v>
      </x:c>
      <x:c r="F138" s="51" t="str">
        <x:v>Separate Corporation, Council, managing agent, syndicate, member and Central Fund.</x:v>
      </x:c>
    </x:row>
    <x:row r="139">
      <x:c r="A139" s="51" t="str">
        <x:v>CLM-135</x:v>
      </x:c>
      <x:c r="B139" s="51" t="str">
        <x:v>Catastrophe bonds transfer specified insurance risk to investors whose principal can be reduced after a contractual trigger; they are not ordinary risk-free bonds.</x:v>
      </x:c>
      <x:c r="C139" s="51" t="str">
        <x:v>E1/S1 boundary</x:v>
      </x:c>
      <x:c r="D139" s="51" t="str">
        <x:v>V16ILS; INS-345–INS-346</x:v>
      </x:c>
      <x:c r="E139" s="51" t="str">
        <x:v>SRC-703–SRC-706</x:v>
      </x:c>
      <x:c r="F139" s="51" t="str">
        <x:v>Record sponsor, vehicle, trigger, attachment, exhaustion, collateral and principal outcome.</x:v>
      </x:c>
    </x:row>
    <x:row r="140">
      <x:c r="A140" s="51" t="str">
        <x:v>CLM-136</x:v>
      </x:c>
      <x:c r="B140" s="51" t="str">
        <x:v>The catastrophe protection gap is the difference between economic loss and insured recovery; it is not borne by one actor and may be redistributed through savings, credit and public aid.</x:v>
      </x:c>
      <x:c r="C140" s="51" t="str">
        <x:v>E1/S1 boundary</x:v>
      </x:c>
      <x:c r="D140" s="51" t="str">
        <x:v>V16CAT; INS-358</x:v>
      </x:c>
      <x:c r="E140" s="51" t="str">
        <x:v>SRC-699; SRC-701</x:v>
      </x:c>
      <x:c r="F140" s="51" t="str">
        <x:v>Track household, corporate, insurer, lender and government loss incidence.</x:v>
      </x:c>
    </x:row>
    <x:row r="141">
      <x:c r="A141" s="51" t="str">
        <x:v>CLM-137</x:v>
      </x:c>
      <x:c r="B141" s="51" t="str">
        <x:v>Derivative notional is a reference amount, not the value at risk or the loss if counterparties fail; exposure depends on market value, netting, collateral and liquidity.</x:v>
      </x:c>
      <x:c r="C141" s="51" t="str">
        <x:v>E1 boundary</x:v>
      </x:c>
      <x:c r="D141" s="51" t="str">
        <x:v>V16DER; V16NET; INS-347; INS-357</x:v>
      </x:c>
      <x:c r="E141" s="51" t="str">
        <x:v>SRC-707; SRC-731–SRC-734</x:v>
      </x:c>
      <x:c r="F141" s="51" t="str">
        <x:v>Report gross notional, gross market value, net exposure and collateral separately.</x:v>
      </x:c>
    </x:row>
    <x:row r="142">
      <x:c r="A142" s="51" t="str">
        <x:v>CLM-138</x:v>
      </x:c>
      <x:c r="B142" s="51" t="str">
        <x:v>A derivative may be used for hedging, market making, arbitrage or speculation; the instrument label alone does not reveal the user's economic purpose.</x:v>
      </x:c>
      <x:c r="C142" s="51" t="str">
        <x:v>E1/S1 boundary</x:v>
      </x:c>
      <x:c r="D142" s="51" t="str">
        <x:v>V16DER-001–003</x:v>
      </x:c>
      <x:c r="E142" s="51" t="str">
        <x:v>SRC-707; SRC-710</x:v>
      </x:c>
      <x:c r="F142" s="51" t="str">
        <x:v>Link position to the underlying exposure, hedge ratio, accounting and portfolio context.</x:v>
      </x:c>
    </x:row>
    <x:row r="143">
      <x:c r="A143" s="51" t="str">
        <x:v>CLM-139</x:v>
      </x:c>
      <x:c r="B143" s="51" t="str">
        <x:v>Central clearing reduces and standardises bilateral counterparty risk but concentrates operational, liquidity and default risk in the CCP.</x:v>
      </x:c>
      <x:c r="C143" s="51" t="str">
        <x:v>E1/S1 boundary</x:v>
      </x:c>
      <x:c r="D143" s="51" t="str">
        <x:v>V16CCP; V16CME; V16LCH; V16ICE</x:v>
      </x:c>
      <x:c r="E143" s="51" t="str">
        <x:v>SRC-712–SRC-730</x:v>
      </x:c>
      <x:c r="F143" s="51" t="str">
        <x:v>Measure concentration, margin, member resources, recovery and resolution plans.</x:v>
      </x:c>
    </x:row>
    <x:row r="144">
      <x:c r="A144" s="51" t="str">
        <x:v>CLM-140</x:v>
      </x:c>
      <x:c r="B144" s="51" t="str">
        <x:v>Initial margin is collateral for potential future exposure, not a premium or final loss payment; variation margin settles current exposure and can generate acute liquidity demand.</x:v>
      </x:c>
      <x:c r="C144" s="51" t="str">
        <x:v>E1 boundary</x:v>
      </x:c>
      <x:c r="D144" s="51" t="str">
        <x:v>V16MAR; INS-349–INS-350</x:v>
      </x:c>
      <x:c r="E144" s="51" t="str">
        <x:v>SRC-712; SRC-713; SRC-719; SRC-724; SRC-730</x:v>
      </x:c>
      <x:c r="F144" s="51" t="str">
        <x:v>Separate ownership, custody, reuse, haircut, call timing and return of collateral.</x:v>
      </x:c>
    </x:row>
    <x:row r="145">
      <x:c r="A145" s="51" t="str">
        <x:v>CLM-141</x:v>
      </x:c>
      <x:c r="B145" s="51" t="str">
        <x:v>A CCP default waterfall applies resources in a defined sequence; mutualised funds and assessments are contingent tail-loss mechanisms, not ordinary operating capital or government guarantees.</x:v>
      </x:c>
      <x:c r="C145" s="51" t="str">
        <x:v>E1/S1 boundary</x:v>
      </x:c>
      <x:c r="D145" s="51" t="str">
        <x:v>V16DEF; INS-351; INS-354–INS-356</x:v>
      </x:c>
      <x:c r="E145" s="51" t="str">
        <x:v>SRC-715; SRC-719–SRC-729</x:v>
      </x:c>
      <x:c r="F145" s="51" t="str">
        <x:v>Record product silo, defaulter resources, CCP skin, fund, assessments and resolution.</x:v>
      </x:c>
    </x:row>
    <x:row r="146">
      <x:c r="A146" s="51" t="str">
        <x:v>CLM-142</x:v>
      </x:c>
      <x:c r="B146" s="51" t="str">
        <x:v>CCP resolution planning does not promise lossless continuity or a taxpayer bailout; it establishes powers and resources for an orderly response after private recovery is inadequate.</x:v>
      </x:c>
      <x:c r="C146" s="51" t="str">
        <x:v>E1 boundary</x:v>
      </x:c>
      <x:c r="D146" s="51" t="str">
        <x:v>V16DEF-005; INS-353</x:v>
      </x:c>
      <x:c r="E146" s="51" t="str">
        <x:v>SRC-715–SRC-717</x:v>
      </x:c>
      <x:c r="F146" s="51" t="str">
        <x:v>Track national implementation, funding source, creditor hierarchy and continuity outcome.</x:v>
      </x:c>
    </x:row>
    <x:row r="147">
      <x:c r="A147" s="51" t="str">
        <x:v>CLM-143</x:v>
      </x:c>
      <x:c r="B147" s="51" t="str">
        <x:v>A bank deposit is a liability of the bank and a claim of the depositor; it is not a segregated ownership interest in specific cash, reserves or loans.</x:v>
      </x:c>
      <x:c r="C147" s="51" t="str">
        <x:v>E1/S1 boundary</x:v>
      </x:c>
      <x:c r="D147" s="51" t="str">
        <x:v>V17BANK-002–006</x:v>
      </x:c>
      <x:c r="E147" s="51" t="str">
        <x:v>SRC-736–SRC-739</x:v>
      </x:c>
      <x:c r="F147" s="51" t="str">
        <x:v>Record issuing bank, ownership category, insurance status, maturity and settlement route.</x:v>
      </x:c>
    </x:row>
    <x:row r="148">
      <x:c r="A148" s="51" t="str">
        <x:v>CLM-144</x:v>
      </x:c>
      <x:c r="B148" s="51" t="str">
        <x:v>Bank lending can create deposits, but banks are constrained by capital, liquidity, credit risk, profitability, regulation and the need to settle deposit outflows.</x:v>
      </x:c>
      <x:c r="C148" s="51" t="str">
        <x:v>E1/S1 boundary</x:v>
      </x:c>
      <x:c r="D148" s="51" t="str">
        <x:v>V17BANK-001–008</x:v>
      </x:c>
      <x:c r="E148" s="51" t="str">
        <x:v>SRC-736–SRC-738; SRC-754–SRC-756</x:v>
      </x:c>
      <x:c r="F148" s="51" t="str">
        <x:v>Do not replace balance-sheet constraints with a fixed reserve-multiplier story or an unlimited-money claim.</x:v>
      </x:c>
    </x:row>
    <x:row r="149">
      <x:c r="A149" s="51" t="str">
        <x:v>CLM-145</x:v>
      </x:c>
      <x:c r="B149" s="51" t="str">
        <x:v>FDIC insurance protects eligible depositors up to statutory limits; it does not protect shareholders, mutual funds, securities, crypto assets or every uninsured deposit.</x:v>
      </x:c>
      <x:c r="C149" s="51" t="str">
        <x:v>E1 boundary</x:v>
      </x:c>
      <x:c r="D149" s="51" t="str">
        <x:v>V17FDIC-001–010</x:v>
      </x:c>
      <x:c r="E149" s="51" t="str">
        <x:v>SRC-739; SRC-748; SRC-794</x:v>
      </x:c>
      <x:c r="F149" s="51" t="str">
        <x:v>Classify account ownership category and insured versus uninsured balance.</x:v>
      </x:c>
    </x:row>
    <x:row r="150">
      <x:c r="A150" s="51" t="str">
        <x:v>CLM-146</x:v>
      </x:c>
      <x:c r="B150" s="51" t="str">
        <x:v>The Deposit Insurance Fund is an industry-funded collective reserve backed by the U.S. government; its reserve ratio is not cash equal to all insured or total deposits.</x:v>
      </x:c>
      <x:c r="C150" s="51" t="str">
        <x:v>E1/S1 boundary</x:v>
      </x:c>
      <x:c r="D150" s="51" t="str">
        <x:v>INS-364–INS-365; V17FDIC-001–010</x:v>
      </x:c>
      <x:c r="E150" s="51" t="str">
        <x:v>SRC-740; SRC-741; SRC-748; SRC-793</x:v>
      </x:c>
      <x:c r="F150" s="51" t="str">
        <x:v>Report fund balance, insured deposits, reserve ratio, borrowing capacity and projected losses separately.</x:v>
      </x:c>
    </x:row>
    <x:row r="151">
      <x:c r="A151" s="51" t="str">
        <x:v>CLM-147</x:v>
      </x:c>
      <x:c r="B151" s="51" t="str">
        <x:v>Central-bank lending and FHLBank advances provide collateralised liquidity; they do not erase credit losses, restore insolvent equity or transfer asset ownership without enforcement.</x:v>
      </x:c>
      <x:c r="C151" s="51" t="str">
        <x:v>E1/S1 boundary</x:v>
      </x:c>
      <x:c r="D151" s="51" t="str">
        <x:v>V17FED; V17FHLB; V17RISK</x:v>
      </x:c>
      <x:c r="E151" s="51" t="str">
        <x:v>SRC-759–SRC-765; SRC-789</x:v>
      </x:c>
      <x:c r="F151" s="51" t="str">
        <x:v>Separate borrower eligibility, collateral value, haircut, maturity, priority and repayment.</x:v>
      </x:c>
    </x:row>
    <x:row r="152">
      <x:c r="A152" s="51" t="str">
        <x:v>CLM-148</x:v>
      </x:c>
      <x:c r="B152" s="51" t="str">
        <x:v>Repo is economically collateralised borrowing even when documented as a sale and repurchase; collateral transfer does not by itself mean the lender owns the borrower's economic position permanently.</x:v>
      </x:c>
      <x:c r="C152" s="51" t="str">
        <x:v>E1/S1 boundary</x:v>
      </x:c>
      <x:c r="D152" s="51" t="str">
        <x:v>V17REPO; INS-377–INS-378</x:v>
      </x:c>
      <x:c r="E152" s="51" t="str">
        <x:v>SRC-770–SRC-773; SRC-788</x:v>
      </x:c>
      <x:c r="F152" s="51" t="str">
        <x:v>Record legal title, beneficial exposure, haircut, margin, maturity and default rights.</x:v>
      </x:c>
    </x:row>
    <x:row r="153">
      <x:c r="A153" s="51" t="str">
        <x:v>CLM-149</x:v>
      </x:c>
      <x:c r="B153" s="51" t="str">
        <x:v>Money market fund shares are investment-company securities, not FDIC-insured deposits; stable NAV conventions and sponsor reputation do not create a public guarantee.</x:v>
      </x:c>
      <x:c r="C153" s="51" t="str">
        <x:v>E1 boundary</x:v>
      </x:c>
      <x:c r="D153" s="51" t="str">
        <x:v>V17MMF; INS-382–INS-383</x:v>
      </x:c>
      <x:c r="E153" s="51" t="str">
        <x:v>SRC-768; SRC-769</x:v>
      </x:c>
      <x:c r="F153" s="51" t="str">
        <x:v>Record fund type, NAV, liquidity assets, fee framework, sponsor support and portfolio exposure.</x:v>
      </x:c>
    </x:row>
    <x:row r="154">
      <x:c r="A154" s="51" t="str">
        <x:v>CLM-150</x:v>
      </x:c>
      <x:c r="B154" s="51" t="str">
        <x:v>FICC central clearing reduces bilateral gross exposures and settlement obligations but concentrates margin, operational and default risk in a private regulated CCP.</x:v>
      </x:c>
      <x:c r="C154" s="51" t="str">
        <x:v>E1/S1 boundary</x:v>
      </x:c>
      <x:c r="D154" s="51" t="str">
        <x:v>V17FICC; INS-379–INS-381</x:v>
      </x:c>
      <x:c r="E154" s="51" t="str">
        <x:v>SRC-766; SRC-777–SRC-781</x:v>
      </x:c>
      <x:c r="F154" s="51" t="str">
        <x:v>Measure gross and net positions, margin, membership, default resources and access model.</x:v>
      </x:c>
    </x:row>
    <x:row r="155">
      <x:c r="A155" s="51" t="str">
        <x:v>CLM-151</x:v>
      </x:c>
      <x:c r="B155" s="51" t="str">
        <x:v>A sponsored repo participant is not a direct FICC member; the sponsoring member remains a separate credit, operational and legal intermediary.</x:v>
      </x:c>
      <x:c r="C155" s="51" t="str">
        <x:v>E1 boundary</x:v>
      </x:c>
      <x:c r="D155" s="51" t="str">
        <x:v>V17FICC-003–004</x:v>
      </x:c>
      <x:c r="E155" s="51" t="str">
        <x:v>SRC-774; SRC-779; SRC-781</x:v>
      </x:c>
      <x:c r="F155" s="51" t="str">
        <x:v>Record sponsor, sponsored entity, margin responsibility and default obligations.</x:v>
      </x:c>
    </x:row>
    <x:row r="156">
      <x:c r="A156" s="51" t="str">
        <x:v>CLM-152</x:v>
      </x:c>
      <x:c r="B156" s="51" t="str">
        <x:v>Securities lending transfers temporary possession and may transfer legal title under contract, but it does not necessarily transfer the lender's long-term economic exposure or all governance rights.</x:v>
      </x:c>
      <x:c r="C156" s="51" t="str">
        <x:v>E1/S1 boundary</x:v>
      </x:c>
      <x:c r="D156" s="51" t="str">
        <x:v>V17SL-001–004</x:v>
      </x:c>
      <x:c r="E156" s="51" t="str">
        <x:v>SRC-775</x:v>
      </x:c>
      <x:c r="F156" s="51" t="str">
        <x:v>Record collateral, manufactured payments, voting, recall, term and default rights.</x:v>
      </x:c>
    </x:row>
    <x:row r="157">
      <x:c r="A157" s="51" t="str">
        <x:v>CLM-153</x:v>
      </x:c>
      <x:c r="B157" s="51" t="str">
        <x:v>TLAC and bail-in are designed to impose systemic-bank losses on eligible private creditors and create recapitalisation capacity; insured deposits are not ordinary TLAC instruments.</x:v>
      </x:c>
      <x:c r="C157" s="51" t="str">
        <x:v>E1 boundary</x:v>
      </x:c>
      <x:c r="D157" s="51" t="str">
        <x:v>V17RES-001–005</x:v>
      </x:c>
      <x:c r="E157" s="51" t="str">
        <x:v>SRC-750–SRC-753; SRC-796–SRC-797</x:v>
      </x:c>
      <x:c r="F157" s="51" t="str">
        <x:v>Record resolution entity, eligible liability, creditor location, conversion mechanism and public liquidity support.</x:v>
      </x:c>
    </x:row>
    <x:row r="158">
      <x:c r="A158" s="51" t="str">
        <x:v>CLM-154</x:v>
      </x:c>
      <x:c r="B158" s="51" t="str">
        <x:v>Liquidity and solvency are different: a bank can possess valuable long-term assets yet lack immediate cash, or obtain central-bank liquidity while still having insufficient economic capital.</x:v>
      </x:c>
      <x:c r="C158" s="51" t="str">
        <x:v>S1</x:v>
      </x:c>
      <x:c r="D158" s="51" t="str">
        <x:v>V17FED; V17RISK; V17BANK</x:v>
      </x:c>
      <x:c r="E158" s="51" t="str">
        <x:v>SRC-759; SRC-763; SRC-789</x:v>
      </x:c>
      <x:c r="F158" s="51" t="str">
        <x:v>Track market value, cash-flow timing, collateral lending value, capital and loss recognition separately.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fc8bf5ac8934e30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7" hidden="0" customWidth="1"/>
    <x:col min="3" max="3" width="89" hidden="0" customWidth="1"/>
    <x:col min="4" max="4" width="23" hidden="0" customWidth="1"/>
    <x:col min="5" max="5" width="47" hidden="0" customWidth="1"/>
    <x:col min="6" max="6" width="13" hidden="0" customWidth="1"/>
    <x:col min="7" max="7" width="103" hidden="0" customWidth="1"/>
  </x:cols>
  <x:sheetData>
    <x:row r="1" ht="31" customHeight="1">
      <x:c r="A1" s="5" t="str">
        <x:v>Source Registry — V17</x:v>
      </x:c>
    </x:row>
    <x:row r="2">
      <x:c r="A2" s="12" t="str">
        <x:v>Official bank, central-bank, regulator and market-infrastructure sources are prioritised. URLs are plain text.</x:v>
      </x:c>
    </x:row>
    <x:row r="4">
      <x:c r="A4" s="50" t="str">
        <x:v>Source ID</x:v>
      </x:c>
      <x:c r="B4" s="50" t="str">
        <x:v>Publisher</x:v>
      </x:c>
      <x:c r="C4" s="50" t="str">
        <x:v>Title</x:v>
      </x:c>
      <x:c r="D4" s="50" t="str">
        <x:v>Date</x:v>
      </x:c>
      <x:c r="E4" s="50" t="str">
        <x:v>Source type</x:v>
      </x:c>
      <x:c r="F4" s="50" t="str">
        <x:v>Quality tier</x:v>
      </x:c>
      <x:c r="G4" s="50" t="str">
        <x:v>URL</x:v>
      </x:c>
    </x:row>
    <x:row r="5">
      <x:c r="A5" s="51" t="str">
        <x:v>SRC-001</x:v>
      </x:c>
      <x:c r="B5" s="51" t="str">
        <x:v>Federal Reserve Board</x:v>
      </x:c>
      <x:c r="C5" s="51" t="str">
        <x:v>Central Bank Liquidity Swaps</x:v>
      </x:c>
      <x:c r="D5" s="51" t="str">
        <x:v>Current</x:v>
      </x:c>
      <x:c r="E5" s="51" t="str">
        <x:v>Official policy page</x:v>
      </x:c>
      <x:c r="F5" s="51" t="str">
        <x:v>A</x:v>
      </x:c>
      <x:c r="G5" s="51" t="str">
        <x:v>https://www.federalreserve.gov/monetarypolicy/central-bank-liquidity-swaps.htm</x:v>
      </x:c>
    </x:row>
    <x:row r="6">
      <x:c r="A6" s="51" t="str">
        <x:v>SRC-002</x:v>
      </x:c>
      <x:c r="B6" s="51" t="str">
        <x:v>Federal Reserve Board</x:v>
      </x:c>
      <x:c r="C6" s="51" t="str">
        <x:v>Central bank liquidity swaps: background and purpose</x:v>
      </x:c>
      <x:c r="D6" s="51" t="str">
        <x:v>Current</x:v>
      </x:c>
      <x:c r="E6" s="51" t="str">
        <x:v>Official policy page</x:v>
      </x:c>
      <x:c r="F6" s="51" t="str">
        <x:v>A</x:v>
      </x:c>
      <x:c r="G6" s="51" t="str">
        <x:v>https://www.federalreserve.gov/monetarypolicy/bst_liquidityswaps.htm</x:v>
      </x:c>
    </x:row>
    <x:row r="7">
      <x:c r="A7" s="51" t="str">
        <x:v>SRC-003</x:v>
      </x:c>
      <x:c r="B7" s="51" t="str">
        <x:v>Bank for International Settlements</x:v>
      </x:c>
      <x:c r="C7" s="51" t="str">
        <x:v>Dollar debt in FX swaps and forwards: huge, missing and growing</x:v>
      </x:c>
      <x:c r="D7" s="51" t="str">
        <x:v>2022-12-05</x:v>
      </x:c>
      <x:c r="E7" s="51" t="str">
        <x:v>Primary research</x:v>
      </x:c>
      <x:c r="F7" s="51" t="str">
        <x:v>A</x:v>
      </x:c>
      <x:c r="G7" s="51" t="str">
        <x:v>https://www.bis.org/publ/qtrpdf/r_qt2212h.htm</x:v>
      </x:c>
    </x:row>
    <x:row r="8">
      <x:c r="A8" s="51" t="str">
        <x:v>SRC-004</x:v>
      </x:c>
      <x:c r="B8" s="51" t="str">
        <x:v>International Monetary Fund</x:v>
      </x:c>
      <x:c r="C8" s="51" t="str">
        <x:v>COFER data brief: 2025 Q4 reserve composition</x:v>
      </x:c>
      <x:c r="D8" s="51" t="str">
        <x:v>2026-03-27</x:v>
      </x:c>
      <x:c r="E8" s="51" t="str">
        <x:v>Official data release</x:v>
      </x:c>
      <x:c r="F8" s="51" t="str">
        <x:v>A</x:v>
      </x:c>
      <x:c r="G8" s="51" t="str">
        <x:v>https://data.imf.org/en/news/imf%20data%20brief%20march%2027</x:v>
      </x:c>
    </x:row>
    <x:row r="9">
      <x:c r="A9" s="51" t="str">
        <x:v>SRC-005</x:v>
      </x:c>
      <x:c r="B9" s="51" t="str">
        <x:v>World Bank</x:v>
      </x:c>
      <x:c r="C9" s="51" t="str">
        <x:v>International Debt Report 2025</x:v>
      </x:c>
      <x:c r="D9" s="51" t="str">
        <x:v>2025-12-03</x:v>
      </x:c>
      <x:c r="E9" s="51" t="str">
        <x:v>Official report</x:v>
      </x:c>
      <x:c r="F9" s="51" t="str">
        <x:v>A</x:v>
      </x:c>
      <x:c r="G9" s="51" t="str">
        <x:v>https://www.worldbank.org/en/programs/debt-statistics/idr/products</x:v>
      </x:c>
    </x:row>
    <x:row r="10">
      <x:c r="A10" s="51" t="str">
        <x:v>SRC-006</x:v>
      </x:c>
      <x:c r="B10" s="51" t="str">
        <x:v>World Bank</x:v>
      </x:c>
      <x:c r="C10" s="51" t="str">
        <x:v>Developing Countries' Debt Outflows Hit 50-Year High During 2022–2024</x:v>
      </x:c>
      <x:c r="D10" s="51" t="str">
        <x:v>2025-12-03</x:v>
      </x:c>
      <x:c r="E10" s="51" t="str">
        <x:v>Official release</x:v>
      </x:c>
      <x:c r="F10" s="51" t="str">
        <x:v>A</x:v>
      </x:c>
      <x:c r="G10" s="51" t="str">
        <x:v>https://www.worldbank.org/en/news/press-release/2025/12/03/developing-countries-debt-outflows-hit-50-year-high-during-2022-2024</x:v>
      </x:c>
    </x:row>
    <x:row r="11">
      <x:c r="A11" s="51" t="str">
        <x:v>SRC-007</x:v>
      </x:c>
      <x:c r="B11" s="51" t="str">
        <x:v>World Bank</x:v>
      </x:c>
      <x:c r="C11" s="51" t="str">
        <x:v>Radical Debt Transparency</x:v>
      </x:c>
      <x:c r="D11" s="51" t="str">
        <x:v>2025-06-19</x:v>
      </x:c>
      <x:c r="E11" s="51" t="str">
        <x:v>Official report</x:v>
      </x:c>
      <x:c r="F11" s="51" t="str">
        <x:v>A</x:v>
      </x:c>
      <x:c r="G11" s="51" t="str">
        <x:v>https://www.worldbank.org/en/publication/2025-debt-transparency-report</x:v>
      </x:c>
    </x:row>
    <x:row r="12">
      <x:c r="A12" s="51" t="str">
        <x:v>SRC-008</x:v>
      </x:c>
      <x:c r="B12" s="51" t="str">
        <x:v>World Bank</x:v>
      </x:c>
      <x:c r="C12" s="51" t="str">
        <x:v>Resource-Backed Loans in Sub-Saharan Africa</x:v>
      </x:c>
      <x:c r="D12" s="51" t="str">
        <x:v>2022</x:v>
      </x:c>
      <x:c r="E12" s="51" t="str">
        <x:v>Primary research</x:v>
      </x:c>
      <x:c r="F12" s="51" t="str">
        <x:v>A</x:v>
      </x:c>
      <x:c r="G12" s="51" t="str">
        <x:v>https://documents.worldbank.org/en/publication/documents-reports/documentdetail/369931643829886430</x:v>
      </x:c>
    </x:row>
    <x:row r="13">
      <x:c r="A13" s="51" t="str">
        <x:v>SRC-009</x:v>
      </x:c>
      <x:c r="B13" s="51" t="str">
        <x:v>BlackRock</x:v>
      </x:c>
      <x:c r="C13" s="51" t="str">
        <x:v>Aladdin by BlackRock</x:v>
      </x:c>
      <x:c r="D13" s="51" t="str">
        <x:v>Current</x:v>
      </x:c>
      <x:c r="E13" s="51" t="str">
        <x:v>Company product page</x:v>
      </x:c>
      <x:c r="F13" s="51" t="str">
        <x:v>B</x:v>
      </x:c>
      <x:c r="G13" s="51" t="str">
        <x:v>https://www.blackrock.com/aladdin</x:v>
      </x:c>
    </x:row>
    <x:row r="14">
      <x:c r="A14" s="51" t="str">
        <x:v>SRC-010</x:v>
      </x:c>
      <x:c r="B14" s="51" t="str">
        <x:v>SEC EDGAR</x:v>
      </x:c>
      <x:c r="C14" s="51" t="str">
        <x:v>BlackRock index-equity proxy voting policy filing</x:v>
      </x:c>
      <x:c r="D14" s="51" t="str">
        <x:v>2026</x:v>
      </x:c>
      <x:c r="E14" s="51" t="str">
        <x:v>Regulatory filing</x:v>
      </x:c>
      <x:c r="F14" s="51" t="str">
        <x:v>A</x:v>
      </x:c>
      <x:c r="G14" s="51" t="str">
        <x:v>https://www.sec.gov/Archives/edgar/data/1100663/000119312526142377/d125676d485apos.htm</x:v>
      </x:c>
    </x:row>
    <x:row r="15">
      <x:c r="A15" s="51" t="str">
        <x:v>SRC-011</x:v>
      </x:c>
      <x:c r="B15" s="51" t="str">
        <x:v>BlackRock</x:v>
      </x:c>
      <x:c r="C15" s="51" t="str">
        <x:v>BlackRock Voting Choice</x:v>
      </x:c>
      <x:c r="D15" s="51" t="str">
        <x:v>2026-03-31</x:v>
      </x:c>
      <x:c r="E15" s="51" t="str">
        <x:v>Company policy page</x:v>
      </x:c>
      <x:c r="F15" s="51" t="str">
        <x:v>B</x:v>
      </x:c>
      <x:c r="G15" s="51" t="str">
        <x:v>https://www.blackrock.com/corporate/about-us/investment-stewardship/blackrock-voting-choice</x:v>
      </x:c>
    </x:row>
    <x:row r="16">
      <x:c r="A16" s="51" t="str">
        <x:v>SRC-012</x:v>
      </x:c>
      <x:c r="B16" s="51" t="str">
        <x:v>Vanguard</x:v>
      </x:c>
      <x:c r="C16" s="51" t="str">
        <x:v>Proxy voting across Vanguard funds</x:v>
      </x:c>
      <x:c r="D16" s="51" t="str">
        <x:v>Current</x:v>
      </x:c>
      <x:c r="E16" s="51" t="str">
        <x:v>Company policy page</x:v>
      </x:c>
      <x:c r="F16" s="51" t="str">
        <x:v>B</x:v>
      </x:c>
      <x:c r="G16" s="51" t="str">
        <x:v>https://corporate.vanguard.com/content/corporatesite/us/en/corp/about-our-funds/proxy-voting-across-funds/index.html</x:v>
      </x:c>
    </x:row>
    <x:row r="17">
      <x:c r="A17" s="51" t="str">
        <x:v>SRC-013</x:v>
      </x:c>
      <x:c r="B17" s="51" t="str">
        <x:v>State Street Investment Management</x:v>
      </x:c>
      <x:c r="C17" s="51" t="str">
        <x:v>Asset Stewardship</x:v>
      </x:c>
      <x:c r="D17" s="51" t="str">
        <x:v>Current</x:v>
      </x:c>
      <x:c r="E17" s="51" t="str">
        <x:v>Company policy page</x:v>
      </x:c>
      <x:c r="F17" s="51" t="str">
        <x:v>B</x:v>
      </x:c>
      <x:c r="G17" s="51" t="str">
        <x:v>https://www.ssga.com/us/en/about-us/what-we-do/asset-stewardship</x:v>
      </x:c>
    </x:row>
    <x:row r="18">
      <x:c r="A18" s="51" t="str">
        <x:v>SRC-014</x:v>
      </x:c>
      <x:c r="B18" s="51" t="str">
        <x:v>NBER</x:v>
      </x:c>
      <x:c r="C18" s="51" t="str">
        <x:v>Common Ownership Around the World</x:v>
      </x:c>
      <x:c r="D18" s="51" t="str">
        <x:v>2025</x:v>
      </x:c>
      <x:c r="E18" s="51" t="str">
        <x:v>Working paper</x:v>
      </x:c>
      <x:c r="F18" s="51" t="str">
        <x:v>A</x:v>
      </x:c>
      <x:c r="G18" s="51" t="str">
        <x:v>https://www.nber.org/papers/w33965</x:v>
      </x:c>
    </x:row>
    <x:row r="19">
      <x:c r="A19" s="51" t="str">
        <x:v>SRC-015</x:v>
      </x:c>
      <x:c r="B19" s="51" t="str">
        <x:v>Reuters</x:v>
      </x:c>
      <x:c r="C19" s="51" t="str">
        <x:v>BlackRock-backed group commits $5 billion for Aligned Data Centers after completing acquisition</x:v>
      </x:c>
      <x:c r="D19" s="51" t="str">
        <x:v>2026-07-21</x:v>
      </x:c>
      <x:c r="E19" s="51" t="str">
        <x:v>News report</x:v>
      </x:c>
      <x:c r="F19" s="51" t="str">
        <x:v>A</x:v>
      </x:c>
      <x:c r="G19" s="51" t="str">
        <x:v>https://www.reuters.com/business/blackrock-backed-group-commits-5-billion-aligned-data-centers-2026-07-21/</x:v>
      </x:c>
    </x:row>
    <x:row r="20">
      <x:c r="A20" s="51" t="str">
        <x:v>SRC-016</x:v>
      </x:c>
      <x:c r="B20" s="51" t="str">
        <x:v>Business Wire</x:v>
      </x:c>
      <x:c r="C20" s="51" t="str">
        <x:v>AIP, MGX and BlackRock GIP to acquire Aligned Data Centers</x:v>
      </x:c>
      <x:c r="D20" s="51" t="str">
        <x:v>2025-10-15</x:v>
      </x:c>
      <x:c r="E20" s="51" t="str">
        <x:v>Transaction announcement</x:v>
      </x:c>
      <x:c r="F20" s="51" t="str">
        <x:v>B</x:v>
      </x:c>
      <x:c r="G20" s="51" t="str">
        <x:v>https://www.businesswire.com/news/home/20251014427963/en/AI-Infrastructure-Partnership-AIP-MGX-and-BlackRocks-Global-Infrastructure-Partners-GIP-to-Acquire-All-Equity-in-Aligned-Data-Centers</x:v>
      </x:c>
    </x:row>
    <x:row r="21">
      <x:c r="A21" s="51" t="str">
        <x:v>SRC-017</x:v>
      </x:c>
      <x:c r="B21" s="51" t="str">
        <x:v>SWP Berlin</x:v>
      </x:c>
      <x:c r="C21" s="51" t="str">
        <x:v>Sovereign Wealth Funds and Foreign Policy</x:v>
      </x:c>
      <x:c r="D21" s="51" t="str">
        <x:v>2025</x:v>
      </x:c>
      <x:c r="E21" s="51" t="str">
        <x:v>Policy research</x:v>
      </x:c>
      <x:c r="F21" s="51" t="str">
        <x:v>A</x:v>
      </x:c>
      <x:c r="G21" s="51" t="str">
        <x:v>https://www.swp-berlin.org/en/publication/sovereign-wealth-funds-and-foreign-policy</x:v>
      </x:c>
    </x:row>
    <x:row r="22">
      <x:c r="A22" s="51" t="str">
        <x:v>SRC-018</x:v>
      </x:c>
      <x:c r="B22" s="51" t="str">
        <x:v>US Energy Information Administration</x:v>
      </x:c>
      <x:c r="C22" s="51" t="str">
        <x:v>Strait of Hormuz remains critical oil chokepoint</x:v>
      </x:c>
      <x:c r="D22" s="51" t="str">
        <x:v>2025-06-16</x:v>
      </x:c>
      <x:c r="E22" s="51" t="str">
        <x:v>Official analysis</x:v>
      </x:c>
      <x:c r="F22" s="51" t="str">
        <x:v>A</x:v>
      </x:c>
      <x:c r="G22" s="51" t="str">
        <x:v>https://www.eia.gov/todayinenergy/detail.php?id=65504</x:v>
      </x:c>
    </x:row>
    <x:row r="23">
      <x:c r="A23" s="51" t="str">
        <x:v>SRC-019</x:v>
      </x:c>
      <x:c r="B23" s="51" t="str">
        <x:v>US Energy Information Administration</x:v>
      </x:c>
      <x:c r="C23" s="51" t="str">
        <x:v>World Oil Transit Chokepoints</x:v>
      </x:c>
      <x:c r="D23" s="51" t="str">
        <x:v>Current</x:v>
      </x:c>
      <x:c r="E23" s="51" t="str">
        <x:v>Official analysis</x:v>
      </x:c>
      <x:c r="F23" s="51" t="str">
        <x:v>A</x:v>
      </x:c>
      <x:c r="G23" s="51" t="str">
        <x:v>https://www.eia.gov/international/analysis/special-topics/world_oil_transit_Chokepoints</x:v>
      </x:c>
    </x:row>
    <x:row r="24">
      <x:c r="A24" s="51" t="str">
        <x:v>SRC-020</x:v>
      </x:c>
      <x:c r="B24" s="51" t="str">
        <x:v>International Energy Agency</x:v>
      </x:c>
      <x:c r="C24" s="51" t="str">
        <x:v>Global Critical Minerals Outlook 2025: Executive Summary</x:v>
      </x:c>
      <x:c r="D24" s="51" t="str">
        <x:v>2025-05-21</x:v>
      </x:c>
      <x:c r="E24" s="51" t="str">
        <x:v>Official report</x:v>
      </x:c>
      <x:c r="F24" s="51" t="str">
        <x:v>A</x:v>
      </x:c>
      <x:c r="G24" s="51" t="str">
        <x:v>https://www.iea.org/reports/global-critical-minerals-outlook-2025/executive-summary</x:v>
      </x:c>
    </x:row>
    <x:row r="25">
      <x:c r="A25" s="51" t="str">
        <x:v>SRC-021</x:v>
      </x:c>
      <x:c r="B25" s="51" t="str">
        <x:v>CIPS</x:v>
      </x:c>
      <x:c r="C25" s="51" t="str">
        <x:v>Cross-Border Interbank Payment System</x:v>
      </x:c>
      <x:c r="D25" s="51" t="str">
        <x:v>Current</x:v>
      </x:c>
      <x:c r="E25" s="51" t="str">
        <x:v>Official system page</x:v>
      </x:c>
      <x:c r="F25" s="51" t="str">
        <x:v>A</x:v>
      </x:c>
      <x:c r="G25" s="51" t="str">
        <x:v>https://www.cips.com.cn/kjjqgsyyingw/index/index.shtml</x:v>
      </x:c>
    </x:row>
    <x:row r="26">
      <x:c r="A26" s="51" t="str">
        <x:v>SRC-022</x:v>
      </x:c>
      <x:c r="B26" s="51" t="str">
        <x:v>CIPS</x:v>
      </x:c>
      <x:c r="C26" s="51" t="str">
        <x:v>Business Rules of the Cross-border Interbank Payment System</x:v>
      </x:c>
      <x:c r="D26" s="51" t="str">
        <x:v>2026-05-22</x:v>
      </x:c>
      <x:c r="E26" s="51" t="str">
        <x:v>Official rules</x:v>
      </x:c>
      <x:c r="F26" s="51" t="str">
        <x:v>A</x:v>
      </x:c>
      <x:c r="G26" s="51" t="str">
        <x:v>https://www.cips.com.cn/en/articleFileDir/2026-05/22/664abd3f8c7c473d9cbf0473b90cdc8a.pdf</x:v>
      </x:c>
    </x:row>
    <x:row r="27">
      <x:c r="A27" s="51" t="str">
        <x:v>SRC-023</x:v>
      </x:c>
      <x:c r="B27" s="51" t="str">
        <x:v>Reuters</x:v>
      </x:c>
      <x:c r="C27" s="51" t="str">
        <x:v>Angola's BFA to join China's CIPS to meet growing yuan demand</x:v>
      </x:c>
      <x:c r="D27" s="51" t="str">
        <x:v>2026-07-22</x:v>
      </x:c>
      <x:c r="E27" s="51" t="str">
        <x:v>News report</x:v>
      </x:c>
      <x:c r="F27" s="51" t="str">
        <x:v>A</x:v>
      </x:c>
      <x:c r="G27" s="51" t="str">
        <x:v>https://www.reuters.com/world/asia-pacific/angolas-bfa-join-chinas-cips-meet-growing-yuan-demand-source-says-2026-07-22/</x:v>
      </x:c>
    </x:row>
    <x:row r="28">
      <x:c r="A28" s="51" t="str">
        <x:v>SRC-024</x:v>
      </x:c>
      <x:c r="B28" s="51" t="str">
        <x:v>World Bank</x:v>
      </x:c>
      <x:c r="C28" s="51" t="str">
        <x:v>Belt and Road Economics</x:v>
      </x:c>
      <x:c r="D28" s="51" t="str">
        <x:v>2019</x:v>
      </x:c>
      <x:c r="E28" s="51" t="str">
        <x:v>Official report</x:v>
      </x:c>
      <x:c r="F28" s="51" t="str">
        <x:v>A</x:v>
      </x:c>
      <x:c r="G28" s="51" t="str">
        <x:v>https://documents1.worldbank.org/curated/en/715511560787699851/pdf/Main-Report.pdf</x:v>
      </x:c>
    </x:row>
    <x:row r="29">
      <x:c r="A29" s="51" t="str">
        <x:v>SRC-025</x:v>
      </x:c>
      <x:c r="B29" s="51" t="str">
        <x:v>State Council of China</x:v>
      </x:c>
      <x:c r="C29" s="51" t="str">
        <x:v>China unveils guideline to improve social credit system</x:v>
      </x:c>
      <x:c r="D29" s="51" t="str">
        <x:v>2025-03-31</x:v>
      </x:c>
      <x:c r="E29" s="51" t="str">
        <x:v>Official policy release</x:v>
      </x:c>
      <x:c r="F29" s="51" t="str">
        <x:v>A</x:v>
      </x:c>
      <x:c r="G29" s="51" t="str">
        <x:v>https://english.www.gov.cn/policies/latestreleases/202503/31/content_WS67ea9a7fc6d0868f4e8f1588.html</x:v>
      </x:c>
    </x:row>
    <x:row r="30">
      <x:c r="A30" s="51" t="str">
        <x:v>SRC-026</x:v>
      </x:c>
      <x:c r="B30" s="51" t="str">
        <x:v>State Council of China</x:v>
      </x:c>
      <x:c r="C30" s="51" t="str">
        <x:v>China issues guideline to accelerate AI Plus integration</x:v>
      </x:c>
      <x:c r="D30" s="51" t="str">
        <x:v>2025-08-27</x:v>
      </x:c>
      <x:c r="E30" s="51" t="str">
        <x:v>Official policy release</x:v>
      </x:c>
      <x:c r="F30" s="51" t="str">
        <x:v>A</x:v>
      </x:c>
      <x:c r="G30" s="51" t="str">
        <x:v>https://english.www.gov.cn/policies/latestreleases/202508/27/content_WS68ae7976c6d0868f4e8f51a0.html</x:v>
      </x:c>
    </x:row>
    <x:row r="31">
      <x:c r="A31" s="51" t="str">
        <x:v>SRC-027</x:v>
      </x:c>
      <x:c r="B31" s="51" t="str">
        <x:v>China Law Translate</x:v>
      </x:c>
      <x:c r="C31" s="51" t="str">
        <x:v>Measures on Management of National Online Identity Authentication Public Service</x:v>
      </x:c>
      <x:c r="D31" s="51" t="str">
        <x:v>2025-05-23</x:v>
      </x:c>
      <x:c r="E31" s="51" t="str">
        <x:v>Legal translation</x:v>
      </x:c>
      <x:c r="F31" s="51" t="str">
        <x:v>B</x:v>
      </x:c>
      <x:c r="G31" s="51" t="str">
        <x:v>https://www.chinalawtranslate.com/en/online-id-2/</x:v>
      </x:c>
    </x:row>
    <x:row r="32">
      <x:c r="A32" s="51" t="str">
        <x:v>SRC-028</x:v>
      </x:c>
      <x:c r="B32" s="51" t="str">
        <x:v>Human Rights Watch</x:v>
      </x:c>
      <x:c r="C32" s="51" t="str">
        <x:v>China's Algorithms of Repression</x:v>
      </x:c>
      <x:c r="D32" s="51" t="str">
        <x:v>2019-05-01</x:v>
      </x:c>
      <x:c r="E32" s="51" t="str">
        <x:v>Investigation/report</x:v>
      </x:c>
      <x:c r="F32" s="51" t="str">
        <x:v>A</x:v>
      </x:c>
      <x:c r="G32" s="51" t="str">
        <x:v>https://www.hrw.org/report/2019/05/01/chinas-algorithms-repression/reverse-engineering-xinjiang-police-mass</x:v>
      </x:c>
    </x:row>
    <x:row r="33">
      <x:c r="A33" s="51" t="str">
        <x:v>SRC-029</x:v>
      </x:c>
      <x:c r="B33" s="51" t="str">
        <x:v>Associated Press</x:v>
      </x:c>
      <x:c r="C33" s="51" t="str">
        <x:v>Silicon Valley enabled brutal mass detention and surveillance in China</x:v>
      </x:c>
      <x:c r="D33" s="51" t="str">
        <x:v>2025-09-09</x:v>
      </x:c>
      <x:c r="E33" s="51" t="str">
        <x:v>Investigative report</x:v>
      </x:c>
      <x:c r="F33" s="51" t="str">
        <x:v>A</x:v>
      </x:c>
      <x:c r="G33" s="51" t="str">
        <x:v>https://apnews.com/article/8e000601dadb6aea230f18170ed54e88</x:v>
      </x:c>
    </x:row>
    <x:row r="34">
      <x:c r="A34" s="51" t="str">
        <x:v>SRC-030</x:v>
      </x:c>
      <x:c r="B34" s="51" t="str">
        <x:v>SEC EDGAR / Palantir</x:v>
      </x:c>
      <x:c r="C34" s="51" t="str">
        <x:v>Palantir 2024 Form 10-K</x:v>
      </x:c>
      <x:c r="D34" s="51" t="str">
        <x:v>2025-02-18</x:v>
      </x:c>
      <x:c r="E34" s="51" t="str">
        <x:v>Regulatory filing</x:v>
      </x:c>
      <x:c r="F34" s="51" t="str">
        <x:v>A</x:v>
      </x:c>
      <x:c r="G34" s="51" t="str">
        <x:v>https://www.sec.gov/Archives/edgar/data/1321655/000132165525000059/fy2024palantirarsa.htm</x:v>
      </x:c>
    </x:row>
    <x:row r="35">
      <x:c r="A35" s="51" t="str">
        <x:v>SRC-031</x:v>
      </x:c>
      <x:c r="B35" s="51" t="str">
        <x:v>Reuters</x:v>
      </x:c>
      <x:c r="C35" s="51" t="str">
        <x:v>Pentagon to adopt Palantir AI as core US military system</x:v>
      </x:c>
      <x:c r="D35" s="51" t="str">
        <x:v>2026-03-20</x:v>
      </x:c>
      <x:c r="E35" s="51" t="str">
        <x:v>News report</x:v>
      </x:c>
      <x:c r="F35" s="51" t="str">
        <x:v>A</x:v>
      </x:c>
      <x:c r="G35" s="51" t="str">
        <x:v>https://www.reuters.com/technology/pentagon-adopt-palantir-ai-as-core-us-military-system-memo-says-2026-03-20/</x:v>
      </x:c>
    </x:row>
    <x:row r="36">
      <x:c r="A36" s="51" t="str">
        <x:v>SRC-032</x:v>
      </x:c>
      <x:c r="B36" s="51" t="str">
        <x:v>Reuters</x:v>
      </x:c>
      <x:c r="C36" s="51" t="str">
        <x:v>US used Anthropic's Claude during the Venezuela raid, WSJ reports</x:v>
      </x:c>
      <x:c r="D36" s="51" t="str">
        <x:v>2026-02-13</x:v>
      </x:c>
      <x:c r="E36" s="51" t="str">
        <x:v>News report</x:v>
      </x:c>
      <x:c r="F36" s="51" t="str">
        <x:v>A</x:v>
      </x:c>
      <x:c r="G36" s="51" t="str">
        <x:v>https://www.reuters.com/world/americas/us-used-anthropics-claude-during-the-venezuela-raid-wsj-reports-2026-02-13/</x:v>
      </x:c>
    </x:row>
    <x:row r="37">
      <x:c r="A37" s="51" t="str">
        <x:v>SRC-033</x:v>
      </x:c>
      <x:c r="B37" s="51" t="str">
        <x:v>UK Government</x:v>
      </x:c>
      <x:c r="C37" s="51" t="str">
        <x:v>Strategic partnership with Palantir on defence AI and innovation</x:v>
      </x:c>
      <x:c r="D37" s="51" t="str">
        <x:v>2025-09-18</x:v>
      </x:c>
      <x:c r="E37" s="51" t="str">
        <x:v>Official announcement</x:v>
      </x:c>
      <x:c r="F37" s="51" t="str">
        <x:v>A</x:v>
      </x:c>
      <x:c r="G37" s="51" t="str">
        <x:v>https://www.gov.uk/government/news/new-strategic-partnership-to-unlock-billions-and-boost-military-ai-and-innovation</x:v>
      </x:c>
    </x:row>
    <x:row r="38">
      <x:c r="A38" s="51" t="str">
        <x:v>SRC-034</x:v>
      </x:c>
      <x:c r="B38" s="51" t="str">
        <x:v>DSCA</x:v>
      </x:c>
      <x:c r="C38" s="51" t="str">
        <x:v>Israel munitions, guidance kits, fuzes and support — $6.75bn</x:v>
      </x:c>
      <x:c r="D38" s="51" t="str">
        <x:v>2025-02-07</x:v>
      </x:c>
      <x:c r="E38" s="51" t="str">
        <x:v>Official arms-sale notice</x:v>
      </x:c>
      <x:c r="F38" s="51" t="str">
        <x:v>A</x:v>
      </x:c>
      <x:c r="G38" s="51" t="str">
        <x:v>https://www.dsca.mil/Press-Media/Major-Arms-Sales/Article-Display/Article/4060920/israel-munitions-guidance-kits-fuzes-and-munitions-support</x:v>
      </x:c>
    </x:row>
    <x:row r="39">
      <x:c r="A39" s="51" t="str">
        <x:v>SRC-035</x:v>
      </x:c>
      <x:c r="B39" s="51" t="str">
        <x:v>DSCA</x:v>
      </x:c>
      <x:c r="C39" s="51" t="str">
        <x:v>Israel munitions and support — $2.04bn</x:v>
      </x:c>
      <x:c r="D39" s="51" t="str">
        <x:v>2025-02-28</x:v>
      </x:c>
      <x:c r="E39" s="51" t="str">
        <x:v>Official arms-sale notice</x:v>
      </x:c>
      <x:c r="F39" s="51" t="str">
        <x:v>A</x:v>
      </x:c>
      <x:c r="G39" s="51" t="str">
        <x:v>https://www.dsca.mil/Press-Media/Major-Arms-Sales/Article-Display/Article/4088258/israel-munitions-and-munitions-support</x:v>
      </x:c>
    </x:row>
    <x:row r="40">
      <x:c r="A40" s="51" t="str">
        <x:v>SRC-036</x:v>
      </x:c>
      <x:c r="B40" s="51" t="str">
        <x:v>DSCA</x:v>
      </x:c>
      <x:c r="C40" s="51" t="str">
        <x:v>Israel guidance kits and support — $675.7m</x:v>
      </x:c>
      <x:c r="D40" s="51" t="str">
        <x:v>2025-02-28</x:v>
      </x:c>
      <x:c r="E40" s="51" t="str">
        <x:v>Official arms-sale notice</x:v>
      </x:c>
      <x:c r="F40" s="51" t="str">
        <x:v>A</x:v>
      </x:c>
      <x:c r="G40" s="51" t="str">
        <x:v>https://www.dsca.mil/Press-Media/Major-Arms-Sales/Article-Display/Article/4088252/israel-munitions-guidance-kits-and-munitions-support</x:v>
      </x:c>
    </x:row>
    <x:row r="41">
      <x:c r="A41" s="51" t="str">
        <x:v>SRC-037</x:v>
      </x:c>
      <x:c r="B41" s="51" t="str">
        <x:v>DSCA</x:v>
      </x:c>
      <x:c r="C41" s="51" t="str">
        <x:v>Israel Hellfire missiles — $660m</x:v>
      </x:c>
      <x:c r="D41" s="51" t="str">
        <x:v>2025-02-07</x:v>
      </x:c>
      <x:c r="E41" s="51" t="str">
        <x:v>Official arms-sale notice</x:v>
      </x:c>
      <x:c r="F41" s="51" t="str">
        <x:v>A</x:v>
      </x:c>
      <x:c r="G41" s="51" t="str">
        <x:v>https://www.dsca.mil/Press-Media/Major-Arms-Sales/Tag/297484/agm-114-hellfire-missiles</x:v>
      </x:c>
    </x:row>
    <x:row r="42">
      <x:c r="A42" s="51" t="str">
        <x:v>SRC-038</x:v>
      </x:c>
      <x:c r="B42" s="51" t="str">
        <x:v>DSCA</x:v>
      </x:c>
      <x:c r="C42" s="51" t="str">
        <x:v>Israel guidance kits and support — $510m</x:v>
      </x:c>
      <x:c r="D42" s="51" t="str">
        <x:v>2025-06-30</x:v>
      </x:c>
      <x:c r="E42" s="51" t="str">
        <x:v>Official arms-sale notice</x:v>
      </x:c>
      <x:c r="F42" s="51" t="str">
        <x:v>A</x:v>
      </x:c>
      <x:c r="G42" s="51" t="str">
        <x:v>https://www.dsca.mil/Press-Media/Major-Arms-Sales/Tag/305734/25-59</x:v>
      </x:c>
    </x:row>
    <x:row r="43">
      <x:c r="A43" s="51" t="str">
        <x:v>SRC-039</x:v>
      </x:c>
      <x:c r="B43" s="51" t="str">
        <x:v>DSCA</x:v>
      </x:c>
      <x:c r="C43" s="51" t="str">
        <x:v>Israel AH-64E Apache helicopters — $3.8bn</x:v>
      </x:c>
      <x:c r="D43" s="51" t="str">
        <x:v>2026-01-30</x:v>
      </x:c>
      <x:c r="E43" s="51" t="str">
        <x:v>Official arms-sale notice</x:v>
      </x:c>
      <x:c r="F43" s="51" t="str">
        <x:v>A</x:v>
      </x:c>
      <x:c r="G43" s="51" t="str">
        <x:v>https://www.dsca.mil/Press-Media/Major-Arms-Sales/Tag/314849/25-94</x:v>
      </x:c>
    </x:row>
    <x:row r="44">
      <x:c r="A44" s="51" t="str">
        <x:v>SRC-040</x:v>
      </x:c>
      <x:c r="B44" s="51" t="str">
        <x:v>DSCA</x:v>
      </x:c>
      <x:c r="C44" s="51" t="str">
        <x:v>Israel Joint Light Tactical Vehicles — $1.98bn</x:v>
      </x:c>
      <x:c r="D44" s="51" t="str">
        <x:v>2026-01-30</x:v>
      </x:c>
      <x:c r="E44" s="51" t="str">
        <x:v>Official arms-sale notice</x:v>
      </x:c>
      <x:c r="F44" s="51" t="str">
        <x:v>A</x:v>
      </x:c>
      <x:c r="G44" s="51" t="str">
        <x:v>https://www.dsca.mil/Press-Media/Major-Arms-Sales/aircraft-watercraft-vehicles?Category=24971</x:v>
      </x:c>
    </x:row>
    <x:row r="45">
      <x:c r="A45" s="51" t="str">
        <x:v>SRC-041</x:v>
      </x:c>
      <x:c r="B45" s="51" t="str">
        <x:v>Federal Election Commission</x:v>
      </x:c>
      <x:c r="C45" s="51" t="str">
        <x:v>United Democracy Project committee data</x:v>
      </x:c>
      <x:c r="D45" s="51" t="str">
        <x:v>Current</x:v>
      </x:c>
      <x:c r="E45" s="51" t="str">
        <x:v>Regulatory database</x:v>
      </x:c>
      <x:c r="F45" s="51" t="str">
        <x:v>A</x:v>
      </x:c>
      <x:c r="G45" s="51" t="str">
        <x:v>https://www.fec.gov/data/committee/C00799031/</x:v>
      </x:c>
    </x:row>
    <x:row r="46">
      <x:c r="A46" s="51" t="str">
        <x:v>SRC-042</x:v>
      </x:c>
      <x:c r="B46" s="51" t="str">
        <x:v>Associated Press</x:v>
      </x:c>
      <x:c r="C46" s="51" t="str">
        <x:v>AIPAC has spent a record amount on Michigan's Senate primary</x:v>
      </x:c>
      <x:c r="D46" s="51" t="str">
        <x:v>2026-07</x:v>
      </x:c>
      <x:c r="E46" s="51" t="str">
        <x:v>News report</x:v>
      </x:c>
      <x:c r="F46" s="51" t="str">
        <x:v>A</x:v>
      </x:c>
      <x:c r="G46" s="51" t="str">
        <x:v>https://apnews.com/article/588bb869eb557643950bf68d6a0d7a10</x:v>
      </x:c>
    </x:row>
    <x:row r="47">
      <x:c r="A47" s="51" t="str">
        <x:v>SRC-043</x:v>
      </x:c>
      <x:c r="B47" s="51" t="str">
        <x:v>Reuters</x:v>
      </x:c>
      <x:c r="C47" s="51" t="str">
        <x:v>What did the Epstein files reveal about ties to politicians and business figures?</x:v>
      </x:c>
      <x:c r="D47" s="51" t="str">
        <x:v>2026-04-09</x:v>
      </x:c>
      <x:c r="E47" s="51" t="str">
        <x:v>News synthesis</x:v>
      </x:c>
      <x:c r="F47" s="51" t="str">
        <x:v>A</x:v>
      </x:c>
      <x:c r="G47" s="51" t="str">
        <x:v>https://www.reuters.com/world/us/jeffrey-epsteins-ties-politicians-business-titans-other-figures-2026-04-09/</x:v>
      </x:c>
    </x:row>
    <x:row r="48">
      <x:c r="A48" s="51" t="str">
        <x:v>SRC-044</x:v>
      </x:c>
      <x:c r="B48" s="51" t="str">
        <x:v>Reuters</x:v>
      </x:c>
      <x:c r="C48" s="51" t="str">
        <x:v>House Democrats release Epstein schedules showing plans to meet Musk, Thiel</x:v>
      </x:c>
      <x:c r="D48" s="51" t="str">
        <x:v>2025-09-26</x:v>
      </x:c>
      <x:c r="E48" s="51" t="str">
        <x:v>News report</x:v>
      </x:c>
      <x:c r="F48" s="51" t="str">
        <x:v>A</x:v>
      </x:c>
      <x:c r="G48" s="51" t="str">
        <x:v>https://www.reuters.com/world/us/us-house-democrats-release-epstein-schedules-showing-plans-meet-musk-thiel-2025-09-26/</x:v>
      </x:c>
    </x:row>
    <x:row r="49">
      <x:c r="A49" s="51" t="str">
        <x:v>SRC-045</x:v>
      </x:c>
      <x:c r="B49" s="51" t="str">
        <x:v>Associated Press</x:v>
      </x:c>
      <x:c r="C49" s="51" t="str">
        <x:v>Emails reveal Epstein's network of the rich and powerful</x:v>
      </x:c>
      <x:c r="D49" s="51" t="str">
        <x:v>2025-11-14</x:v>
      </x:c>
      <x:c r="E49" s="51" t="str">
        <x:v>News report</x:v>
      </x:c>
      <x:c r="F49" s="51" t="str">
        <x:v>A</x:v>
      </x:c>
      <x:c r="G49" s="51" t="str">
        <x:v>https://apnews.com/article/7bdf92fd2d742f88789b2b5d67bf9f48</x:v>
      </x:c>
    </x:row>
    <x:row r="50">
      <x:c r="A50" s="51" t="str">
        <x:v>SRC-046</x:v>
      </x:c>
      <x:c r="B50" s="51" t="str">
        <x:v>Reuters</x:v>
      </x:c>
      <x:c r="C50" s="51" t="str">
        <x:v>Founders Fund invests in Israeli public-safety technology firm Carbyne</x:v>
      </x:c>
      <x:c r="D50" s="51" t="str">
        <x:v>2018-08-15</x:v>
      </x:c>
      <x:c r="E50" s="51" t="str">
        <x:v>News report</x:v>
      </x:c>
      <x:c r="F50" s="51" t="str">
        <x:v>A</x:v>
      </x:c>
      <x:c r="G50" s="51" t="str">
        <x:v>https://www.reuters.com/article/technology/founders-fund-invests-in-israeli-public-safety-tech-firm-carbyne-idUSL5N1V647B/</x:v>
      </x:c>
    </x:row>
    <x:row r="51">
      <x:c r="A51" s="51" t="str">
        <x:v>SRC-047</x:v>
      </x:c>
      <x:c r="B51" s="51" t="str">
        <x:v>Carbyne / PR Newswire</x:v>
      </x:c>
      <x:c r="C51" s="51" t="str">
        <x:v>Founders Fund joins Carbyne $15m Series B</x:v>
      </x:c>
      <x:c r="D51" s="51" t="str">
        <x:v>2018-08-14</x:v>
      </x:c>
      <x:c r="E51" s="51" t="str">
        <x:v>Company announcement</x:v>
      </x:c>
      <x:c r="F51" s="51" t="str">
        <x:v>B</x:v>
      </x:c>
      <x:c r="G51" s="51" t="str">
        <x:v>https://www.prnewswire.com/il/news-releases/founders-fund-joins-carbyne-s-15-million-series-b-round-to-provide-life-saving-emergency-response-ecosystem-898902831.html</x:v>
      </x:c>
    </x:row>
    <x:row r="52">
      <x:c r="A52" s="51" t="str">
        <x:v>SRC-048</x:v>
      </x:c>
      <x:c r="B52" s="51" t="str">
        <x:v>Forbes</x:v>
      </x:c>
      <x:c r="C52" s="51" t="str">
        <x:v>Epstein's reported investment in police/emergency technology with Ehud Barak</x:v>
      </x:c>
      <x:c r="D52" s="51" t="str">
        <x:v>2026-02-10</x:v>
      </x:c>
      <x:c r="E52" s="51" t="str">
        <x:v>Investigative report</x:v>
      </x:c>
      <x:c r="F52" s="51" t="str">
        <x:v>B</x:v>
      </x:c>
      <x:c r="G52" s="51" t="str">
        <x:v>https://www.forbes.com/sites/thomasbrewster/2026/02/10/epstein-police-surveillance-investments-with-ehud-barak/</x:v>
      </x:c>
    </x:row>
    <x:row r="53">
      <x:c r="A53" s="51" t="str">
        <x:v>SRC-049</x:v>
      </x:c>
      <x:c r="B53" s="51" t="str">
        <x:v>Anadolu Agency</x:v>
      </x:c>
      <x:c r="C53" s="51" t="str">
        <x:v>FBI informant became convinced Epstein was Israeli spy: government document</x:v>
      </x:c>
      <x:c r="D53" s="51" t="str">
        <x:v>2026-02-04</x:v>
      </x:c>
      <x:c r="E53" s="51" t="str">
        <x:v>Report on released record</x:v>
      </x:c>
      <x:c r="F53" s="51" t="str">
        <x:v>B</x:v>
      </x:c>
      <x:c r="G53" s="51" t="str">
        <x:v>https://www.aa.com.tr/en/americas/fbi-informant-became-convinced-epstein-was-israeli-spy-government-document/3820659</x:v>
      </x:c>
    </x:row>
    <x:row r="54">
      <x:c r="A54" s="51" t="str">
        <x:v>SRC-050</x:v>
      </x:c>
      <x:c r="B54" s="51" t="str">
        <x:v>Reuters</x:v>
      </x:c>
      <x:c r="C54" s="51" t="str">
        <x:v>Norwegian investor divests Palantir over Israel work</x:v>
      </x:c>
      <x:c r="D54" s="51" t="str">
        <x:v>2024-10-25</x:v>
      </x:c>
      <x:c r="E54" s="51" t="str">
        <x:v>News report</x:v>
      </x:c>
      <x:c r="F54" s="51" t="str">
        <x:v>A</x:v>
      </x:c>
      <x:c r="G54" s="51" t="str">
        <x:v>https://www.reuters.com/technology/thiels-palantir-dumped-by-norwegian-investor-over-work-israel-2024-10-25/</x:v>
      </x:c>
    </x:row>
    <x:row r="55">
      <x:c r="A55" s="51" t="str">
        <x:v>SRC-051</x:v>
      </x:c>
      <x:c r="B55" s="51" t="str">
        <x:v>Associated Press</x:v>
      </x:c>
      <x:c r="C55" s="51" t="str">
        <x:v>US-made AI models and technology in Israel's war</x:v>
      </x:c>
      <x:c r="D55" s="51" t="str">
        <x:v>2025</x:v>
      </x:c>
      <x:c r="E55" s="51" t="str">
        <x:v>Investigative report</x:v>
      </x:c>
      <x:c r="F55" s="51" t="str">
        <x:v>A</x:v>
      </x:c>
      <x:c r="G55" s="51" t="str">
        <x:v>https://apnews.com/article/737bc17af7b03e98c29cec4e15d0f108</x:v>
      </x:c>
    </x:row>
    <x:row r="56">
      <x:c r="A56" s="51" t="str">
        <x:v>SRC-052</x:v>
      </x:c>
      <x:c r="B56" s="51" t="str">
        <x:v>SEC EDGAR / BlackRock</x:v>
      </x:c>
      <x:c r="C56" s="51" t="str">
        <x:v>BlackRock 2025 annual report</x:v>
      </x:c>
      <x:c r="D56" s="51" t="str">
        <x:v>2026</x:v>
      </x:c>
      <x:c r="E56" s="51" t="str">
        <x:v>Regulatory filing</x:v>
      </x:c>
      <x:c r="F56" s="51" t="str">
        <x:v>A</x:v>
      </x:c>
      <x:c r="G56" s="51" t="str">
        <x:v>https://www.sec.gov/Archives/edgar/data/2012383/000130817926000264/blk015204-arsa.pdf</x:v>
      </x:c>
    </x:row>
    <x:row r="57">
      <x:c r="A57" s="51" t="str">
        <x:v>SRC-053</x:v>
      </x:c>
      <x:c r="B57" s="51" t="str">
        <x:v>White House</x:v>
      </x:c>
      <x:c r="C57" s="51" t="str">
        <x:v>President Donald J. Trump</x:v>
      </x:c>
      <x:c r="D57" s="51" t="str">
        <x:v>Current</x:v>
      </x:c>
      <x:c r="E57" s="51" t="str">
        <x:v>Official office page</x:v>
      </x:c>
      <x:c r="F57" s="51" t="str">
        <x:v>A</x:v>
      </x:c>
      <x:c r="G57" s="51" t="str">
        <x:v>https://www.whitehouse.gov/administration/donald-j-trump/</x:v>
      </x:c>
    </x:row>
    <x:row r="58">
      <x:c r="A58" s="51" t="str">
        <x:v>SRC-054</x:v>
      </x:c>
      <x:c r="B58" s="51" t="str">
        <x:v>Reuters</x:v>
      </x:c>
      <x:c r="C58" s="51" t="str">
        <x:v>What did the Epstein files reveal about ties to politicians and business titans?</x:v>
      </x:c>
      <x:c r="D58" s="51" t="str">
        <x:v>2026-04-09</x:v>
      </x:c>
      <x:c r="E58" s="51" t="str">
        <x:v>News synthesis</x:v>
      </x:c>
      <x:c r="F58" s="51" t="str">
        <x:v>A</x:v>
      </x:c>
      <x:c r="G58" s="51" t="str">
        <x:v>https://www.reuters.com/world/us/jeffrey-epsteins-ties-politicians-business-titans-other-figures-2026-04-09/</x:v>
      </x:c>
    </x:row>
    <x:row r="59">
      <x:c r="A59" s="51" t="str">
        <x:v>SRC-055</x:v>
      </x:c>
      <x:c r="B59" s="51" t="str">
        <x:v>Reuters</x:v>
      </x:c>
      <x:c r="C59" s="51" t="str">
        <x:v>Trump flew on Epstein jet eight times in the 1990s, prosecutor email says</x:v>
      </x:c>
      <x:c r="D59" s="51" t="str">
        <x:v>2025-12-24</x:v>
      </x:c>
      <x:c r="E59" s="51" t="str">
        <x:v>News report on released record</x:v>
      </x:c>
      <x:c r="F59" s="51" t="str">
        <x:v>A</x:v>
      </x:c>
      <x:c r="G59" s="51" t="str">
        <x:v>https://www.reuters.com/world/us/us-justice-department-releases-new-tranche-epstein-files-2025-12-23/</x:v>
      </x:c>
    </x:row>
    <x:row r="60">
      <x:c r="A60" s="51" t="str">
        <x:v>SRC-056</x:v>
      </x:c>
      <x:c r="B60" s="51" t="str">
        <x:v>US Department of Justice</x:v>
      </x:c>
      <x:c r="C60" s="51" t="str">
        <x:v>Epstein Library</x:v>
      </x:c>
      <x:c r="D60" s="51" t="str">
        <x:v>Updated 2026-07-17</x:v>
      </x:c>
      <x:c r="E60" s="51" t="str">
        <x:v>Government document library</x:v>
      </x:c>
      <x:c r="F60" s="51" t="str">
        <x:v>A</x:v>
      </x:c>
      <x:c r="G60" s="51" t="str">
        <x:v>https://www.justice.gov/epstein</x:v>
      </x:c>
    </x:row>
    <x:row r="61">
      <x:c r="A61" s="51" t="str">
        <x:v>SRC-057</x:v>
      </x:c>
      <x:c r="B61" s="51" t="str">
        <x:v>Associated Press</x:v>
      </x:c>
      <x:c r="C61" s="51" t="str">
        <x:v>Powerful people named in released Epstein files</x:v>
      </x:c>
      <x:c r="D61" s="51" t="str">
        <x:v>2026-02-01</x:v>
      </x:c>
      <x:c r="E61" s="51" t="str">
        <x:v>News synthesis</x:v>
      </x:c>
      <x:c r="F61" s="51" t="str">
        <x:v>A</x:v>
      </x:c>
      <x:c r="G61" s="51" t="str">
        <x:v>https://apnews.com/article/682447e50bf9a3643a36c9b54ccdfa22</x:v>
      </x:c>
    </x:row>
    <x:row r="62">
      <x:c r="A62" s="51" t="str">
        <x:v>SRC-058</x:v>
      </x:c>
      <x:c r="B62" s="51" t="str">
        <x:v>Reuters</x:v>
      </x:c>
      <x:c r="C62" s="51" t="str">
        <x:v>Gates Foundation engaged with Epstein but made no payments, review finds</x:v>
      </x:c>
      <x:c r="D62" s="51" t="str">
        <x:v>2026-07-21</x:v>
      </x:c>
      <x:c r="E62" s="51" t="str">
        <x:v>News report</x:v>
      </x:c>
      <x:c r="F62" s="51" t="str">
        <x:v>A</x:v>
      </x:c>
      <x:c r="G62" s="51" t="str">
        <x:v>https://www.reuters.com/world/gates-foundation-external-review-finds-no-evidence-payments-epstein-2026-07-21/</x:v>
      </x:c>
    </x:row>
    <x:row r="63">
      <x:c r="A63" s="51" t="str">
        <x:v>SRC-059</x:v>
      </x:c>
      <x:c r="B63" s="51" t="str">
        <x:v>Associated Press</x:v>
      </x:c>
      <x:c r="C63" s="51" t="str">
        <x:v>Gates Foundation met with Epstein about 30 times, external review says</x:v>
      </x:c>
      <x:c r="D63" s="51" t="str">
        <x:v>2026-07-21</x:v>
      </x:c>
      <x:c r="E63" s="51" t="str">
        <x:v>News report</x:v>
      </x:c>
      <x:c r="F63" s="51" t="str">
        <x:v>A</x:v>
      </x:c>
      <x:c r="G63" s="51" t="str">
        <x:v>https://apnews.com/article/798b07999092aae601eae11a8ea14ce5</x:v>
      </x:c>
    </x:row>
    <x:row r="64">
      <x:c r="A64" s="51" t="str">
        <x:v>SRC-060</x:v>
      </x:c>
      <x:c r="B64" s="51" t="str">
        <x:v>Gates Foundation</x:v>
      </x:c>
      <x:c r="C64" s="51" t="str">
        <x:v>Gates Foundation Concludes External Review</x:v>
      </x:c>
      <x:c r="D64" s="51" t="str">
        <x:v>2026-07</x:v>
      </x:c>
      <x:c r="E64" s="51" t="str">
        <x:v>Official review summary</x:v>
      </x:c>
      <x:c r="F64" s="51" t="str">
        <x:v>A</x:v>
      </x:c>
      <x:c r="G64" s="51" t="str">
        <x:v>https://www.gatesfoundation.org/ideas/media-center/press-releases/2026/07/external-review</x:v>
      </x:c>
    </x:row>
    <x:row r="65">
      <x:c r="A65" s="51" t="str">
        <x:v>SRC-061</x:v>
      </x:c>
      <x:c r="B65" s="51" t="str">
        <x:v>Harvard University</x:v>
      </x:c>
      <x:c r="C65" s="51" t="str">
        <x:v>Report Regarding Jeffrey Epstein's Connections to Harvard</x:v>
      </x:c>
      <x:c r="D65" s="51" t="str">
        <x:v>2020-05-01</x:v>
      </x:c>
      <x:c r="E65" s="51" t="str">
        <x:v>Official institutional review</x:v>
      </x:c>
      <x:c r="F65" s="51" t="str">
        <x:v>A</x:v>
      </x:c>
      <x:c r="G65" s="51" t="str">
        <x:v>https://www.harvard.edu/president/news-and-statements-by-president-bacow/2020/report-regarding-jeffrey-epstein-s-connections-to-harvard/</x:v>
      </x:c>
    </x:row>
    <x:row r="66">
      <x:c r="A66" s="51" t="str">
        <x:v>SRC-062</x:v>
      </x:c>
      <x:c r="B66" s="51" t="str">
        <x:v>MIT</x:v>
      </x:c>
      <x:c r="C66" s="51" t="str">
        <x:v>MIT releases results of fact-finding on engagements with Jeffrey Epstein</x:v>
      </x:c>
      <x:c r="D66" s="51" t="str">
        <x:v>2020-01-10</x:v>
      </x:c>
      <x:c r="E66" s="51" t="str">
        <x:v>Official institutional review</x:v>
      </x:c>
      <x:c r="F66" s="51" t="str">
        <x:v>A</x:v>
      </x:c>
      <x:c r="G66" s="51" t="str">
        <x:v>https://news.mit.edu/2020/mit-releases-results-fact-finding-report-jeffrey-epstein-0110</x:v>
      </x:c>
    </x:row>
    <x:row r="67">
      <x:c r="A67" s="51" t="str">
        <x:v>SRC-063</x:v>
      </x:c>
      <x:c r="B67" s="51" t="str">
        <x:v>Reuters</x:v>
      </x:c>
      <x:c r="C67" s="51" t="str">
        <x:v>JPMorgan's $290 million Epstein settlement approved</x:v>
      </x:c>
      <x:c r="D67" s="51" t="str">
        <x:v>2023-11-09</x:v>
      </x:c>
      <x:c r="E67" s="51" t="str">
        <x:v>Legal news report</x:v>
      </x:c>
      <x:c r="F67" s="51" t="str">
        <x:v>A</x:v>
      </x:c>
      <x:c r="G67" s="51" t="str">
        <x:v>https://www.reuters.com/legal/us-judge-weigh-jpmorgans-290-million-settlement-with-epstein-accusers-2023-11-09/</x:v>
      </x:c>
    </x:row>
    <x:row r="68">
      <x:c r="A68" s="51" t="str">
        <x:v>SRC-064</x:v>
      </x:c>
      <x:c r="B68" s="51" t="str">
        <x:v>Reuters</x:v>
      </x:c>
      <x:c r="C68" s="51" t="str">
        <x:v>Deutsche Bank $75 million Epstein settlement approved</x:v>
      </x:c>
      <x:c r="D68" s="51" t="str">
        <x:v>2023-10-20</x:v>
      </x:c>
      <x:c r="E68" s="51" t="str">
        <x:v>Legal news report</x:v>
      </x:c>
      <x:c r="F68" s="51" t="str">
        <x:v>A</x:v>
      </x:c>
      <x:c r="G68" s="51" t="str">
        <x:v>https://www.reuters.com/legal/us-judge-approves-deutsche-bank-75-million-settlement-with-epstein-accusers-2023-10-20/</x:v>
      </x:c>
    </x:row>
    <x:row r="69">
      <x:c r="A69" s="51" t="str">
        <x:v>SRC-065</x:v>
      </x:c>
      <x:c r="B69" s="51" t="str">
        <x:v>Reuters</x:v>
      </x:c>
      <x:c r="C69" s="51" t="str">
        <x:v>Bank of America $72.5 million Epstein settlement wins preliminary approval</x:v>
      </x:c>
      <x:c r="D69" s="51" t="str">
        <x:v>2026-04-02</x:v>
      </x:c>
      <x:c r="E69" s="51" t="str">
        <x:v>Legal news report</x:v>
      </x:c>
      <x:c r="F69" s="51" t="str">
        <x:v>A</x:v>
      </x:c>
      <x:c r="G69" s="51" t="str">
        <x:v>https://www.reuters.com/legal/government/bank-americas-725-million-settlement-with-epstein-accusers-wins-preliminary-2026-04-02/</x:v>
      </x:c>
    </x:row>
    <x:row r="70">
      <x:c r="A70" s="51" t="str">
        <x:v>SRC-066</x:v>
      </x:c>
      <x:c r="B70" s="51" t="str">
        <x:v>Reuters</x:v>
      </x:c>
      <x:c r="C70" s="51" t="str">
        <x:v>Leon Black tells Congress Epstein duped and deceived him</x:v>
      </x:c>
      <x:c r="D70" s="51" t="str">
        <x:v>2026-06-26</x:v>
      </x:c>
      <x:c r="E70" s="51" t="str">
        <x:v>News report</x:v>
      </x:c>
      <x:c r="F70" s="51" t="str">
        <x:v>A</x:v>
      </x:c>
      <x:c r="G70" s="51" t="str">
        <x:v>https://www.reuters.com/world/leon-black-tells-congress-that-epstein-duped-deceived-him-2026-06-26/</x:v>
      </x:c>
    </x:row>
    <x:row r="71">
      <x:c r="A71" s="51" t="str">
        <x:v>SRC-067</x:v>
      </x:c>
      <x:c r="B71" s="51" t="str">
        <x:v>Reuters</x:v>
      </x:c>
      <x:c r="C71" s="51" t="str">
        <x:v>Leon Black steps down after review of Epstein ties</x:v>
      </x:c>
      <x:c r="D71" s="51" t="str">
        <x:v>2021-01-26</x:v>
      </x:c>
      <x:c r="E71" s="51" t="str">
        <x:v>News report</x:v>
      </x:c>
      <x:c r="F71" s="51" t="str">
        <x:v>A</x:v>
      </x:c>
      <x:c r="G71" s="51" t="str">
        <x:v>https://www.reuters.com/business/leon-black-step-downs-apollo-ceo-after-review-epstein-ties-2021-01-26/</x:v>
      </x:c>
    </x:row>
    <x:row r="72">
      <x:c r="A72" s="51" t="str">
        <x:v>SRC-068</x:v>
      </x:c>
      <x:c r="B72" s="51" t="str">
        <x:v>Reuters</x:v>
      </x:c>
      <x:c r="C72" s="51" t="str">
        <x:v>Inside Deutsche Bank's slow split from Epstein</x:v>
      </x:c>
      <x:c r="D72" s="51" t="str">
        <x:v>2026-02-12</x:v>
      </x:c>
      <x:c r="E72" s="51" t="str">
        <x:v>Investigative news report</x:v>
      </x:c>
      <x:c r="F72" s="51" t="str">
        <x:v>A</x:v>
      </x:c>
      <x:c r="G72" s="51" t="str">
        <x:v>https://www.reuters.com/sustainability/boards-policy-regulation/likes-have-cash-inside-deutsche-banks-slow-split-epstein-2026-02-11/</x:v>
      </x:c>
    </x:row>
    <x:row r="73">
      <x:c r="A73" s="51" t="str">
        <x:v>SRC-069</x:v>
      </x:c>
      <x:c r="B73" s="51" t="str">
        <x:v>Reuters</x:v>
      </x:c>
      <x:c r="C73" s="51" t="str">
        <x:v>Epstein had accounts with Goldman Sachs and HSBC, documents show</x:v>
      </x:c>
      <x:c r="D73" s="51" t="str">
        <x:v>2025-11-04</x:v>
      </x:c>
      <x:c r="E73" s="51" t="str">
        <x:v>News report on unsealed documents</x:v>
      </x:c>
      <x:c r="F73" s="51" t="str">
        <x:v>A</x:v>
      </x:c>
      <x:c r="G73" s="51" t="str">
        <x:v>https://www.reuters.com/business/finance/jeffrey-epstein-had-accounts-with-goldman-sachs-hsbc-documents-show-2025-11-04/</x:v>
      </x:c>
    </x:row>
    <x:row r="74">
      <x:c r="A74" s="51" t="str">
        <x:v>SRC-070</x:v>
      </x:c>
      <x:c r="B74" s="51" t="str">
        <x:v>Reuters</x:v>
      </x:c>
      <x:c r="C74" s="51" t="str">
        <x:v>Kushner's Affinity assets jump to $4.8 billion after Gulf cash injection</x:v>
      </x:c>
      <x:c r="D74" s="51" t="str">
        <x:v>2025-03-28</x:v>
      </x:c>
      <x:c r="E74" s="51" t="str">
        <x:v>News report / filing analysis</x:v>
      </x:c>
      <x:c r="F74" s="51" t="str">
        <x:v>A</x:v>
      </x:c>
      <x:c r="G74" s="51" t="str">
        <x:v>https://www.reuters.com/business/finance/kushners-affinitys-assets-jump-48-billion-after-gulf-cash-injection-2025-03-28/</x:v>
      </x:c>
    </x:row>
    <x:row r="75">
      <x:c r="A75" s="51" t="str">
        <x:v>SRC-071</x:v>
      </x:c>
      <x:c r="B75" s="51" t="str">
        <x:v>Reuters</x:v>
      </x:c>
      <x:c r="C75" s="51" t="str">
        <x:v>Trump stablecoin chosen for $2 billion MGX investment in Binance</x:v>
      </x:c>
      <x:c r="D75" s="51" t="str">
        <x:v>2025-05-01</x:v>
      </x:c>
      <x:c r="E75" s="51" t="str">
        <x:v>News report</x:v>
      </x:c>
      <x:c r="F75" s="51" t="str">
        <x:v>A</x:v>
      </x:c>
      <x:c r="G75" s="51" t="str">
        <x:v>https://www.reuters.com/world/middle-east/wlfs-zach-witkoff-usd1-selected-official-stablecoin-mgx-investment-binance-2025-05-01/</x:v>
      </x:c>
    </x:row>
    <x:row r="76">
      <x:c r="A76" s="51" t="str">
        <x:v>SRC-072</x:v>
      </x:c>
      <x:c r="B76" s="51" t="str">
        <x:v>Reuters</x:v>
      </x:c>
      <x:c r="C76" s="51" t="str">
        <x:v>Abu Dhabi-linked vehicle bought 49% of World Liberty Financial for $500 million</x:v>
      </x:c>
      <x:c r="D76" s="51" t="str">
        <x:v>2026-02-17</x:v>
      </x:c>
      <x:c r="E76" s="51" t="str">
        <x:v>News report / company confirmation</x:v>
      </x:c>
      <x:c r="F76" s="51" t="str">
        <x:v>A</x:v>
      </x:c>
      <x:c r="G76" s="51" t="str">
        <x:v>https://www.reuters.com/world/us/goldman-nasdaq-ceos-headline-mar-a-lago-crypto-forum-hosted-by-don-jr-eric-trump-2026-02-17/</x:v>
      </x:c>
    </x:row>
    <x:row r="77">
      <x:c r="A77" s="51" t="str">
        <x:v>SRC-073</x:v>
      </x:c>
      <x:c r="B77" s="51" t="str">
        <x:v>Reuters</x:v>
      </x:c>
      <x:c r="C77" s="51" t="str">
        <x:v>Under the Trump crypto playbook, the family always wins</x:v>
      </x:c>
      <x:c r="D77" s="51" t="str">
        <x:v>2026-06-09</x:v>
      </x:c>
      <x:c r="E77" s="51" t="str">
        <x:v>Investigative report</x:v>
      </x:c>
      <x:c r="F77" s="51" t="str">
        <x:v>A</x:v>
      </x:c>
      <x:c r="G77" s="51" t="str">
        <x:v>https://www.reuters.com/investigations/under-trump-crypto-playbook-family-always-wins-investors-dont-2026-06-09/</x:v>
      </x:c>
    </x:row>
    <x:row r="78">
      <x:c r="A78" s="51" t="str">
        <x:v>SRC-074</x:v>
      </x:c>
      <x:c r="B78" s="51" t="str">
        <x:v>Reuters</x:v>
      </x:c>
      <x:c r="C78" s="51" t="str">
        <x:v>How the Trump family took over World Liberty as it raised hundreds of millions</x:v>
      </x:c>
      <x:c r="D78" s="51" t="str">
        <x:v>2025-03-31</x:v>
      </x:c>
      <x:c r="E78" s="51" t="str">
        <x:v>Investigative report</x:v>
      </x:c>
      <x:c r="F78" s="51" t="str">
        <x:v>A</x:v>
      </x:c>
      <x:c r="G78" s="51" t="str">
        <x:v>https://www.reuters.com/business/finance/how-trump-family-took-over-crypto-firm-it-raised-hundreds-millions-2025-03-31/</x:v>
      </x:c>
    </x:row>
    <x:row r="79">
      <x:c r="A79" s="51" t="str">
        <x:v>SRC-075</x:v>
      </x:c>
      <x:c r="B79" s="51" t="str">
        <x:v>Reuters</x:v>
      </x:c>
      <x:c r="C79" s="51" t="str">
        <x:v>UAE fund buys $100 million of World Liberty tokens</x:v>
      </x:c>
      <x:c r="D79" s="51" t="str">
        <x:v>2025-06-27</x:v>
      </x:c>
      <x:c r="E79" s="51" t="str">
        <x:v>News report</x:v>
      </x:c>
      <x:c r="F79" s="51" t="str">
        <x:v>A</x:v>
      </x:c>
      <x:c r="G79" s="51" t="str">
        <x:v>https://www.reuters.com/business/finance/uae-fund-buys-100-million-trumps-world-liberty-tokens-2025-06-27/</x:v>
      </x:c>
    </x:row>
    <x:row r="80">
      <x:c r="A80" s="51" t="str">
        <x:v>SRC-076</x:v>
      </x:c>
      <x:c r="B80" s="51" t="str">
        <x:v>Reuters</x:v>
      </x:c>
      <x:c r="C80" s="51" t="str">
        <x:v>Eric Trump-backed American Bitcoin to go public</x:v>
      </x:c>
      <x:c r="D80" s="51" t="str">
        <x:v>2025-05-12</x:v>
      </x:c>
      <x:c r="E80" s="51" t="str">
        <x:v>News report</x:v>
      </x:c>
      <x:c r="F80" s="51" t="str">
        <x:v>A</x:v>
      </x:c>
      <x:c r="G80" s="51" t="str">
        <x:v>https://www.reuters.com/business/eric-trump-backed-american-bitcoin-go-public-through-all-stock-merger-2025-05-12/</x:v>
      </x:c>
    </x:row>
    <x:row r="81">
      <x:c r="A81" s="51" t="str">
        <x:v>SRC-077</x:v>
      </x:c>
      <x:c r="B81" s="51" t="str">
        <x:v>Reuters</x:v>
      </x:c>
      <x:c r="C81" s="51" t="str">
        <x:v>US Justice Department disbands cryptocurrency enforcement unit</x:v>
      </x:c>
      <x:c r="D81" s="51" t="str">
        <x:v>2025-04-08</x:v>
      </x:c>
      <x:c r="E81" s="51" t="str">
        <x:v>News report</x:v>
      </x:c>
      <x:c r="F81" s="51" t="str">
        <x:v>A</x:v>
      </x:c>
      <x:c r="G81" s="51" t="str">
        <x:v>https://www.reuters.com/world/us/us-justice-department-disbands-cryptocurrency-enforcement-unit-2025-04-08/</x:v>
      </x:c>
    </x:row>
    <x:row r="82">
      <x:c r="A82" s="51" t="str">
        <x:v>SRC-078</x:v>
      </x:c>
      <x:c r="B82" s="51" t="str">
        <x:v>White House</x:v>
      </x:c>
      <x:c r="C82" s="51" t="str">
        <x:v>Appointments to President's Council of Advisors on Science and Technology</x:v>
      </x:c>
      <x:c r="D82" s="51" t="str">
        <x:v>2026-03-25</x:v>
      </x:c>
      <x:c r="E82" s="51" t="str">
        <x:v>Official appointment release</x:v>
      </x:c>
      <x:c r="F82" s="51" t="str">
        <x:v>A</x:v>
      </x:c>
      <x:c r="G82" s="51" t="str">
        <x:v>https://www.whitehouse.gov/releases/2026/03/president-trump-announces-appointments-to-presidents-council-of-advisors-on-science-and-technology/</x:v>
      </x:c>
    </x:row>
    <x:row r="83">
      <x:c r="A83" s="51" t="str">
        <x:v>SRC-079</x:v>
      </x:c>
      <x:c r="B83" s="51" t="str">
        <x:v>OpenAI</x:v>
      </x:c>
      <x:c r="C83" s="51" t="str">
        <x:v>Our structure</x:v>
      </x:c>
      <x:c r="D83" s="51" t="str">
        <x:v>2025-10-28 / current</x:v>
      </x:c>
      <x:c r="E83" s="51" t="str">
        <x:v>Official governance page</x:v>
      </x:c>
      <x:c r="F83" s="51" t="str">
        <x:v>A</x:v>
      </x:c>
      <x:c r="G83" s="51" t="str">
        <x:v>https://openai.com/our-structure/</x:v>
      </x:c>
    </x:row>
    <x:row r="84">
      <x:c r="A84" s="51" t="str">
        <x:v>SRC-080</x:v>
      </x:c>
      <x:c r="B84" s="51" t="str">
        <x:v>Reuters</x:v>
      </x:c>
      <x:c r="C84" s="51" t="str">
        <x:v>OpenAI's $110 billion funding round draws Amazon, Nvidia and SoftBank</x:v>
      </x:c>
      <x:c r="D84" s="51" t="str">
        <x:v>2026-02-27</x:v>
      </x:c>
      <x:c r="E84" s="51" t="str">
        <x:v>News report</x:v>
      </x:c>
      <x:c r="F84" s="51" t="str">
        <x:v>A</x:v>
      </x:c>
      <x:c r="G84" s="51" t="str">
        <x:v>https://www.reuters.com/business/retail-consumer/openais-110-billion-funding-round-draws-investment-amazon-nvidia-softbank-2026-02-27/</x:v>
      </x:c>
    </x:row>
    <x:row r="85">
      <x:c r="A85" s="51" t="str">
        <x:v>SRC-081</x:v>
      </x:c>
      <x:c r="B85" s="51" t="str">
        <x:v>OpenAI</x:v>
      </x:c>
      <x:c r="C85" s="51" t="str">
        <x:v>Announcing The Stargate Project</x:v>
      </x:c>
      <x:c r="D85" s="51" t="str">
        <x:v>2025-01-21</x:v>
      </x:c>
      <x:c r="E85" s="51" t="str">
        <x:v>Official project announcement</x:v>
      </x:c>
      <x:c r="F85" s="51" t="str">
        <x:v>A</x:v>
      </x:c>
      <x:c r="G85" s="51" t="str">
        <x:v>https://openai.com/index/announcing-the-stargate-project/</x:v>
      </x:c>
    </x:row>
    <x:row r="86">
      <x:c r="A86" s="51" t="str">
        <x:v>SRC-082</x:v>
      </x:c>
      <x:c r="B86" s="51" t="str">
        <x:v>OpenAI</x:v>
      </x:c>
      <x:c r="C86" s="51" t="str">
        <x:v>Introducing Stargate UAE</x:v>
      </x:c>
      <x:c r="D86" s="51" t="str">
        <x:v>2025-05-22</x:v>
      </x:c>
      <x:c r="E86" s="51" t="str">
        <x:v>Official project announcement</x:v>
      </x:c>
      <x:c r="F86" s="51" t="str">
        <x:v>A</x:v>
      </x:c>
      <x:c r="G86" s="51" t="str">
        <x:v>https://openai.com/index/introducing-stargate-uae/</x:v>
      </x:c>
    </x:row>
    <x:row r="87">
      <x:c r="A87" s="51" t="str">
        <x:v>SRC-083</x:v>
      </x:c>
      <x:c r="B87" s="51" t="str">
        <x:v>Anthropic</x:v>
      </x:c>
      <x:c r="C87" s="51" t="str">
        <x:v>Long-Term Benefit Trust appoints Vas Narasimhan to board</x:v>
      </x:c>
      <x:c r="D87" s="51" t="str">
        <x:v>Current</x:v>
      </x:c>
      <x:c r="E87" s="51" t="str">
        <x:v>Official governance announcement</x:v>
      </x:c>
      <x:c r="F87" s="51" t="str">
        <x:v>A</x:v>
      </x:c>
      <x:c r="G87" s="51" t="str">
        <x:v>https://www.anthropic.com/news/narasimhan-board</x:v>
      </x:c>
    </x:row>
    <x:row r="88">
      <x:c r="A88" s="51" t="str">
        <x:v>SRC-084</x:v>
      </x:c>
      <x:c r="B88" s="51" t="str">
        <x:v>Anthropic</x:v>
      </x:c>
      <x:c r="C88" s="51" t="str">
        <x:v>Ben Bernanke appointed to Long-Term Benefit Trust</x:v>
      </x:c>
      <x:c r="D88" s="51" t="str">
        <x:v>2026-07-09</x:v>
      </x:c>
      <x:c r="E88" s="51" t="str">
        <x:v>Official governance announcement</x:v>
      </x:c>
      <x:c r="F88" s="51" t="str">
        <x:v>A</x:v>
      </x:c>
      <x:c r="G88" s="51" t="str">
        <x:v>https://www.anthropic.com/news/ben-bernanke</x:v>
      </x:c>
    </x:row>
    <x:row r="89">
      <x:c r="A89" s="51" t="str">
        <x:v>SRC-085</x:v>
      </x:c>
      <x:c r="B89" s="51" t="str">
        <x:v>Reuters</x:v>
      </x:c>
      <x:c r="C89" s="51" t="str">
        <x:v>US Department of Defense awards AI contracts to OpenAI, Google, Anthropic and xAI</x:v>
      </x:c>
      <x:c r="D89" s="51" t="str">
        <x:v>2025-07-14</x:v>
      </x:c>
      <x:c r="E89" s="51" t="str">
        <x:v>News report</x:v>
      </x:c>
      <x:c r="F89" s="51" t="str">
        <x:v>A</x:v>
      </x:c>
      <x:c r="G89" s="51" t="str">
        <x:v>https://www.reuters.com/business/autos-transportation/us-department-defense-awards-contracts-google-xai-2025-07-14/</x:v>
      </x:c>
    </x:row>
    <x:row r="90">
      <x:c r="A90" s="51" t="str">
        <x:v>SRC-086</x:v>
      </x:c>
      <x:c r="B90" s="51" t="str">
        <x:v>Reuters</x:v>
      </x:c>
      <x:c r="C90" s="51" t="str">
        <x:v>Anthropic to donate $20 million to Public First Action</x:v>
      </x:c>
      <x:c r="D90" s="51" t="str">
        <x:v>2026-02-12</x:v>
      </x:c>
      <x:c r="E90" s="51" t="str">
        <x:v>News report</x:v>
      </x:c>
      <x:c r="F90" s="51" t="str">
        <x:v>A</x:v>
      </x:c>
      <x:c r="G90" s="51" t="str">
        <x:v>https://www.reuters.com/legal/government/anthropic-donate-20-million-us-political-group-backing-ai-regulation-2026-02-12/</x:v>
      </x:c>
    </x:row>
    <x:row r="91">
      <x:c r="A91" s="51" t="str">
        <x:v>SRC-087</x:v>
      </x:c>
      <x:c r="B91" s="51" t="str">
        <x:v>Reuters</x:v>
      </x:c>
      <x:c r="C91" s="51" t="str">
        <x:v>Anthropic donates another $20 million to Public First Action</x:v>
      </x:c>
      <x:c r="D91" s="51" t="str">
        <x:v>2026-07-22</x:v>
      </x:c>
      <x:c r="E91" s="51" t="str">
        <x:v>News report</x:v>
      </x:c>
      <x:c r="F91" s="51" t="str">
        <x:v>A</x:v>
      </x:c>
      <x:c r="G91" s="51" t="str">
        <x:v>https://www.reuters.com/legal/government/anthropic-donate-20-million-us-political-group-that-supports-ai-regulation-2026-07-22/</x:v>
      </x:c>
    </x:row>
    <x:row r="92">
      <x:c r="A92" s="51" t="str">
        <x:v>SRC-088</x:v>
      </x:c>
      <x:c r="B92" s="51" t="str">
        <x:v>Reuters</x:v>
      </x:c>
      <x:c r="C92" s="51" t="str">
        <x:v>Trump appoints David Sacks as AI and crypto czar</x:v>
      </x:c>
      <x:c r="D92" s="51" t="str">
        <x:v>2024-12-06</x:v>
      </x:c>
      <x:c r="E92" s="51" t="str">
        <x:v>News report</x:v>
      </x:c>
      <x:c r="F92" s="51" t="str">
        <x:v>A</x:v>
      </x:c>
      <x:c r="G92" s="51" t="str">
        <x:v>https://www.reuters.com/world/us/trump-appoints-former-paypal-coo-david-sacks-ai-crypto-czar-2024-12-06/</x:v>
      </x:c>
    </x:row>
    <x:row r="93">
      <x:c r="A93" s="51" t="str">
        <x:v>SRC-089</x:v>
      </x:c>
      <x:c r="B93" s="51" t="str">
        <x:v>Reuters</x:v>
      </x:c>
      <x:c r="C93" s="51" t="str">
        <x:v>David Sacks steps down as White House AI and crypto czar</x:v>
      </x:c>
      <x:c r="D93" s="51" t="str">
        <x:v>2026-03-26</x:v>
      </x:c>
      <x:c r="E93" s="51" t="str">
        <x:v>News report</x:v>
      </x:c>
      <x:c r="F93" s="51" t="str">
        <x:v>A</x:v>
      </x:c>
      <x:c r="G93" s="51" t="str">
        <x:v>https://www.reuters.com/world/us/white-house-ai-czar-sacks-step-down-moves-advisory-role-2026-03-27/</x:v>
      </x:c>
    </x:row>
    <x:row r="94">
      <x:c r="A94" s="51" t="str">
        <x:v>SRC-090</x:v>
      </x:c>
      <x:c r="B94" s="51" t="str">
        <x:v>Reuters</x:v>
      </x:c>
      <x:c r="C94" s="51" t="str">
        <x:v>Rockbridge Network backed by Peter Thiel and other tech donors</x:v>
      </x:c>
      <x:c r="D94" s="51" t="str">
        <x:v>2024</x:v>
      </x:c>
      <x:c r="E94" s="51" t="str">
        <x:v>Investigative political-finance report</x:v>
      </x:c>
      <x:c r="F94" s="51" t="str">
        <x:v>A</x:v>
      </x:c>
      <x:c r="G94" s="51" t="str">
        <x:v>https://www.reuters.com/world/us/tech-donor-network-co-founded-by-jd-vance-seeks-push-america-right-2024-08-20/</x:v>
      </x:c>
    </x:row>
    <x:row r="95">
      <x:c r="A95" s="51" t="str">
        <x:v>SRC-091</x:v>
      </x:c>
      <x:c r="B95" s="51" t="str">
        <x:v>Reuters</x:v>
      </x:c>
      <x:c r="C95" s="51" t="str">
        <x:v>Trump inauguration draws technology CEOs and corporate donations</x:v>
      </x:c>
      <x:c r="D95" s="51" t="str">
        <x:v>2025-01</x:v>
      </x:c>
      <x:c r="E95" s="51" t="str">
        <x:v>News report</x:v>
      </x:c>
      <x:c r="F95" s="51" t="str">
        <x:v>A</x:v>
      </x:c>
      <x:c r="G95" s="51" t="str">
        <x:v>https://www.reuters.com/world/us/musk-zuckerberg-bezos-attend-trump-inauguration-nbc-reports-2025-01-14/</x:v>
      </x:c>
    </x:row>
    <x:row r="96">
      <x:c r="A96" s="51" t="str">
        <x:v>SRC-092</x:v>
      </x:c>
      <x:c r="B96" s="51" t="str">
        <x:v>Reuters</x:v>
      </x:c>
      <x:c r="C96" s="51" t="str">
        <x:v>Trump–Musk feud exposes government-contract leverage</x:v>
      </x:c>
      <x:c r="D96" s="51" t="str">
        <x:v>2025-06-05</x:v>
      </x:c>
      <x:c r="E96" s="51" t="str">
        <x:v>News report</x:v>
      </x:c>
      <x:c r="F96" s="51" t="str">
        <x:v>A</x:v>
      </x:c>
      <x:c r="G96" s="51" t="str">
        <x:v>https://www.reuters.com/world/us/trump-blames-musks-criticism-decision-cut-ev-tax-credits-2025-06-05/</x:v>
      </x:c>
    </x:row>
    <x:row r="97">
      <x:c r="A97" s="51" t="str">
        <x:v>SRC-093</x:v>
      </x:c>
      <x:c r="B97" s="51" t="str">
        <x:v>Microsoft</x:v>
      </x:c>
      <x:c r="C97" s="51" t="str">
        <x:v>Microsoft and G42 announce $1.5 billion strategic investment</x:v>
      </x:c>
      <x:c r="D97" s="51" t="str">
        <x:v>2024-04-16</x:v>
      </x:c>
      <x:c r="E97" s="51" t="str">
        <x:v>Official transaction announcement</x:v>
      </x:c>
      <x:c r="F97" s="51" t="str">
        <x:v>A</x:v>
      </x:c>
      <x:c r="G97" s="51" t="str">
        <x:v>https://blogs.microsoft.com/blog/2024/04/16/microsoft-invests-in-and-partners-with-g42-to-accelerate-ai-transformation-and-global-expansion/</x:v>
      </x:c>
    </x:row>
    <x:row r="98">
      <x:c r="A98" s="51" t="str">
        <x:v>SRC-094</x:v>
      </x:c>
      <x:c r="B98" s="51" t="str">
        <x:v>Meta / Anduril</x:v>
      </x:c>
      <x:c r="C98" s="51" t="str">
        <x:v>Meta and Anduril partner on military extended-reality systems</x:v>
      </x:c>
      <x:c r="D98" s="51" t="str">
        <x:v>2025</x:v>
      </x:c>
      <x:c r="E98" s="51" t="str">
        <x:v>Official partnership announcement</x:v>
      </x:c>
      <x:c r="F98" s="51" t="str">
        <x:v>A</x:v>
      </x:c>
      <x:c r="G98" s="51" t="str">
        <x:v>https://about.fb.com/news/2025/05/meta-and-anduril-partner-to-build-extended-reality-products-for-the-military/</x:v>
      </x:c>
    </x:row>
    <x:row r="99">
      <x:c r="A99" s="51" t="str">
        <x:v>SRC-095</x:v>
      </x:c>
      <x:c r="B99" s="51" t="str">
        <x:v>SoftBank</x:v>
      </x:c>
      <x:c r="C99" s="51" t="str">
        <x:v>Global Tech Alliance Launches Stargate UAE</x:v>
      </x:c>
      <x:c r="D99" s="51" t="str">
        <x:v>2025-05-22</x:v>
      </x:c>
      <x:c r="E99" s="51" t="str">
        <x:v>Official consortium announcement</x:v>
      </x:c>
      <x:c r="F99" s="51" t="str">
        <x:v>A</x:v>
      </x:c>
      <x:c r="G99" s="51" t="str">
        <x:v>https://group.softbank/en/news/press/20250522</x:v>
      </x:c>
    </x:row>
    <x:row r="100">
      <x:c r="A100" s="51" t="str">
        <x:v>SRC-096</x:v>
      </x:c>
      <x:c r="B100" s="51" t="str">
        <x:v>SoftBank</x:v>
      </x:c>
      <x:c r="C100" s="51" t="str">
        <x:v>Announcing The Stargate Project</x:v>
      </x:c>
      <x:c r="D100" s="51" t="str">
        <x:v>2025-01-22</x:v>
      </x:c>
      <x:c r="E100" s="51" t="str">
        <x:v>Official consortium announcement</x:v>
      </x:c>
      <x:c r="F100" s="51" t="str">
        <x:v>A</x:v>
      </x:c>
      <x:c r="G100" s="51" t="str">
        <x:v>https://group.softbank/en/news/press/20250122</x:v>
      </x:c>
    </x:row>
    <x:row r="101">
      <x:c r="A101" s="51" t="str">
        <x:v>SRC-097</x:v>
      </x:c>
      <x:c r="B101" s="51" t="str">
        <x:v>Reuters</x:v>
      </x:c>
      <x:c r="C101" s="51" t="str">
        <x:v>AMD to invest up to $5 billion in Anthropic in major chip deal</x:v>
      </x:c>
      <x:c r="D101" s="51" t="str">
        <x:v>2026-07-22</x:v>
      </x:c>
      <x:c r="E101" s="51" t="str">
        <x:v>News report</x:v>
      </x:c>
      <x:c r="F101" s="51" t="str">
        <x:v>A</x:v>
      </x:c>
      <x:c r="G101" s="51" t="str">
        <x:v>https://www.reuters.com/business/amd-invest-up-5-billion-anthropic-wsj-reports-2026-07-22/</x:v>
      </x:c>
    </x:row>
    <x:row r="102">
      <x:c r="A102" s="51" t="str">
        <x:v>SRC-098</x:v>
      </x:c>
      <x:c r="B102" s="51" t="str">
        <x:v>Reuters</x:v>
      </x:c>
      <x:c r="C102" s="51" t="str">
        <x:v>Companies pour billions into AI infrastructure</x:v>
      </x:c>
      <x:c r="D102" s="51" t="str">
        <x:v>2026-07-22</x:v>
      </x:c>
      <x:c r="E102" s="51" t="str">
        <x:v>News synthesis</x:v>
      </x:c>
      <x:c r="F102" s="51" t="str">
        <x:v>A</x:v>
      </x:c>
      <x:c r="G102" s="51" t="str">
        <x:v>https://www.reuters.com/business/autos-transportation/companies-pouring-billions-advance-ai-infrastructure-2026-07-22/</x:v>
      </x:c>
    </x:row>
    <x:row r="103">
      <x:c r="A103" s="51" t="str">
        <x:v>SRC-099</x:v>
      </x:c>
      <x:c r="B103" s="51" t="str">
        <x:v>Reuters</x:v>
      </x:c>
      <x:c r="C103" s="51" t="str">
        <x:v>US tech firms Nvidia, AMD secure AI deals as Trump tours Gulf states</x:v>
      </x:c>
      <x:c r="D103" s="51" t="str">
        <x:v>2025-05-13</x:v>
      </x:c>
      <x:c r="E103" s="51" t="str">
        <x:v>News report</x:v>
      </x:c>
      <x:c r="F103" s="51" t="str">
        <x:v>A</x:v>
      </x:c>
      <x:c r="G103" s="51" t="str">
        <x:v>https://www.reuters.com/world/middle-east/saudi-arabia-partners-with-nvidia-spur-ai-goals-trump-visits-2025-05-13/</x:v>
      </x:c>
    </x:row>
    <x:row r="104">
      <x:c r="A104" s="51" t="str">
        <x:v>SRC-100</x:v>
      </x:c>
      <x:c r="B104" s="51" t="str">
        <x:v>PIF</x:v>
      </x:c>
      <x:c r="C104" s="51" t="str">
        <x:v>Crown Prince launches HUMAIN</x:v>
      </x:c>
      <x:c r="D104" s="51" t="str">
        <x:v>2025</x:v>
      </x:c>
      <x:c r="E104" s="51" t="str">
        <x:v>Official company launch</x:v>
      </x:c>
      <x:c r="F104" s="51" t="str">
        <x:v>A</x:v>
      </x:c>
      <x:c r="G104" s="51" t="str">
        <x:v>https://www.pif.gov.sa/en/news-and-insights/press-releases/2025/hrh-crown-prince-launches-humain/</x:v>
      </x:c>
    </x:row>
    <x:row r="105">
      <x:c r="A105" s="51" t="str">
        <x:v>SRC-101</x:v>
      </x:c>
      <x:c r="B105" s="51" t="str">
        <x:v>The Clearing House</x:v>
      </x:c>
      <x:c r="C105" s="51" t="str">
        <x:v>CHIPS Delivers Record Value and Resilience for Participants in 2025</x:v>
      </x:c>
      <x:c r="D105" s="51" t="str">
        <x:v>2026-04-07</x:v>
      </x:c>
      <x:c r="E105" s="51" t="str">
        <x:v>Official payment-system release</x:v>
      </x:c>
      <x:c r="F105" s="51" t="str">
        <x:v>A</x:v>
      </x:c>
      <x:c r="G105" s="51" t="str">
        <x:v>https://www.theclearinghouse.org/payment-systems/Articles/2026/04/CHIPS-Delivers-Record-Value-and-Resilience-for-Participants-in-2025</x:v>
      </x:c>
    </x:row>
    <x:row r="106">
      <x:c r="A106" s="51" t="str">
        <x:v>SRC-102</x:v>
      </x:c>
      <x:c r="B106" s="51" t="str">
        <x:v>Federal Reserve Financial Services</x:v>
      </x:c>
      <x:c r="C106" s="51" t="str">
        <x:v>Fedwire Funds Service Annual Statistics</x:v>
      </x:c>
      <x:c r="D106" s="51" t="str">
        <x:v>2026-01-26</x:v>
      </x:c>
      <x:c r="E106" s="51" t="str">
        <x:v>Official payment statistics</x:v>
      </x:c>
      <x:c r="F106" s="51" t="str">
        <x:v>A</x:v>
      </x:c>
      <x:c r="G106" s="51" t="str">
        <x:v>https://www.frbservices.org/resources/financial-services/wires/volume-value-stats/annual-stats.html</x:v>
      </x:c>
    </x:row>
    <x:row r="107">
      <x:c r="A107" s="51" t="str">
        <x:v>SRC-103</x:v>
      </x:c>
      <x:c r="B107" s="51" t="str">
        <x:v>Federal Reserve Financial Services</x:v>
      </x:c>
      <x:c r="C107" s="51" t="str">
        <x:v>Fedwire Funds Service Resources and Operating Framework</x:v>
      </x:c>
      <x:c r="D107" s="51" t="str">
        <x:v>Current</x:v>
      </x:c>
      <x:c r="E107" s="51" t="str">
        <x:v>Official system page</x:v>
      </x:c>
      <x:c r="F107" s="51" t="str">
        <x:v>A</x:v>
      </x:c>
      <x:c r="G107" s="51" t="str">
        <x:v>https://www.frbservices.org/resources/financial-services/wires</x:v>
      </x:c>
    </x:row>
    <x:row r="108">
      <x:c r="A108" s="51" t="str">
        <x:v>SRC-104</x:v>
      </x:c>
      <x:c r="B108" s="51" t="str">
        <x:v>CLS</x:v>
      </x:c>
      <x:c r="C108" s="51" t="str">
        <x:v>FX Settlement Infrastructure</x:v>
      </x:c>
      <x:c r="D108" s="51" t="str">
        <x:v>Current</x:v>
      </x:c>
      <x:c r="E108" s="51" t="str">
        <x:v>Official system page</x:v>
      </x:c>
      <x:c r="F108" s="51" t="str">
        <x:v>A</x:v>
      </x:c>
      <x:c r="G108" s="51" t="str">
        <x:v>https://www.cls-group.com/products/settlement/</x:v>
      </x:c>
    </x:row>
    <x:row r="109">
      <x:c r="A109" s="51" t="str">
        <x:v>SRC-105</x:v>
      </x:c>
      <x:c r="B109" s="51" t="str">
        <x:v>CLS</x:v>
      </x:c>
      <x:c r="C109" s="51" t="str">
        <x:v>Annual Report 2025</x:v>
      </x:c>
      <x:c r="D109" s="51" t="str">
        <x:v>2026-06-08</x:v>
      </x:c>
      <x:c r="E109" s="51" t="str">
        <x:v>Official annual-report page</x:v>
      </x:c>
      <x:c r="F109" s="51" t="str">
        <x:v>A</x:v>
      </x:c>
      <x:c r="G109" s="51" t="str">
        <x:v>https://www.cls-group.com/about/annual-report-2025/annual-report-2025/</x:v>
      </x:c>
    </x:row>
    <x:row r="110">
      <x:c r="A110" s="51" t="str">
        <x:v>SRC-106</x:v>
      </x:c>
      <x:c r="B110" s="51" t="str">
        <x:v>US Treasury OFAC</x:v>
      </x:c>
      <x:c r="C110" s="51" t="str">
        <x:v>About OFAC</x:v>
      </x:c>
      <x:c r="D110" s="51" t="str">
        <x:v>Current</x:v>
      </x:c>
      <x:c r="E110" s="51" t="str">
        <x:v>Official agency page</x:v>
      </x:c>
      <x:c r="F110" s="51" t="str">
        <x:v>A</x:v>
      </x:c>
      <x:c r="G110" s="51" t="str">
        <x:v>https://ofac.treasury.gov/about-ofac</x:v>
      </x:c>
    </x:row>
    <x:row r="111">
      <x:c r="A111" s="51" t="str">
        <x:v>SRC-107</x:v>
      </x:c>
      <x:c r="B111" s="51" t="str">
        <x:v>US Treasury OFAC</x:v>
      </x:c>
      <x:c r="C111" s="51" t="str">
        <x:v>Sanctions Programs and Country Information</x:v>
      </x:c>
      <x:c r="D111" s="51" t="str">
        <x:v>Current</x:v>
      </x:c>
      <x:c r="E111" s="51" t="str">
        <x:v>Official agency page</x:v>
      </x:c>
      <x:c r="F111" s="51" t="str">
        <x:v>A</x:v>
      </x:c>
      <x:c r="G111" s="51" t="str">
        <x:v>https://ofac.treasury.gov/sanctions-programs-and-country-information</x:v>
      </x:c>
    </x:row>
    <x:row r="112">
      <x:c r="A112" s="51" t="str">
        <x:v>SRC-108</x:v>
      </x:c>
      <x:c r="B112" s="51" t="str">
        <x:v>Euroclear</x:v>
      </x:c>
      <x:c r="C112" s="51" t="str">
        <x:v>Euroclear H1 2026 Results</x:v>
      </x:c>
      <x:c r="D112" s="51" t="str">
        <x:v>2026-07-17</x:v>
      </x:c>
      <x:c r="E112" s="51" t="str">
        <x:v>Official financial release</x:v>
      </x:c>
      <x:c r="F112" s="51" t="str">
        <x:v>A</x:v>
      </x:c>
      <x:c r="G112" s="51" t="str">
        <x:v>https://www.euroclear.com/newsandinsights/en/press/2026/mr-20-euroclear-h1-2026-results.html</x:v>
      </x:c>
    </x:row>
    <x:row r="113">
      <x:c r="A113" s="51" t="str">
        <x:v>SRC-109</x:v>
      </x:c>
      <x:c r="B113" s="51" t="str">
        <x:v>Euroclear</x:v>
      </x:c>
      <x:c r="C113" s="51" t="str">
        <x:v>Euroclear Q1 2026 Results</x:v>
      </x:c>
      <x:c r="D113" s="51" t="str">
        <x:v>2026-05-08</x:v>
      </x:c>
      <x:c r="E113" s="51" t="str">
        <x:v>Official financial release</x:v>
      </x:c>
      <x:c r="F113" s="51" t="str">
        <x:v>A</x:v>
      </x:c>
      <x:c r="G113" s="51" t="str">
        <x:v>https://www.euroclear.com/newsandinsights/en/press/2026/mr-12-euroclear-delivers-q1-2026-results.html</x:v>
      </x:c>
    </x:row>
    <x:row r="114">
      <x:c r="A114" s="51" t="str">
        <x:v>SRC-110</x:v>
      </x:c>
      <x:c r="B114" s="51" t="str">
        <x:v>Euroclear</x:v>
      </x:c>
      <x:c r="C114" s="51" t="str">
        <x:v>Update on Russian Sanctioned Assets</x:v>
      </x:c>
      <x:c r="D114" s="51" t="str">
        <x:v>2026-05-18</x:v>
      </x:c>
      <x:c r="E114" s="51" t="str">
        <x:v>Official status statement</x:v>
      </x:c>
      <x:c r="F114" s="51" t="str">
        <x:v>A</x:v>
      </x:c>
      <x:c r="G114" s="51" t="str">
        <x:v>https://www.euroclear.com/newsandinsights/en/Format/Articles/russia-our-current-status/update-on-russian-sanctioned-assets-may-2026.html</x:v>
      </x:c>
    </x:row>
    <x:row r="115">
      <x:c r="A115" s="51" t="str">
        <x:v>SRC-111</x:v>
      </x:c>
      <x:c r="B115" s="51" t="str">
        <x:v>Visa</x:v>
      </x:c>
      <x:c r="C115" s="51" t="str">
        <x:v>Visa 2025 Annual Report</x:v>
      </x:c>
      <x:c r="D115" s="51" t="str">
        <x:v>2025</x:v>
      </x:c>
      <x:c r="E115" s="51" t="str">
        <x:v>Official annual report</x:v>
      </x:c>
      <x:c r="F115" s="51" t="str">
        <x:v>A</x:v>
      </x:c>
      <x:c r="G115" s="51" t="str">
        <x:v>https://annualreport.visa.com/home/default.aspx</x:v>
      </x:c>
    </x:row>
    <x:row r="116">
      <x:c r="A116" s="51" t="str">
        <x:v>SRC-112</x:v>
      </x:c>
      <x:c r="B116" s="51" t="str">
        <x:v>Mastercard</x:v>
      </x:c>
      <x:c r="C116" s="51" t="str">
        <x:v>2025 Annual Letter to Shareholders</x:v>
      </x:c>
      <x:c r="D116" s="51" t="str">
        <x:v>2026</x:v>
      </x:c>
      <x:c r="E116" s="51" t="str">
        <x:v>Official annual letter</x:v>
      </x:c>
      <x:c r="F116" s="51" t="str">
        <x:v>A</x:v>
      </x:c>
      <x:c r="G116" s="51" t="str">
        <x:v>https://www.mastercard.com/content/mccom/global/en/news-and-trends/stories/2026/Michael-Miebach-ceo-2025-annual-letter-to-shareholders.html</x:v>
      </x:c>
    </x:row>
    <x:row r="117">
      <x:c r="A117" s="51" t="str">
        <x:v>SRC-113</x:v>
      </x:c>
      <x:c r="B117" s="51" t="str">
        <x:v>US Treasury</x:v>
      </x:c>
      <x:c r="C117" s="51" t="str">
        <x:v>Proposed Rule to Implement GENIUS Act Stablecoin Obligations</x:v>
      </x:c>
      <x:c r="D117" s="51" t="str">
        <x:v>2026-04-08</x:v>
      </x:c>
      <x:c r="E117" s="51" t="str">
        <x:v>Official rulemaking release</x:v>
      </x:c>
      <x:c r="F117" s="51" t="str">
        <x:v>A</x:v>
      </x:c>
      <x:c r="G117" s="51" t="str">
        <x:v>https://home.treasury.gov/news/press-releases/sb0435</x:v>
      </x:c>
    </x:row>
    <x:row r="118">
      <x:c r="A118" s="51" t="str">
        <x:v>SRC-114</x:v>
      </x:c>
      <x:c r="B118" s="51" t="str">
        <x:v>Circle / SEC EDGAR</x:v>
      </x:c>
      <x:c r="C118" s="51" t="str">
        <x:v>Circle 2025 Form 10-K</x:v>
      </x:c>
      <x:c r="D118" s="51" t="str">
        <x:v>2026</x:v>
      </x:c>
      <x:c r="E118" s="51" t="str">
        <x:v>Regulatory filing</x:v>
      </x:c>
      <x:c r="F118" s="51" t="str">
        <x:v>A</x:v>
      </x:c>
      <x:c r="G118" s="51" t="str">
        <x:v>https://www.sec.gov/Archives/edgar/data/1876042/000187604226000062/crcl-20251231.htm</x:v>
      </x:c>
    </x:row>
    <x:row r="119">
      <x:c r="A119" s="51" t="str">
        <x:v>SRC-115</x:v>
      </x:c>
      <x:c r="B119" s="51" t="str">
        <x:v>Circle</x:v>
      </x:c>
      <x:c r="C119" s="51" t="str">
        <x:v>Transparency and Stability</x:v>
      </x:c>
      <x:c r="D119" s="51" t="str">
        <x:v>Current</x:v>
      </x:c>
      <x:c r="E119" s="51" t="str">
        <x:v>Company transparency page</x:v>
      </x:c>
      <x:c r="F119" s="51" t="str">
        <x:v>B</x:v>
      </x:c>
      <x:c r="G119" s="51" t="str">
        <x:v>https://www.circle.com/transparency</x:v>
      </x:c>
    </x:row>
    <x:row r="120">
      <x:c r="A120" s="51" t="str">
        <x:v>SRC-116</x:v>
      </x:c>
      <x:c r="B120" s="51" t="str">
        <x:v>Tether</x:v>
      </x:c>
      <x:c r="C120" s="51" t="str">
        <x:v>Tether Supports Freeze of More Than $344 Million in USDT</x:v>
      </x:c>
      <x:c r="D120" s="51" t="str">
        <x:v>2026-04-23</x:v>
      </x:c>
      <x:c r="E120" s="51" t="str">
        <x:v>Official company enforcement release</x:v>
      </x:c>
      <x:c r="F120" s="51" t="str">
        <x:v>B</x:v>
      </x:c>
      <x:c r="G120" s="51" t="str">
        <x:v>https://tether.io/news/tether-supports-freeze-of-more-than-344-million-in-usdt-in-coordination-with-ofac-and-u-s-law-enforcement/</x:v>
      </x:c>
    </x:row>
    <x:row r="121">
      <x:c r="A121" s="51" t="str">
        <x:v>SRC-117</x:v>
      </x:c>
      <x:c r="B121" s="51" t="str">
        <x:v>Reuters</x:v>
      </x:c>
      <x:c r="C121" s="51" t="str">
        <x:v>Tether says it has frozen $4.2 billion over crime links</x:v>
      </x:c>
      <x:c r="D121" s="51" t="str">
        <x:v>2026-02-27</x:v>
      </x:c>
      <x:c r="E121" s="51" t="str">
        <x:v>News report</x:v>
      </x:c>
      <x:c r="F121" s="51" t="str">
        <x:v>A</x:v>
      </x:c>
      <x:c r="G121" s="51" t="str">
        <x:v>https://www.reuters.com/sustainability/boards-policy-regulation/tether-says-it-has-frozen-42-billion-its-stablecoin-over-crime-links-2026-02-27/</x:v>
      </x:c>
    </x:row>
    <x:row r="122">
      <x:c r="A122" s="51" t="str">
        <x:v>SRC-118</x:v>
      </x:c>
      <x:c r="B122" s="51" t="str">
        <x:v>Coinbase</x:v>
      </x:c>
      <x:c r="C122" s="51" t="str">
        <x:v>Coinbase Is Helping Governments Engage with Crypto</x:v>
      </x:c>
      <x:c r="D122" s="51" t="str">
        <x:v>2025-03-12</x:v>
      </x:c>
      <x:c r="E122" s="51" t="str">
        <x:v>Company service page</x:v>
      </x:c>
      <x:c r="F122" s="51" t="str">
        <x:v>B</x:v>
      </x:c>
      <x:c r="G122" s="51" t="str">
        <x:v>https://www.coinbase.com/blog/Coinbase-is-helping-governments-engage-with-crypto</x:v>
      </x:c>
    </x:row>
    <x:row r="123">
      <x:c r="A123" s="51" t="str">
        <x:v>SRC-119</x:v>
      </x:c>
      <x:c r="B123" s="51" t="str">
        <x:v>SAM.gov</x:v>
      </x:c>
      <x:c r="C123" s="51" t="str">
        <x:v>Cryptocurrency Managed Services Contract</x:v>
      </x:c>
      <x:c r="D123" s="51" t="str">
        <x:v>2024-07-01</x:v>
      </x:c>
      <x:c r="E123" s="51" t="str">
        <x:v>Official procurement record</x:v>
      </x:c>
      <x:c r="F123" s="51" t="str">
        <x:v>A</x:v>
      </x:c>
      <x:c r="G123" s="51" t="str">
        <x:v>https://sam.gov/opp/b0373332814e4eaa85abab779d54317b/view</x:v>
      </x:c>
    </x:row>
    <x:row r="124">
      <x:c r="A124" s="51" t="str">
        <x:v>SRC-120</x:v>
      </x:c>
      <x:c r="B124" s="51" t="str">
        <x:v>Brookfield</x:v>
      </x:c>
      <x:c r="C124" s="51" t="str">
        <x:v>Brookfield Launches $100 Billion AI Infrastructure Program</x:v>
      </x:c>
      <x:c r="D124" s="51" t="str">
        <x:v>2025-11-19</x:v>
      </x:c>
      <x:c r="E124" s="51" t="str">
        <x:v>Official investment announcement</x:v>
      </x:c>
      <x:c r="F124" s="51" t="str">
        <x:v>A</x:v>
      </x:c>
      <x:c r="G124" s="51" t="str">
        <x:v>https://bam.brookfield.com/press-releases/brookfield-launches-100-billion-ai-infrastructure-program</x:v>
      </x:c>
    </x:row>
    <x:row r="125">
      <x:c r="A125" s="51" t="str">
        <x:v>SRC-121</x:v>
      </x:c>
      <x:c r="B125" s="51" t="str">
        <x:v>Bloom Energy</x:v>
      </x:c>
      <x:c r="C125" s="51" t="str">
        <x:v>Brookfield and Bloom Expand AI Infrastructure Partnership to $25 Billion</x:v>
      </x:c>
      <x:c r="D125" s="51" t="str">
        <x:v>2026-06-30</x:v>
      </x:c>
      <x:c r="E125" s="51" t="str">
        <x:v>Official partnership announcement</x:v>
      </x:c>
      <x:c r="F125" s="51" t="str">
        <x:v>A</x:v>
      </x:c>
      <x:c r="G125" s="51" t="str">
        <x:v>https://investor.bloomenergy.com/press-releases/press-release-details/2026/Brookfield-and-Bloom-Energy-Expand-AI-Infrastructure-Partnership-to-25-Billion-Fivefold-Increase-to-Build-and-Finance-Rapid-Power-for-AI-Infrastructure/default.aspx</x:v>
      </x:c>
    </x:row>
    <x:row r="126">
      <x:c r="A126" s="51" t="str">
        <x:v>SRC-122</x:v>
      </x:c>
      <x:c r="B126" s="51" t="str">
        <x:v>Energy Capital Partners / KKR</x:v>
      </x:c>
      <x:c r="C126" s="51" t="str">
        <x:v>Hyperscale Data Center Campus in Texas</x:v>
      </x:c>
      <x:c r="D126" s="51" t="str">
        <x:v>2025-07-30</x:v>
      </x:c>
      <x:c r="E126" s="51" t="str">
        <x:v>Official partnership announcement</x:v>
      </x:c>
      <x:c r="F126" s="51" t="str">
        <x:v>A</x:v>
      </x:c>
      <x:c r="G126" s="51" t="str">
        <x:v>https://www.ecpgp.com/about/news-and-insights/press-releases/2025/energy-capital-partners--ecp--and-kkr-announce-development-of-hy</x:v>
      </x:c>
    </x:row>
    <x:row r="127">
      <x:c r="A127" s="51" t="str">
        <x:v>SRC-123</x:v>
      </x:c>
      <x:c r="B127" s="51" t="str">
        <x:v>Apollo</x:v>
      </x:c>
      <x:c r="C127" s="51" t="str">
        <x:v>Apollo Backs Valor and xAI Data Center Compute Infrastructure</x:v>
      </x:c>
      <x:c r="D127" s="51" t="str">
        <x:v>2026-01-07</x:v>
      </x:c>
      <x:c r="E127" s="51" t="str">
        <x:v>Official financing announcement</x:v>
      </x:c>
      <x:c r="F127" s="51" t="str">
        <x:v>A</x:v>
      </x:c>
      <x:c r="G127" s="51" t="str">
        <x:v>https://www.apollo.com/insights-news/pressreleases/2026/01/apollo-backs-5-4-billion-valor-and-xai-data-center-compute-infrastructure-transaction-with-3-5-billion-capital-solution-3214463</x:v>
      </x:c>
    </x:row>
    <x:row r="128">
      <x:c r="A128" s="51" t="str">
        <x:v>SRC-124</x:v>
      </x:c>
      <x:c r="B128" s="51" t="str">
        <x:v>Reuters</x:v>
      </x:c>
      <x:c r="C128" s="51" t="str">
        <x:v>Nvidia in talks with OpenAI to guarantee $250 billion financing for data center</x:v>
      </x:c>
      <x:c r="D128" s="51" t="str">
        <x:v>2026-07-26</x:v>
      </x:c>
      <x:c r="E128" s="51" t="str">
        <x:v>News report</x:v>
      </x:c>
      <x:c r="F128" s="51" t="str">
        <x:v>A</x:v>
      </x:c>
      <x:c r="G128" s="51" t="str">
        <x:v>https://www.reuters.com/business/media-telecom/nvidia-talks-with-openai-guarantee-250-billion-financing-data-center-wsj-reports-2026-07-26/</x:v>
      </x:c>
    </x:row>
    <x:row r="129">
      <x:c r="A129" s="51" t="str">
        <x:v>SRC-125</x:v>
      </x:c>
      <x:c r="B129" s="51" t="str">
        <x:v>Reuters</x:v>
      </x:c>
      <x:c r="C129" s="51" t="str">
        <x:v>Nvidia and SK Group unveil $500 billion-plus AI initiative</x:v>
      </x:c>
      <x:c r="D129" s="51" t="str">
        <x:v>2026-07-24</x:v>
      </x:c>
      <x:c r="E129" s="51" t="str">
        <x:v>News report</x:v>
      </x:c>
      <x:c r="F129" s="51" t="str">
        <x:v>A</x:v>
      </x:c>
      <x:c r="G129" s="51" t="str">
        <x:v>https://www.reuters.com/business/media-telecom/nvidia-sk-group-unveil-500-billion-plus-ai-data-centers-initiative-memory-2026-07-24/</x:v>
      </x:c>
    </x:row>
    <x:row r="130">
      <x:c r="A130" s="51" t="str">
        <x:v>SRC-126</x:v>
      </x:c>
      <x:c r="B130" s="51" t="str">
        <x:v>US Department of Defense</x:v>
      </x:c>
      <x:c r="C130" s="51" t="str">
        <x:v>Anduril $20 Billion Army Contract</x:v>
      </x:c>
      <x:c r="D130" s="51" t="str">
        <x:v>2026-03-13</x:v>
      </x:c>
      <x:c r="E130" s="51" t="str">
        <x:v>Official contract announcement</x:v>
      </x:c>
      <x:c r="F130" s="51" t="str">
        <x:v>A</x:v>
      </x:c>
      <x:c r="G130" s="51" t="str">
        <x:v>https://www.war.gov/News/Contracts/Contract/Article/4434754/contracts-for-march-13-2026/</x:v>
      </x:c>
    </x:row>
    <x:row r="131">
      <x:c r="A131" s="51" t="str">
        <x:v>SRC-127</x:v>
      </x:c>
      <x:c r="B131" s="51" t="str">
        <x:v>Reuters</x:v>
      </x:c>
      <x:c r="C131" s="51" t="str">
        <x:v>Meta investment in Scale AI</x:v>
      </x:c>
      <x:c r="D131" s="51" t="str">
        <x:v>2025-06-13</x:v>
      </x:c>
      <x:c r="E131" s="51" t="str">
        <x:v>News report</x:v>
      </x:c>
      <x:c r="F131" s="51" t="str">
        <x:v>A</x:v>
      </x:c>
      <x:c r="G131" s="51" t="str">
        <x:v>https://www.reuters.com/business/finance/meta-finalizes-investment-scale-ai-valuing-startup-29-billion-2025-06-13/</x:v>
      </x:c>
    </x:row>
    <x:row r="132">
      <x:c r="A132" s="51" t="str">
        <x:v>SRC-128</x:v>
      </x:c>
      <x:c r="B132" s="51" t="str">
        <x:v>Palantir</x:v>
      </x:c>
      <x:c r="C132" s="51" t="str">
        <x:v>Palantir Collaboration with Lockheed Martin</x:v>
      </x:c>
      <x:c r="D132" s="51" t="str">
        <x:v>Current</x:v>
      </x:c>
      <x:c r="E132" s="51" t="str">
        <x:v>Official company newsroom</x:v>
      </x:c>
      <x:c r="F132" s="51" t="str">
        <x:v>B</x:v>
      </x:c>
      <x:c r="G132" s="51" t="str">
        <x:v>https://www.palantir.com/newsroom/press-releases/</x:v>
      </x:c>
    </x:row>
    <x:row r="133">
      <x:c r="A133" s="51" t="str">
        <x:v>SRC-129</x:v>
      </x:c>
      <x:c r="B133" s="51" t="str">
        <x:v>Palantir / GE Aerospace</x:v>
      </x:c>
      <x:c r="C133" s="51" t="str">
        <x:v>GE Aerospace and Palantir Expand Military Readiness Partnership</x:v>
      </x:c>
      <x:c r="D133" s="51" t="str">
        <x:v>2026-03-12</x:v>
      </x:c>
      <x:c r="E133" s="51" t="str">
        <x:v>Official partnership announcement</x:v>
      </x:c>
      <x:c r="F133" s="51" t="str">
        <x:v>B</x:v>
      </x:c>
      <x:c r="G133" s="51" t="str">
        <x:v>https://investors.palantir.com/news-details/2026/GE-Aerospace-and-Palantir-Expand-Partnership-to-Transform-Military-Aircraft-Readiness-with-AI/</x:v>
      </x:c>
    </x:row>
    <x:row r="134">
      <x:c r="A134" s="51" t="str">
        <x:v>SRC-130</x:v>
      </x:c>
      <x:c r="B134" s="51" t="str">
        <x:v>Reuters</x:v>
      </x:c>
      <x:c r="C134" s="51" t="str">
        <x:v>Companies race to deliver autonomous uncrewed fighter jets</x:v>
      </x:c>
      <x:c r="D134" s="51" t="str">
        <x:v>2026-07-22</x:v>
      </x:c>
      <x:c r="E134" s="51" t="str">
        <x:v>News report</x:v>
      </x:c>
      <x:c r="F134" s="51" t="str">
        <x:v>A</x:v>
      </x:c>
      <x:c r="G134" s="51" t="str">
        <x:v>https://www.reuters.com/business/aerospace-defense/companies-race-deliver-autonomous-uncrewed-fighter-jets-2026-07-22/</x:v>
      </x:c>
    </x:row>
    <x:row r="135">
      <x:c r="A135" s="51" t="str">
        <x:v>SRC-131</x:v>
      </x:c>
      <x:c r="B135" s="51" t="str">
        <x:v>Reuters</x:v>
      </x:c>
      <x:c r="C135" s="51" t="str">
        <x:v>Vitol 2025 turnover and energy deliveries</x:v>
      </x:c>
      <x:c r="D135" s="51" t="str">
        <x:v>2026-03-24</x:v>
      </x:c>
      <x:c r="E135" s="51" t="str">
        <x:v>News report</x:v>
      </x:c>
      <x:c r="F135" s="51" t="str">
        <x:v>A</x:v>
      </x:c>
      <x:c r="G135" s="51" t="str">
        <x:v>https://www.reuters.com/business/energy/vitol-2025-turnover-rises-343-billion-2026-03-24/</x:v>
      </x:c>
    </x:row>
    <x:row r="136">
      <x:c r="A136" s="51" t="str">
        <x:v>SRC-132</x:v>
      </x:c>
      <x:c r="B136" s="51" t="str">
        <x:v>Maersk</x:v>
      </x:c>
      <x:c r="C136" s="51" t="str">
        <x:v>Maersk upgrades full-year 2026 guidance</x:v>
      </x:c>
      <x:c r="D136" s="51" t="str">
        <x:v>2026-06-29</x:v>
      </x:c>
      <x:c r="E136" s="51" t="str">
        <x:v>Official company release</x:v>
      </x:c>
      <x:c r="F136" s="51" t="str">
        <x:v>A</x:v>
      </x:c>
      <x:c r="G136" s="51" t="str">
        <x:v>https://www.maersk.com/news/articles/2026/06/29/maersk-upgrades-guidance-for-full-year-2026</x:v>
      </x:c>
    </x:row>
    <x:row r="137">
      <x:c r="A137" s="51" t="str">
        <x:v>SRC-133</x:v>
      </x:c>
      <x:c r="B137" s="51" t="str">
        <x:v>Lloyds Market Association</x:v>
      </x:c>
      <x:c r="C137" s="51" t="str">
        <x:v>Marine insurance market confronts a new era of risk</x:v>
      </x:c>
      <x:c r="D137" s="51" t="str">
        <x:v>2026-01-09</x:v>
      </x:c>
      <x:c r="E137" s="51" t="str">
        <x:v>Industry association analysis</x:v>
      </x:c>
      <x:c r="F137" s="51" t="str">
        <x:v>B</x:v>
      </x:c>
      <x:c r="G137" s="51" t="str">
        <x:v>https://lmalloyds.com/red-flags-on-the-horizon-the-marine-insurance-market-confronts-a-new-era-of-risk/</x:v>
      </x:c>
    </x:row>
    <x:row r="138">
      <x:c r="A138" s="51" t="str">
        <x:v>SRC-134</x:v>
      </x:c>
      <x:c r="B138" s="51" t="str">
        <x:v>LexisNexis Risk Solutions</x:v>
      </x:c>
      <x:c r="C138" s="51" t="str">
        <x:v>Government Data, Analytics and Linking Technology</x:v>
      </x:c>
      <x:c r="D138" s="51" t="str">
        <x:v>Current</x:v>
      </x:c>
      <x:c r="E138" s="51" t="str">
        <x:v>Company government-solutions page</x:v>
      </x:c>
      <x:c r="F138" s="51" t="str">
        <x:v>B</x:v>
      </x:c>
      <x:c r="G138" s="51" t="str">
        <x:v>https://risk.lexisnexis.com/government</x:v>
      </x:c>
    </x:row>
    <x:row r="139">
      <x:c r="A139" s="51" t="str">
        <x:v>SRC-135</x:v>
      </x:c>
      <x:c r="B139" s="51" t="str">
        <x:v>UK Government</x:v>
      </x:c>
      <x:c r="C139" s="51" t="str">
        <x:v>Digital Identity Sectoral Analysis Report 2026</x:v>
      </x:c>
      <x:c r="D139" s="51" t="str">
        <x:v>2026-07-08</x:v>
      </x:c>
      <x:c r="E139" s="51" t="str">
        <x:v>Official government report page</x:v>
      </x:c>
      <x:c r="F139" s="51" t="str">
        <x:v>A</x:v>
      </x:c>
      <x:c r="G139" s="51" t="str">
        <x:v>https://www.gov.uk/government/publications/digital-identity-sectoral-analysis-report-2026/digital-identity-sectoral-analysis-report-2026</x:v>
      </x:c>
    </x:row>
    <x:row r="140">
      <x:c r="A140" s="51" t="str">
        <x:v>SRC-136</x:v>
      </x:c>
      <x:c r="B140" s="51" t="str">
        <x:v>TransUnion</x:v>
      </x:c>
      <x:c r="C140" s="51" t="str">
        <x:v>Privacy Notice for TransUnion Consumer Interactive</x:v>
      </x:c>
      <x:c r="D140" s="51" t="str">
        <x:v>Current</x:v>
      </x:c>
      <x:c r="E140" s="51" t="str">
        <x:v>Company legal notice</x:v>
      </x:c>
      <x:c r="F140" s="51" t="str">
        <x:v>B</x:v>
      </x:c>
      <x:c r="G140" s="51" t="str">
        <x:v>https://www.transunion.com/privacy/consumer-interactive</x:v>
      </x:c>
    </x:row>
    <x:row r="141">
      <x:c r="A141" s="51" t="str">
        <x:v>SRC-137</x:v>
      </x:c>
      <x:c r="B141" s="51" t="str">
        <x:v>S&amp;P Global Ratings</x:v>
      </x:c>
      <x:c r="C141" s="51" t="str">
        <x:v>Understanding Credit Ratings</x:v>
      </x:c>
      <x:c r="D141" s="51" t="str">
        <x:v>Current</x:v>
      </x:c>
      <x:c r="E141" s="51" t="str">
        <x:v>Official methodology explainer</x:v>
      </x:c>
      <x:c r="F141" s="51" t="str">
        <x:v>A</x:v>
      </x:c>
      <x:c r="G141" s="51" t="str">
        <x:v>https://www.spglobal.com/ratings/en/credit-ratings/about/understanding-credit-ratings</x:v>
      </x:c>
    </x:row>
    <x:row r="142">
      <x:c r="A142" s="51" t="str">
        <x:v>SRC-138</x:v>
      </x:c>
      <x:c r="B142" s="51" t="str">
        <x:v>Moodys</x:v>
      </x:c>
      <x:c r="C142" s="51" t="str">
        <x:v>Sovereign Methodology Overview</x:v>
      </x:c>
      <x:c r="D142" s="51" t="str">
        <x:v>Current</x:v>
      </x:c>
      <x:c r="E142" s="51" t="str">
        <x:v>Official methodology page</x:v>
      </x:c>
      <x:c r="F142" s="51" t="str">
        <x:v>A</x:v>
      </x:c>
      <x:c r="G142" s="51" t="str">
        <x:v>https://www.moodys.com/web/en/us/solutions/ratings/sovereign-methodology-overview.html</x:v>
      </x:c>
    </x:row>
    <x:row r="143">
      <x:c r="A143" s="51" t="str">
        <x:v>SRC-139</x:v>
      </x:c>
      <x:c r="B143" s="51" t="str">
        <x:v>Fitch Ratings</x:v>
      </x:c>
      <x:c r="C143" s="51" t="str">
        <x:v>Sovereigns</x:v>
      </x:c>
      <x:c r="D143" s="51" t="str">
        <x:v>Current</x:v>
      </x:c>
      <x:c r="E143" s="51" t="str">
        <x:v>Official sovereign-ratings page</x:v>
      </x:c>
      <x:c r="F143" s="51" t="str">
        <x:v>A</x:v>
      </x:c>
      <x:c r="G143" s="51" t="str">
        <x:v>https://www.fitchratings.com/sovereigns</x:v>
      </x:c>
    </x:row>
    <x:row r="144">
      <x:c r="A144" s="51" t="str">
        <x:v>SRC-140</x:v>
      </x:c>
      <x:c r="B144" s="51" t="str">
        <x:v>Financial Reporting Council</x:v>
      </x:c>
      <x:c r="C144" s="51" t="str">
        <x:v>Key Facts and Trends in the Accountancy Profession 2025</x:v>
      </x:c>
      <x:c r="D144" s="51" t="str">
        <x:v>2025-10-15</x:v>
      </x:c>
      <x:c r="E144" s="51" t="str">
        <x:v>Official market report</x:v>
      </x:c>
      <x:c r="F144" s="51" t="str">
        <x:v>A</x:v>
      </x:c>
      <x:c r="G144" s="51" t="str">
        <x:v>https://www.frc.org.uk/library/supervision/professional-bodies-supervision/key-facts-and-trends-in-the-accountancy-profession/key-facts-and-trends-in-the-accountancy-profession-2025/</x:v>
      </x:c>
    </x:row>
    <x:row r="145">
      <x:c r="A145" s="51" t="str">
        <x:v>SRC-141</x:v>
      </x:c>
      <x:c r="B145" s="51" t="str">
        <x:v>Financial Reporting Council</x:v>
      </x:c>
      <x:c r="C145" s="51" t="str">
        <x:v>Audit Firm Specific Reports and 2026 Annual Review transition</x:v>
      </x:c>
      <x:c r="D145" s="51" t="str">
        <x:v>2026</x:v>
      </x:c>
      <x:c r="E145" s="51" t="str">
        <x:v>Official supervisory page</x:v>
      </x:c>
      <x:c r="F145" s="51" t="str">
        <x:v>A</x:v>
      </x:c>
      <x:c r="G145" s="51" t="str">
        <x:v>https://www.frc.org.uk/library/supervision/audit-supervision-reports/tier-1-audit-firms/</x:v>
      </x:c>
    </x:row>
    <x:row r="146">
      <x:c r="A146" s="51" t="str">
        <x:v>SRC-142</x:v>
      </x:c>
      <x:c r="B146" s="51" t="str">
        <x:v>Financial Reporting Council</x:v>
      </x:c>
      <x:c r="C146" s="51" t="str">
        <x:v>Guidance on AI use in audit</x:v>
      </x:c>
      <x:c r="D146" s="51" t="str">
        <x:v>2025-06-26</x:v>
      </x:c>
      <x:c r="E146" s="51" t="str">
        <x:v>Official guidance release</x:v>
      </x:c>
      <x:c r="F146" s="51" t="str">
        <x:v>A</x:v>
      </x:c>
      <x:c r="G146" s="51" t="str">
        <x:v>https://www.frc.org.uk/news-and-events/news/2025/06/frc-publishes-landmark-guidance-providing-clarity-to-audit-profession-on-the-uses-of-ai/</x:v>
      </x:c>
    </x:row>
    <x:row r="147">
      <x:c r="A147" s="51" t="str">
        <x:v>SRC-143</x:v>
      </x:c>
      <x:c r="B147" s="51" t="str">
        <x:v>Meta</x:v>
      </x:c>
      <x:c r="C147" s="51" t="str">
        <x:v>Ads about Social Issues, Elections or Politics</x:v>
      </x:c>
      <x:c r="D147" s="51" t="str">
        <x:v>Current</x:v>
      </x:c>
      <x:c r="E147" s="51" t="str">
        <x:v>Platform policy page</x:v>
      </x:c>
      <x:c r="F147" s="51" t="str">
        <x:v>B</x:v>
      </x:c>
      <x:c r="G147" s="51" t="str">
        <x:v>https://transparency.meta.com/policies/ad-standards/SIEP-advertising/SIEP/</x:v>
      </x:c>
    </x:row>
    <x:row r="148">
      <x:c r="A148" s="51" t="str">
        <x:v>SRC-144</x:v>
      </x:c>
      <x:c r="B148" s="51" t="str">
        <x:v>TikTok</x:v>
      </x:c>
      <x:c r="C148" s="51" t="str">
        <x:v>Politics, Governments and Elections Advertising Policy</x:v>
      </x:c>
      <x:c r="D148" s="51" t="str">
        <x:v>Current</x:v>
      </x:c>
      <x:c r="E148" s="51" t="str">
        <x:v>Platform policy page</x:v>
      </x:c>
      <x:c r="F148" s="51" t="str">
        <x:v>B</x:v>
      </x:c>
      <x:c r="G148" s="51" t="str">
        <x:v>https://ads.tiktok.com/help/article/tiktok-ads-policy-politics-government-and-elections</x:v>
      </x:c>
    </x:row>
    <x:row r="149">
      <x:c r="A149" s="51" t="str">
        <x:v>SRC-145</x:v>
      </x:c>
      <x:c r="B149" s="51" t="str">
        <x:v>Global Trade Review</x:v>
      </x:c>
      <x:c r="C149" s="51" t="str">
        <x:v>Commodity Finance in the Age of Uncertainty</x:v>
      </x:c>
      <x:c r="D149" s="51" t="str">
        <x:v>2026-03-05</x:v>
      </x:c>
      <x:c r="E149" s="51" t="str">
        <x:v>Trade-finance analysis</x:v>
      </x:c>
      <x:c r="F149" s="51" t="str">
        <x:v>B</x:v>
      </x:c>
      <x:c r="G149" s="51" t="str">
        <x:v>https://www.gtreview.com/magazine/gtr-issue-1-2026/commodity-finance-in-the-age-of-uncertainty/</x:v>
      </x:c>
    </x:row>
    <x:row r="150">
      <x:c r="A150" s="51" t="str">
        <x:v>SRC-146</x:v>
      </x:c>
      <x:c r="B150" s="51" t="str">
        <x:v>Reuters</x:v>
      </x:c>
      <x:c r="C150" s="51" t="str">
        <x:v>Refiners take larger share of Venezuela oil from traders</x:v>
      </x:c>
      <x:c r="D150" s="51" t="str">
        <x:v>2026-07-21</x:v>
      </x:c>
      <x:c r="E150" s="51" t="str">
        <x:v>News report</x:v>
      </x:c>
      <x:c r="F150" s="51" t="str">
        <x:v>A</x:v>
      </x:c>
      <x:c r="G150" s="51" t="str">
        <x:v>https://www.reuters.com/business/energy/refiners-elbow-traders-take-larger-slice-venezuelas-oil-2026-07-21/</x:v>
      </x:c>
    </x:row>
    <x:row r="151">
      <x:c r="A151" s="51" t="str">
        <x:v>SRC-147</x:v>
      </x:c>
      <x:c r="B151" s="51" t="str">
        <x:v>US Bureau of Industry and Security</x:v>
      </x:c>
      <x:c r="C151" s="51" t="str">
        <x:v>Revised Semiconductor License Review Policy for China</x:v>
      </x:c>
      <x:c r="D151" s="51" t="str">
        <x:v>2026-01-13</x:v>
      </x:c>
      <x:c r="E151" s="51" t="str">
        <x:v>Official export-control release</x:v>
      </x:c>
      <x:c r="F151" s="51" t="str">
        <x:v>A</x:v>
      </x:c>
      <x:c r="G151" s="51" t="str">
        <x:v>https://www.bis.gov/press-release/department-commerce-revises-license-review-policy-semiconductors-exported-china</x:v>
      </x:c>
    </x:row>
    <x:row r="152">
      <x:c r="A152" s="51" t="str">
        <x:v>SRC-148</x:v>
      </x:c>
      <x:c r="B152" s="51" t="str">
        <x:v>US Bureau of Industry and Security</x:v>
      </x:c>
      <x:c r="C152" s="51" t="str">
        <x:v>Foundry Due Diligence and Advanced Semiconductor Controls</x:v>
      </x:c>
      <x:c r="D152" s="51" t="str">
        <x:v>2025-01-15</x:v>
      </x:c>
      <x:c r="E152" s="51" t="str">
        <x:v>Official export-control release</x:v>
      </x:c>
      <x:c r="F152" s="51" t="str">
        <x:v>A</x:v>
      </x:c>
      <x:c r="G152" s="51" t="str">
        <x:v>https://www.bis.gov/press-release/commerce-strengthens-restrictions-advanced-computing-semiconductors-enhance-foundry-due-diligence-prevent</x:v>
      </x:c>
    </x:row>
    <x:row r="153">
      <x:c r="A153" s="51" t="str">
        <x:v>SRC-149</x:v>
      </x:c>
      <x:c r="B153" s="51" t="str">
        <x:v>US Bureau of Industry and Security</x:v>
      </x:c>
      <x:c r="C153" s="51" t="str">
        <x:v>Rescission of AI Diffusion Rule and Strengthened Chip Guidance</x:v>
      </x:c>
      <x:c r="D153" s="51" t="str">
        <x:v>2025-05-13</x:v>
      </x:c>
      <x:c r="E153" s="51" t="str">
        <x:v>Official policy release</x:v>
      </x:c>
      <x:c r="F153" s="51" t="str">
        <x:v>A</x:v>
      </x:c>
      <x:c r="G153" s="51" t="str">
        <x:v>https://www.bis.gov/press-release/department-commerce-announces-rescission-biden-era-artificial-intelligence-diffusion-rule-strengthens</x:v>
      </x:c>
    </x:row>
    <x:row r="154">
      <x:c r="A154" s="51" t="str">
        <x:v>SRC-150</x:v>
      </x:c>
      <x:c r="B154" s="51" t="str">
        <x:v>ASML</x:v>
      </x:c>
      <x:c r="C154" s="51" t="str">
        <x:v>2025 Annual Report</x:v>
      </x:c>
      <x:c r="D154" s="51" t="str">
        <x:v>2026-02-25</x:v>
      </x:c>
      <x:c r="E154" s="51" t="str">
        <x:v>Official annual report page</x:v>
      </x:c>
      <x:c r="F154" s="51" t="str">
        <x:v>A</x:v>
      </x:c>
      <x:c r="G154" s="51" t="str">
        <x:v>https://www.asml.com/investors/annual-report/2025</x:v>
      </x:c>
    </x:row>
    <x:row r="155">
      <x:c r="A155" s="51" t="str">
        <x:v>SRC-151</x:v>
      </x:c>
      <x:c r="B155" s="51" t="str">
        <x:v>TSMC</x:v>
      </x:c>
      <x:c r="C155" s="51" t="str">
        <x:v>2025 Annual Report</x:v>
      </x:c>
      <x:c r="D155" s="51" t="str">
        <x:v>2026</x:v>
      </x:c>
      <x:c r="E155" s="51" t="str">
        <x:v>Official annual report</x:v>
      </x:c>
      <x:c r="F155" s="51" t="str">
        <x:v>A</x:v>
      </x:c>
      <x:c r="G155" s="51" t="str">
        <x:v>https://investor.tsmc.com/static/annualReports/2025/english/index.html</x:v>
      </x:c>
    </x:row>
    <x:row r="156">
      <x:c r="A156" s="51" t="str">
        <x:v>SRC-152</x:v>
      </x:c>
      <x:c r="B156" s="51" t="str">
        <x:v>Synopsys</x:v>
      </x:c>
      <x:c r="C156" s="51" t="str">
        <x:v>Statement on Lifting of Recent US Export Restrictions Related to China</x:v>
      </x:c>
      <x:c r="D156" s="51" t="str">
        <x:v>2025-07-02</x:v>
      </x:c>
      <x:c r="E156" s="51" t="str">
        <x:v>Official company statement</x:v>
      </x:c>
      <x:c r="F156" s="51" t="str">
        <x:v>A</x:v>
      </x:c>
      <x:c r="G156" s="51" t="str">
        <x:v>https://news.synopsys.com/2025-07-02-Synopsys-Issues-Statement-in-Connection-to-the-Lifting-of-Recent-U-S-Export-Restrictions-Related-to-China</x:v>
      </x:c>
    </x:row>
    <x:row r="157">
      <x:c r="A157" s="51" t="str">
        <x:v>SRC-153</x:v>
      </x:c>
      <x:c r="B157" s="51" t="str">
        <x:v>SEC EDGAR / Cadence</x:v>
      </x:c>
      <x:c r="C157" s="51" t="str">
        <x:v>Cadence 2025 Form 10-K</x:v>
      </x:c>
      <x:c r="D157" s="51" t="str">
        <x:v>2026</x:v>
      </x:c>
      <x:c r="E157" s="51" t="str">
        <x:v>Regulatory filing</x:v>
      </x:c>
      <x:c r="F157" s="51" t="str">
        <x:v>A</x:v>
      </x:c>
      <x:c r="G157" s="51" t="str">
        <x:v>https://www.sec.gov/Archives/edgar/data/813672/000081367226000016/cdns-20251231.htm</x:v>
      </x:c>
    </x:row>
    <x:row r="158">
      <x:c r="A158" s="51" t="str">
        <x:v>SRC-154</x:v>
      </x:c>
      <x:c r="B158" s="51" t="str">
        <x:v>Siemens</x:v>
      </x:c>
      <x:c r="C158" s="51" t="str">
        <x:v>Siemens EDA China Export-Control Update</x:v>
      </x:c>
      <x:c r="D158" s="51" t="str">
        <x:v>2025-07-03</x:v>
      </x:c>
      <x:c r="E158" s="51" t="str">
        <x:v>Official company statement</x:v>
      </x:c>
      <x:c r="F158" s="51" t="str">
        <x:v>A</x:v>
      </x:c>
      <x:c r="G158" s="51" t="str">
        <x:v>https://news.siemens.com/es-es/siemens-eda-china-update/</x:v>
      </x:c>
    </x:row>
    <x:row r="159">
      <x:c r="A159" s="51" t="str">
        <x:v>SRC-155</x:v>
      </x:c>
      <x:c r="B159" s="51" t="str">
        <x:v>Ansys / Synopsys</x:v>
      </x:c>
      <x:c r="C159" s="51" t="str">
        <x:v>Synopsys Completes Acquisition of Ansys</x:v>
      </x:c>
      <x:c r="D159" s="51" t="str">
        <x:v>2025-07-17</x:v>
      </x:c>
      <x:c r="E159" s="51" t="str">
        <x:v>Official transaction announcement</x:v>
      </x:c>
      <x:c r="F159" s="51" t="str">
        <x:v>A</x:v>
      </x:c>
      <x:c r="G159" s="51" t="str">
        <x:v>https://investors.ansys.com/news-releases/news-release-details/synopsys-completes-acquisition-ansys</x:v>
      </x:c>
    </x:row>
    <x:row r="160">
      <x:c r="A160" s="51" t="str">
        <x:v>SRC-156</x:v>
      </x:c>
      <x:c r="B160" s="51" t="str">
        <x:v>Meta</x:v>
      </x:c>
      <x:c r="C160" s="51" t="str">
        <x:v>Project Waterworth: Next-Generation Subsea Infrastructure</x:v>
      </x:c>
      <x:c r="D160" s="51" t="str">
        <x:v>2025-02-14</x:v>
      </x:c>
      <x:c r="E160" s="51" t="str">
        <x:v>Official engineering announcement</x:v>
      </x:c>
      <x:c r="F160" s="51" t="str">
        <x:v>A</x:v>
      </x:c>
      <x:c r="G160" s="51" t="str">
        <x:v>https://engineering.fb.com/2025/02/14/connectivity/project-waterworth-ai-subsea-infrastructure/</x:v>
      </x:c>
    </x:row>
    <x:row r="161">
      <x:c r="A161" s="51" t="str">
        <x:v>SRC-157</x:v>
      </x:c>
      <x:c r="B161" s="51" t="str">
        <x:v>Google Cloud</x:v>
      </x:c>
      <x:c r="C161" s="51" t="str">
        <x:v>Announcing Sol Transatlantic Cable</x:v>
      </x:c>
      <x:c r="D161" s="51" t="str">
        <x:v>2025-07-09</x:v>
      </x:c>
      <x:c r="E161" s="51" t="str">
        <x:v>Official infrastructure announcement</x:v>
      </x:c>
      <x:c r="F161" s="51" t="str">
        <x:v>A</x:v>
      </x:c>
      <x:c r="G161" s="51" t="str">
        <x:v>https://cloud.google.com/blog/products/infrastructure/announcing-sol-transatlantic-cable</x:v>
      </x:c>
    </x:row>
    <x:row r="162">
      <x:c r="A162" s="51" t="str">
        <x:v>SRC-158</x:v>
      </x:c>
      <x:c r="B162" s="51" t="str">
        <x:v>Reuters</x:v>
      </x:c>
      <x:c r="C162" s="51" t="str">
        <x:v>Google Connects Nuvem Transatlantic Cable to Portugal</x:v>
      </x:c>
      <x:c r="D162" s="51" t="str">
        <x:v>2026-07-21</x:v>
      </x:c>
      <x:c r="E162" s="51" t="str">
        <x:v>News report</x:v>
      </x:c>
      <x:c r="F162" s="51" t="str">
        <x:v>A</x:v>
      </x:c>
      <x:c r="G162" s="51" t="str">
        <x:v>https://www.reuters.com/business/media-telecom/google-connects-new-transatlantic-cable-between-portugal-us-2026-07-21/</x:v>
      </x:c>
    </x:row>
    <x:row r="163">
      <x:c r="A163" s="51" t="str">
        <x:v>SRC-159</x:v>
      </x:c>
      <x:c r="B163" s="51" t="str">
        <x:v>International Telecommunication Union</x:v>
      </x:c>
      <x:c r="C163" s="51" t="str">
        <x:v>Submarine Cable Resilience Backgrounder</x:v>
      </x:c>
      <x:c r="D163" s="51" t="str">
        <x:v>Current 2026</x:v>
      </x:c>
      <x:c r="E163" s="51" t="str">
        <x:v>Official infrastructure backgrounder</x:v>
      </x:c>
      <x:c r="F163" s="51" t="str">
        <x:v>A</x:v>
      </x:c>
      <x:c r="G163" s="51" t="str">
        <x:v>https://www.itu.int/en/mediacentre/backgrounders/Pages/submarine-cable-resilience.aspx</x:v>
      </x:c>
    </x:row>
    <x:row r="164">
      <x:c r="A164" s="51" t="str">
        <x:v>SRC-160</x:v>
      </x:c>
      <x:c r="B164" s="51" t="str">
        <x:v>Federal Communications Commission</x:v>
      </x:c>
      <x:c r="C164" s="51" t="str">
        <x:v>Submarine Cable Landing Licenses</x:v>
      </x:c>
      <x:c r="D164" s="51" t="str">
        <x:v>Current</x:v>
      </x:c>
      <x:c r="E164" s="51" t="str">
        <x:v>Official licensing guide</x:v>
      </x:c>
      <x:c r="F164" s="51" t="str">
        <x:v>A</x:v>
      </x:c>
      <x:c r="G164" s="51" t="str">
        <x:v>https://www.fcc.gov/research-reports/guides/submarine-cable-landing-licenses</x:v>
      </x:c>
    </x:row>
    <x:row r="165">
      <x:c r="A165" s="51" t="str">
        <x:v>SRC-161</x:v>
      </x:c>
      <x:c r="B165" s="51" t="str">
        <x:v>US Department of Defense</x:v>
      </x:c>
      <x:c r="C165" s="51" t="str">
        <x:v>Joint Warfighting Cloud Capability Procurement</x:v>
      </x:c>
      <x:c r="D165" s="51" t="str">
        <x:v>2022-12-07 / active</x:v>
      </x:c>
      <x:c r="E165" s="51" t="str">
        <x:v>Official contract announcement</x:v>
      </x:c>
      <x:c r="F165" s="51" t="str">
        <x:v>A</x:v>
      </x:c>
      <x:c r="G165" s="51" t="str">
        <x:v>https://www.defense.gov/News/Releases/Release/Article/3239378/department-of-defense-announces-joint-warfighting-cloud-capability-procurement/</x:v>
      </x:c>
    </x:row>
    <x:row r="166">
      <x:c r="A166" s="51" t="str">
        <x:v>SRC-162</x:v>
      </x:c>
      <x:c r="B166" s="51" t="str">
        <x:v>Amazon Web Services</x:v>
      </x:c>
      <x:c r="C166" s="51" t="str">
        <x:v>AWS GovCloud (US)</x:v>
      </x:c>
      <x:c r="D166" s="51" t="str">
        <x:v>Current</x:v>
      </x:c>
      <x:c r="E166" s="51" t="str">
        <x:v>Official cloud service page</x:v>
      </x:c>
      <x:c r="F166" s="51" t="str">
        <x:v>B</x:v>
      </x:c>
      <x:c r="G166" s="51" t="str">
        <x:v>https://aws.amazon.com/govcloud-us/</x:v>
      </x:c>
    </x:row>
    <x:row r="167">
      <x:c r="A167" s="51" t="str">
        <x:v>SRC-163</x:v>
      </x:c>
      <x:c r="B167" s="51" t="str">
        <x:v>Google Cloud</x:v>
      </x:c>
      <x:c r="C167" s="51" t="str">
        <x:v>Google Distributed Cloud Air-Gapped</x:v>
      </x:c>
      <x:c r="D167" s="51" t="str">
        <x:v>Current</x:v>
      </x:c>
      <x:c r="E167" s="51" t="str">
        <x:v>Official cloud service page</x:v>
      </x:c>
      <x:c r="F167" s="51" t="str">
        <x:v>B</x:v>
      </x:c>
      <x:c r="G167" s="51" t="str">
        <x:v>https://cloud.google.com/distributed-cloud-air-gapped</x:v>
      </x:c>
    </x:row>
    <x:row r="168">
      <x:c r="A168" s="51" t="str">
        <x:v>SRC-164</x:v>
      </x:c>
      <x:c r="B168" s="51" t="str">
        <x:v>Amazon Web Services</x:v>
      </x:c>
      <x:c r="C168" s="51" t="str">
        <x:v>European Digital Sovereignty and Sovereign Cloud</x:v>
      </x:c>
      <x:c r="D168" s="51" t="str">
        <x:v>Current</x:v>
      </x:c>
      <x:c r="E168" s="51" t="str">
        <x:v>Official cloud service page</x:v>
      </x:c>
      <x:c r="F168" s="51" t="str">
        <x:v>B</x:v>
      </x:c>
      <x:c r="G168" s="51" t="str">
        <x:v>https://aws.amazon.com/compliance/europe-digital-sovereignty/</x:v>
      </x:c>
    </x:row>
    <x:row r="169">
      <x:c r="A169" s="51" t="str">
        <x:v>SRC-165</x:v>
      </x:c>
      <x:c r="B169" s="51" t="str">
        <x:v>European Commission</x:v>
      </x:c>
      <x:c r="C169" s="51" t="str">
        <x:v>DMA Designated Gatekeepers</x:v>
      </x:c>
      <x:c r="D169" s="51" t="str">
        <x:v>Current</x:v>
      </x:c>
      <x:c r="E169" s="51" t="str">
        <x:v>Official regulatory portal</x:v>
      </x:c>
      <x:c r="F169" s="51" t="str">
        <x:v>A</x:v>
      </x:c>
      <x:c r="G169" s="51" t="str">
        <x:v>https://digital-markets-act.ec.europa.eu/gatekeepers-portal_en</x:v>
      </x:c>
    </x:row>
    <x:row r="170">
      <x:c r="A170" s="51" t="str">
        <x:v>SRC-166</x:v>
      </x:c>
      <x:c r="B170" s="51" t="str">
        <x:v>Apple</x:v>
      </x:c>
      <x:c r="C170" s="51" t="str">
        <x:v>App Review Guidelines</x:v>
      </x:c>
      <x:c r="D170" s="51" t="str">
        <x:v>Current 2026</x:v>
      </x:c>
      <x:c r="E170" s="51" t="str">
        <x:v>Official platform rules</x:v>
      </x:c>
      <x:c r="F170" s="51" t="str">
        <x:v>A</x:v>
      </x:c>
      <x:c r="G170" s="51" t="str">
        <x:v>https://developer.apple.com/app-store/review/guidelines/</x:v>
      </x:c>
    </x:row>
    <x:row r="171">
      <x:c r="A171" s="51" t="str">
        <x:v>SRC-167</x:v>
      </x:c>
      <x:c r="B171" s="51" t="str">
        <x:v>Google Play</x:v>
      </x:c>
      <x:c r="C171" s="51" t="str">
        <x:v>Service Fees</x:v>
      </x:c>
      <x:c r="D171" s="51" t="str">
        <x:v>Current 2026</x:v>
      </x:c>
      <x:c r="E171" s="51" t="str">
        <x:v>Official developer policy</x:v>
      </x:c>
      <x:c r="F171" s="51" t="str">
        <x:v>A</x:v>
      </x:c>
      <x:c r="G171" s="51" t="str">
        <x:v>https://support.google.com/googleplay/android-developer/answer/112622?hl=en</x:v>
      </x:c>
    </x:row>
    <x:row r="172">
      <x:c r="A172" s="51" t="str">
        <x:v>SRC-168</x:v>
      </x:c>
      <x:c r="B172" s="51" t="str">
        <x:v>European Commission</x:v>
      </x:c>
      <x:c r="C172" s="51" t="str">
        <x:v>Apple and Meta Found in Breach of the Digital Markets Act</x:v>
      </x:c>
      <x:c r="D172" s="51" t="str">
        <x:v>2025-04-23</x:v>
      </x:c>
      <x:c r="E172" s="51" t="str">
        <x:v>Official enforcement release</x:v>
      </x:c>
      <x:c r="F172" s="51" t="str">
        <x:v>A</x:v>
      </x:c>
      <x:c r="G172" s="51" t="str">
        <x:v>https://digital-markets-act.ec.europa.eu/commission-finds-apple-and-meta-breach-digital-markets-act-2025-04-23_en</x:v>
      </x:c>
    </x:row>
    <x:row r="173">
      <x:c r="A173" s="51" t="str">
        <x:v>SRC-169</x:v>
      </x:c>
      <x:c r="B173" s="51" t="str">
        <x:v>MSCI</x:v>
      </x:c>
      <x:c r="C173" s="51" t="str">
        <x:v>MSCI Indexes</x:v>
      </x:c>
      <x:c r="D173" s="51" t="str">
        <x:v>Current 2026</x:v>
      </x:c>
      <x:c r="E173" s="51" t="str">
        <x:v>Official index-provider page</x:v>
      </x:c>
      <x:c r="F173" s="51" t="str">
        <x:v>A</x:v>
      </x:c>
      <x:c r="G173" s="51" t="str">
        <x:v>https://www.msci.com/indexes</x:v>
      </x:c>
    </x:row>
    <x:row r="174">
      <x:c r="A174" s="51" t="str">
        <x:v>SRC-170</x:v>
      </x:c>
      <x:c r="B174" s="51" t="str">
        <x:v>FTSE Russell</x:v>
      </x:c>
      <x:c r="C174" s="51" t="str">
        <x:v>2025 Country Classification and Index Scale</x:v>
      </x:c>
      <x:c r="D174" s="51" t="str">
        <x:v>2025-09</x:v>
      </x:c>
      <x:c r="E174" s="51" t="str">
        <x:v>Official index-provider release</x:v>
      </x:c>
      <x:c r="F174" s="51" t="str">
        <x:v>A</x:v>
      </x:c>
      <x:c r="G174" s="51" t="str">
        <x:v>https://www.lseg.com/en/media-centre/press-releases/ftse-russell/2025/ftse-russell-country-classification-september-2025</x:v>
      </x:c>
    </x:row>
    <x:row r="175">
      <x:c r="A175" s="51" t="str">
        <x:v>SRC-171</x:v>
      </x:c>
      <x:c r="B175" s="51" t="str">
        <x:v>S&amp;P Dow Jones Indices</x:v>
      </x:c>
      <x:c r="C175" s="51" t="str">
        <x:v>Why the S&amp;P 500 Matters Globally</x:v>
      </x:c>
      <x:c r="D175" s="51" t="str">
        <x:v>2025-11-26</x:v>
      </x:c>
      <x:c r="E175" s="51" t="str">
        <x:v>Official index research</x:v>
      </x:c>
      <x:c r="F175" s="51" t="str">
        <x:v>A</x:v>
      </x:c>
      <x:c r="G175" s="51" t="str">
        <x:v>https://www.spglobal.com/spdji/en/education/article/why-does-the-sp-500-matter-to-japan/</x:v>
      </x:c>
    </x:row>
    <x:row r="176">
      <x:c r="A176" s="51" t="str">
        <x:v>SRC-172</x:v>
      </x:c>
      <x:c r="B176" s="51" t="str">
        <x:v>ICE Benchmark Administration</x:v>
      </x:c>
      <x:c r="C176" s="51" t="str">
        <x:v>About ICE Benchmark Administration</x:v>
      </x:c>
      <x:c r="D176" s="51" t="str">
        <x:v>Current</x:v>
      </x:c>
      <x:c r="E176" s="51" t="str">
        <x:v>Official benchmark-administrator page</x:v>
      </x:c>
      <x:c r="F176" s="51" t="str">
        <x:v>A</x:v>
      </x:c>
      <x:c r="G176" s="51" t="str">
        <x:v>https://www.ice.com/iba/about</x:v>
      </x:c>
    </x:row>
    <x:row r="177">
      <x:c r="A177" s="51" t="str">
        <x:v>SRC-173</x:v>
      </x:c>
      <x:c r="B177" s="51" t="str">
        <x:v>ICE</x:v>
      </x:c>
      <x:c r="C177" s="51" t="str">
        <x:v>ICE Brent Crude Futures and Index</x:v>
      </x:c>
      <x:c r="D177" s="51" t="str">
        <x:v>Current</x:v>
      </x:c>
      <x:c r="E177" s="51" t="str">
        <x:v>Official exchange/benchmark page</x:v>
      </x:c>
      <x:c r="F177" s="51" t="str">
        <x:v>A</x:v>
      </x:c>
      <x:c r="G177" s="51" t="str">
        <x:v>https://www.ice.com/futures-europe/brent</x:v>
      </x:c>
    </x:row>
    <x:row r="178">
      <x:c r="A178" s="51" t="str">
        <x:v>SRC-174</x:v>
      </x:c>
      <x:c r="B178" s="51" t="str">
        <x:v>ICE Benchmark Administration</x:v>
      </x:c>
      <x:c r="C178" s="51" t="str">
        <x:v>LBMA Precious Metals Prices</x:v>
      </x:c>
      <x:c r="D178" s="51" t="str">
        <x:v>Current 2026</x:v>
      </x:c>
      <x:c r="E178" s="51" t="str">
        <x:v>Official benchmark page</x:v>
      </x:c>
      <x:c r="F178" s="51" t="str">
        <x:v>A</x:v>
      </x:c>
      <x:c r="G178" s="51" t="str">
        <x:v>https://www.ice.com/iba/lbma-precious-metals</x:v>
      </x:c>
    </x:row>
    <x:row r="179">
      <x:c r="A179" s="51" t="str">
        <x:v>SRC-175</x:v>
      </x:c>
      <x:c r="B179" s="51" t="str">
        <x:v>FinCEN</x:v>
      </x:c>
      <x:c r="C179" s="51" t="str">
        <x:v>Beneficial Ownership Information Reporting</x:v>
      </x:c>
      <x:c r="D179" s="51" t="str">
        <x:v>Current 2026</x:v>
      </x:c>
      <x:c r="E179" s="51" t="str">
        <x:v>Official regulatory page</x:v>
      </x:c>
      <x:c r="F179" s="51" t="str">
        <x:v>A</x:v>
      </x:c>
      <x:c r="G179" s="51" t="str">
        <x:v>https://www.fincen.gov/boi</x:v>
      </x:c>
    </x:row>
    <x:row r="180">
      <x:c r="A180" s="51" t="str">
        <x:v>SRC-176</x:v>
      </x:c>
      <x:c r="B180" s="51" t="str">
        <x:v>FATF</x:v>
      </x:c>
      <x:c r="C180" s="51" t="str">
        <x:v>Guidance on Beneficial Ownership of Legal Persons</x:v>
      </x:c>
      <x:c r="D180" s="51" t="str">
        <x:v>Current</x:v>
      </x:c>
      <x:c r="E180" s="51" t="str">
        <x:v>Official international standard guidance</x:v>
      </x:c>
      <x:c r="F180" s="51" t="str">
        <x:v>A</x:v>
      </x:c>
      <x:c r="G180" s="51" t="str">
        <x:v>https://www.fatf-gafi.org/en/publications/Fatfrecommendations/Guidance-Beneficial-Ownership-Legal-Persons.html</x:v>
      </x:c>
    </x:row>
    <x:row r="181">
      <x:c r="A181" s="51" t="str">
        <x:v>SRC-177</x:v>
      </x:c>
      <x:c r="B181" s="51" t="str">
        <x:v>FATF</x:v>
      </x:c>
      <x:c r="C181" s="51" t="str">
        <x:v>Guidance on Beneficial Ownership and Transparency of Legal Arrangements</x:v>
      </x:c>
      <x:c r="D181" s="51" t="str">
        <x:v>Current</x:v>
      </x:c>
      <x:c r="E181" s="51" t="str">
        <x:v>Official international standard guidance</x:v>
      </x:c>
      <x:c r="F181" s="51" t="str">
        <x:v>A</x:v>
      </x:c>
      <x:c r="G181" s="51" t="str">
        <x:v>https://www.fatf-gafi.org/en/publications/Fatfrecommendations/Guidance-Beneficial-Ownership-Transparency-Legal-Arrangements.html</x:v>
      </x:c>
    </x:row>
    <x:row r="182">
      <x:c r="A182" s="51" t="str">
        <x:v>SRC-178</x:v>
      </x:c>
      <x:c r="B182" s="51" t="str">
        <x:v>OECD Global Forum</x:v>
      </x:c>
      <x:c r="C182" s="51" t="str">
        <x:v>Tax Transparency and Beneficial Ownership Monitoring</x:v>
      </x:c>
      <x:c r="D182" s="51" t="str">
        <x:v>2026-06-19</x:v>
      </x:c>
      <x:c r="E182" s="51" t="str">
        <x:v>Official international monitoring release</x:v>
      </x:c>
      <x:c r="F182" s="51" t="str">
        <x:v>A</x:v>
      </x:c>
      <x:c r="G182" s="51" t="str">
        <x:v>https://www.oecd.org/en/networks/global-forum-tax-transparency/news-events/2026/new-global-forum-report-highlights-global-progress-on-transparency-and-effective-exchange-of-information-for-tax-purposes.html</x:v>
      </x:c>
    </x:row>
    <x:row r="183">
      <x:c r="A183" s="51" t="str">
        <x:v>SRC-179</x:v>
      </x:c>
      <x:c r="B183" s="51" t="str">
        <x:v>Swiss Re</x:v>
      </x:c>
      <x:c r="C183" s="51" t="str">
        <x:v>Annual Report 2025</x:v>
      </x:c>
      <x:c r="D183" s="51" t="str">
        <x:v>2026-03-12</x:v>
      </x:c>
      <x:c r="E183" s="51" t="str">
        <x:v>Official annual report page</x:v>
      </x:c>
      <x:c r="F183" s="51" t="str">
        <x:v>A</x:v>
      </x:c>
      <x:c r="G183" s="51" t="str">
        <x:v>https://www.swissre.com/investors/annual-report-2025.html</x:v>
      </x:c>
    </x:row>
    <x:row r="184">
      <x:c r="A184" s="51" t="str">
        <x:v>SRC-180</x:v>
      </x:c>
      <x:c r="B184" s="51" t="str">
        <x:v>Munich Re</x:v>
      </x:c>
      <x:c r="C184" s="51" t="str">
        <x:v>Annual Report 2025</x:v>
      </x:c>
      <x:c r="D184" s="51" t="str">
        <x:v>2026</x:v>
      </x:c>
      <x:c r="E184" s="51" t="str">
        <x:v>Official annual report page</x:v>
      </x:c>
      <x:c r="F184" s="51" t="str">
        <x:v>A</x:v>
      </x:c>
      <x:c r="G184" s="51" t="str">
        <x:v>https://www.munichre.com/en/company/investors/reports-and-presentations/annual-report.html</x:v>
      </x:c>
    </x:row>
    <x:row r="185">
      <x:c r="A185" s="51" t="str">
        <x:v>SRC-181</x:v>
      </x:c>
      <x:c r="B185" s="51" t="str">
        <x:v>PJM Interconnection</x:v>
      </x:c>
      <x:c r="C185" s="51" t="str">
        <x:v>2026 Long-Term Load Forecast Summary</x:v>
      </x:c>
      <x:c r="D185" s="51" t="str">
        <x:v>2026-01-14</x:v>
      </x:c>
      <x:c r="E185" s="51" t="str">
        <x:v>Official grid-operator release</x:v>
      </x:c>
      <x:c r="F185" s="51" t="str">
        <x:v>A</x:v>
      </x:c>
      <x:c r="G185" s="51" t="str">
        <x:v>https://insidelines.pjm.com/pjms-updated-20-year-forecast-continues-to-see-significant-long-term-load-growth/</x:v>
      </x:c>
    </x:row>
    <x:row r="186">
      <x:c r="A186" s="51" t="str">
        <x:v>SRC-182</x:v>
      </x:c>
      <x:c r="B186" s="51" t="str">
        <x:v>Federal Energy Regulatory Commission</x:v>
      </x:c>
      <x:c r="C186" s="51" t="str">
        <x:v>Action on Large-Load Integration</x:v>
      </x:c>
      <x:c r="D186" s="51" t="str">
        <x:v>2026-06-18</x:v>
      </x:c>
      <x:c r="E186" s="51" t="str">
        <x:v>Official regulatory release</x:v>
      </x:c>
      <x:c r="F186" s="51" t="str">
        <x:v>A</x:v>
      </x:c>
      <x:c r="G186" s="51" t="str">
        <x:v>https://www.ferc.gov/news-events/news/ferc-launches-aggressive-targeted-action-speed-large-load-integration</x:v>
      </x:c>
    </x:row>
    <x:row r="187">
      <x:c r="A187" s="51" t="str">
        <x:v>SRC-183</x:v>
      </x:c>
      <x:c r="B187" s="51" t="str">
        <x:v>ICANN / IANA</x:v>
      </x:c>
      <x:c r="C187" s="51" t="str">
        <x:v>Root Zone Database</x:v>
      </x:c>
      <x:c r="D187" s="51" t="str">
        <x:v>Current</x:v>
      </x:c>
      <x:c r="E187" s="51" t="str">
        <x:v>Official internet-coordination database</x:v>
      </x:c>
      <x:c r="F187" s="51" t="str">
        <x:v>A</x:v>
      </x:c>
      <x:c r="G187" s="51" t="str">
        <x:v>https://ianawww.vip.icann.org/domains/root/db</x:v>
      </x:c>
    </x:row>
    <x:row r="188">
      <x:c r="A188" s="51" t="str">
        <x:v>SRC-184</x:v>
      </x:c>
      <x:c r="B188" s="51" t="str">
        <x:v>Cloudflare</x:v>
      </x:c>
      <x:c r="C188" s="51" t="str">
        <x:v>Cloudflare 1.1.1.1 Incident</x:v>
      </x:c>
      <x:c r="D188" s="51" t="str">
        <x:v>2025-07-14</x:v>
      </x:c>
      <x:c r="E188" s="51" t="str">
        <x:v>Official incident report</x:v>
      </x:c>
      <x:c r="F188" s="51" t="str">
        <x:v>A</x:v>
      </x:c>
      <x:c r="G188" s="51" t="str">
        <x:v>https://blog.cloudflare.com/cloudflare-1-1-1-1-incident-on-july-14-2025/</x:v>
      </x:c>
    </x:row>
    <x:row r="189">
      <x:c r="A189" s="51" t="str">
        <x:v>SRC-185</x:v>
      </x:c>
      <x:c r="B189" s="51" t="str">
        <x:v>SpaceX</x:v>
      </x:c>
      <x:c r="C189" s="51" t="str">
        <x:v>Starshield</x:v>
      </x:c>
      <x:c r="D189" s="51" t="str">
        <x:v>Current</x:v>
      </x:c>
      <x:c r="E189" s="51" t="str">
        <x:v>Official national-security product page</x:v>
      </x:c>
      <x:c r="F189" s="51" t="str">
        <x:v>B</x:v>
      </x:c>
      <x:c r="G189" s="51" t="str">
        <x:v>https://www.spacex.com/starshield</x:v>
      </x:c>
    </x:row>
    <x:row r="190">
      <x:c r="A190" s="51" t="str">
        <x:v>SRC-186</x:v>
      </x:c>
      <x:c r="B190" s="51" t="str">
        <x:v>US Department of Defense</x:v>
      </x:c>
      <x:c r="C190" s="51" t="str">
        <x:v>Space Investments and Protected Satellite Communications</x:v>
      </x:c>
      <x:c r="D190" s="51" t="str">
        <x:v>2024-05-21 / FY2025 budget</x:v>
      </x:c>
      <x:c r="E190" s="51" t="str">
        <x:v>Official defence release</x:v>
      </x:c>
      <x:c r="F190" s="51" t="str">
        <x:v>A</x:v>
      </x:c>
      <x:c r="G190" s="51" t="str">
        <x:v>https://www.defense.gov/News/News-Stories/Article/Article/3783109/space-officials-outline-key-investments-needed-to-ensure-us-maintains-edge/</x:v>
      </x:c>
    </x:row>
    <x:row r="191">
      <x:c r="A191" s="51" t="str">
        <x:v>SRC-187</x:v>
      </x:c>
      <x:c r="B191" s="51" t="str">
        <x:v>WIPO</x:v>
      </x:c>
      <x:c r="C191" s="51" t="str">
        <x:v>Patent Landscape Report: Generative Artificial Intelligence</x:v>
      </x:c>
      <x:c r="D191" s="51" t="str">
        <x:v>2024-07-03</x:v>
      </x:c>
      <x:c r="E191" s="51" t="str">
        <x:v>Official patent landscape report</x:v>
      </x:c>
      <x:c r="F191" s="51" t="str">
        <x:v>A</x:v>
      </x:c>
      <x:c r="G191" s="51" t="str">
        <x:v>https://www.wipo.int/web-publications/patent-landscape-report-generative-artificial-intelligence-genai/en/</x:v>
      </x:c>
    </x:row>
    <x:row r="192">
      <x:c r="A192" s="51" t="str">
        <x:v>SRC-188</x:v>
      </x:c>
      <x:c r="B192" s="51" t="str">
        <x:v>WIPO</x:v>
      </x:c>
      <x:c r="C192" s="51" t="str">
        <x:v>Top Generative AI Patent Trends in 2025</x:v>
      </x:c>
      <x:c r="D192" s="51" t="str">
        <x:v>2026-07-13</x:v>
      </x:c>
      <x:c r="E192" s="51" t="str">
        <x:v>Official patent analytics update</x:v>
      </x:c>
      <x:c r="F192" s="51" t="str">
        <x:v>A</x:v>
      </x:c>
      <x:c r="G192" s="51" t="str">
        <x:v>https://www.wipo.int/en/web/patent-analytics/generative-ai/2025</x:v>
      </x:c>
    </x:row>
    <x:row r="193">
      <x:c r="A193" s="51" t="str">
        <x:v>SRC-189</x:v>
      </x:c>
      <x:c r="B193" s="51" t="str">
        <x:v>WIPO</x:v>
      </x:c>
      <x:c r="C193" s="51" t="str">
        <x:v>Global Patenting and Research in GenAI</x:v>
      </x:c>
      <x:c r="D193" s="51" t="str">
        <x:v>2024 / current</x:v>
      </x:c>
      <x:c r="E193" s="51" t="str">
        <x:v>Official patent analytics chapter</x:v>
      </x:c>
      <x:c r="F193" s="51" t="str">
        <x:v>A</x:v>
      </x:c>
      <x:c r="G193" s="51" t="str">
        <x:v>https://www.wipo.int/web-publications/patent-landscape-report-generative-artificial-intelligence-genai/en/2-global-patenting-and-research-in-genai.html</x:v>
      </x:c>
    </x:row>
    <x:row r="194">
      <x:c r="A194" s="51" t="str">
        <x:v>SRC-190</x:v>
      </x:c>
      <x:c r="B194" s="51" t="str">
        <x:v>Arm</x:v>
      </x:c>
      <x:c r="C194" s="51" t="str">
        <x:v>FYE26 Full-Year Results</x:v>
      </x:c>
      <x:c r="D194" s="51" t="str">
        <x:v>2026-05-06</x:v>
      </x:c>
      <x:c r="E194" s="51" t="str">
        <x:v>Official financial release</x:v>
      </x:c>
      <x:c r="F194" s="51" t="str">
        <x:v>A</x:v>
      </x:c>
      <x:c r="G194" s="51" t="str">
        <x:v>https://newsroom.arm.com/news/arm-q4-fye26-results</x:v>
      </x:c>
    </x:row>
    <x:row r="195">
      <x:c r="A195" s="51" t="str">
        <x:v>SRC-191</x:v>
      </x:c>
      <x:c r="B195" s="51" t="str">
        <x:v>Arm</x:v>
      </x:c>
      <x:c r="C195" s="51" t="str">
        <x:v>Arm Limited Annual Report and Financial Statements FYE25</x:v>
      </x:c>
      <x:c r="D195" s="51" t="str">
        <x:v>2025</x:v>
      </x:c>
      <x:c r="E195" s="51" t="str">
        <x:v>Official annual report</x:v>
      </x:c>
      <x:c r="F195" s="51" t="str">
        <x:v>A</x:v>
      </x:c>
      <x:c r="G195" s="51" t="str">
        <x:v>https://investors.arm.com/static-files/24a81e4d-6457-42f6-884d-fb44a544d4a7</x:v>
      </x:c>
    </x:row>
    <x:row r="196">
      <x:c r="A196" s="51" t="str">
        <x:v>SRC-192</x:v>
      </x:c>
      <x:c r="B196" s="51" t="str">
        <x:v>RISC-V International</x:v>
      </x:c>
      <x:c r="C196" s="51" t="str">
        <x:v>RISC-V Annual Report 2025</x:v>
      </x:c>
      <x:c r="D196" s="51" t="str">
        <x:v>2026-01</x:v>
      </x:c>
      <x:c r="E196" s="51" t="str">
        <x:v>Official annual report</x:v>
      </x:c>
      <x:c r="F196" s="51" t="str">
        <x:v>A</x:v>
      </x:c>
      <x:c r="G196" s="51" t="str">
        <x:v>https://riscv.org/wp-content/uploads/2026/01/RISC-V-Annual-Report-2025.pdf</x:v>
      </x:c>
    </x:row>
    <x:row r="197">
      <x:c r="A197" s="51" t="str">
        <x:v>SRC-193</x:v>
      </x:c>
      <x:c r="B197" s="51" t="str">
        <x:v>RISC-V International</x:v>
      </x:c>
      <x:c r="C197" s="51" t="str">
        <x:v>Ratified Specifications</x:v>
      </x:c>
      <x:c r="D197" s="51" t="str">
        <x:v>Current 2026</x:v>
      </x:c>
      <x:c r="E197" s="51" t="str">
        <x:v>Official standards library</x:v>
      </x:c>
      <x:c r="F197" s="51" t="str">
        <x:v>A</x:v>
      </x:c>
      <x:c r="G197" s="51" t="str">
        <x:v>https://riscv.org/specifications/ratified/</x:v>
      </x:c>
    </x:row>
    <x:row r="198">
      <x:c r="A198" s="51" t="str">
        <x:v>SRC-194</x:v>
      </x:c>
      <x:c r="B198" s="51" t="str">
        <x:v>ISO</x:v>
      </x:c>
      <x:c r="C198" s="51" t="str">
        <x:v>ISO/IEC JTC 1/SC 42 Artificial Intelligence</x:v>
      </x:c>
      <x:c r="D198" s="51" t="str">
        <x:v>Current</x:v>
      </x:c>
      <x:c r="E198" s="51" t="str">
        <x:v>Official standards committee page</x:v>
      </x:c>
      <x:c r="F198" s="51" t="str">
        <x:v>A</x:v>
      </x:c>
      <x:c r="G198" s="51" t="str">
        <x:v>https://www.iso.org/committee/6794475.html</x:v>
      </x:c>
    </x:row>
    <x:row r="199">
      <x:c r="A199" s="51" t="str">
        <x:v>SRC-195</x:v>
      </x:c>
      <x:c r="B199" s="51" t="str">
        <x:v>NIST</x:v>
      </x:c>
      <x:c r="C199" s="51" t="str">
        <x:v>AI Risk Management Framework</x:v>
      </x:c>
      <x:c r="D199" s="51" t="str">
        <x:v>Current</x:v>
      </x:c>
      <x:c r="E199" s="51" t="str">
        <x:v>Official framework page</x:v>
      </x:c>
      <x:c r="F199" s="51" t="str">
        <x:v>A</x:v>
      </x:c>
      <x:c r="G199" s="51" t="str">
        <x:v>https://www.nist.gov/itl/ai-risk-management-framework</x:v>
      </x:c>
    </x:row>
    <x:row r="200">
      <x:c r="A200" s="51" t="str">
        <x:v>SRC-196</x:v>
      </x:c>
      <x:c r="B200" s="51" t="str">
        <x:v>NIST</x:v>
      </x:c>
      <x:c r="C200" s="51" t="str">
        <x:v>AI Standards</x:v>
      </x:c>
      <x:c r="D200" s="51" t="str">
        <x:v>Current</x:v>
      </x:c>
      <x:c r="E200" s="51" t="str">
        <x:v>Official standards programme page</x:v>
      </x:c>
      <x:c r="F200" s="51" t="str">
        <x:v>A</x:v>
      </x:c>
      <x:c r="G200" s="51" t="str">
        <x:v>https://www.nist.gov/artificial-intelligence/ai-standards</x:v>
      </x:c>
    </x:row>
    <x:row r="201">
      <x:c r="A201" s="51" t="str">
        <x:v>SRC-197</x:v>
      </x:c>
      <x:c r="B201" s="51" t="str">
        <x:v>NIST</x:v>
      </x:c>
      <x:c r="C201" s="51" t="str">
        <x:v>AI Research, Measurement, and Standards Division</x:v>
      </x:c>
      <x:c r="D201" s="51" t="str">
        <x:v>Current 2026</x:v>
      </x:c>
      <x:c r="E201" s="51" t="str">
        <x:v>Official programme page</x:v>
      </x:c>
      <x:c r="F201" s="51" t="str">
        <x:v>A</x:v>
      </x:c>
      <x:c r="G201" s="51" t="str">
        <x:v>https://www.nist.gov/itl/ai</x:v>
      </x:c>
    </x:row>
    <x:row r="202">
      <x:c r="A202" s="51" t="str">
        <x:v>SRC-198</x:v>
      </x:c>
      <x:c r="B202" s="51" t="str">
        <x:v>IEEE Standards Association</x:v>
      </x:c>
      <x:c r="C202" s="51" t="str">
        <x:v>IEEE 7000 Standard</x:v>
      </x:c>
      <x:c r="D202" s="51" t="str">
        <x:v>Current</x:v>
      </x:c>
      <x:c r="E202" s="51" t="str">
        <x:v>Official standards page</x:v>
      </x:c>
      <x:c r="F202" s="51" t="str">
        <x:v>A</x:v>
      </x:c>
      <x:c r="G202" s="51" t="str">
        <x:v>https://standards.ieee.org/ieee/7000/</x:v>
      </x:c>
    </x:row>
    <x:row r="203">
      <x:c r="A203" s="51" t="str">
        <x:v>SRC-199</x:v>
      </x:c>
      <x:c r="B203" s="51" t="str">
        <x:v>IEEE Standards Association</x:v>
      </x:c>
      <x:c r="C203" s="51" t="str">
        <x:v>IEEE CertifAIEd</x:v>
      </x:c>
      <x:c r="D203" s="51" t="str">
        <x:v>Current 2026</x:v>
      </x:c>
      <x:c r="E203" s="51" t="str">
        <x:v>Official certification programme page</x:v>
      </x:c>
      <x:c r="F203" s="51" t="str">
        <x:v>A</x:v>
      </x:c>
      <x:c r="G203" s="51" t="str">
        <x:v>https://standards.ieee.org/products-programs/icap/ieee-certifaied/</x:v>
      </x:c>
    </x:row>
    <x:row r="204">
      <x:c r="A204" s="51" t="str">
        <x:v>SRC-200</x:v>
      </x:c>
      <x:c r="B204" s="51" t="str">
        <x:v>ETSI</x:v>
      </x:c>
      <x:c r="C204" s="51" t="str">
        <x:v>ETSI EN 304 223: Securing Artificial Intelligence</x:v>
      </x:c>
      <x:c r="D204" s="51" t="str">
        <x:v>2026-01-14</x:v>
      </x:c>
      <x:c r="E204" s="51" t="str">
        <x:v>Official standards release</x:v>
      </x:c>
      <x:c r="F204" s="51" t="str">
        <x:v>A</x:v>
      </x:c>
      <x:c r="G204" s="51" t="str">
        <x:v>https://www.etsi.org/newsroom/press-releases/2627-etsi-releases-world-leading-standard-for-securing-ai/</x:v>
      </x:c>
    </x:row>
    <x:row r="205">
      <x:c r="A205" s="51" t="str">
        <x:v>SRC-201</x:v>
      </x:c>
      <x:c r="B205" s="51" t="str">
        <x:v>ETSI</x:v>
      </x:c>
      <x:c r="C205" s="51" t="str">
        <x:v>ETSI TS 104 033: Securing AI Computing Platforms</x:v>
      </x:c>
      <x:c r="D205" s="51" t="str">
        <x:v>2026-06-02</x:v>
      </x:c>
      <x:c r="E205" s="51" t="str">
        <x:v>Official standards release</x:v>
      </x:c>
      <x:c r="F205" s="51" t="str">
        <x:v>A</x:v>
      </x:c>
      <x:c r="G205" s="51" t="str">
        <x:v>https://www.etsi.org/newsroom/press-releases/etsi-releases-standard-on-securing-ai-comuting-platforms/</x:v>
      </x:c>
    </x:row>
    <x:row r="206">
      <x:c r="A206" s="51" t="str">
        <x:v>SRC-202</x:v>
      </x:c>
      <x:c r="B206" s="51" t="str">
        <x:v>ETSI</x:v>
      </x:c>
      <x:c r="C206" s="51" t="str">
        <x:v>Continuous Compliance for Dynamic AI Systems</x:v>
      </x:c>
      <x:c r="D206" s="51" t="str">
        <x:v>2026-01-27</x:v>
      </x:c>
      <x:c r="E206" s="51" t="str">
        <x:v>Official standards release</x:v>
      </x:c>
      <x:c r="F206" s="51" t="str">
        <x:v>A</x:v>
      </x:c>
      <x:c r="G206" s="51" t="str">
        <x:v>https://www.etsi.org/newsroom/press-releases/2634-etsi-launches-new-standard-enabling-continuous-compliance-for-dynamic-ai-systems-aligned-with-the-eu-ai-act/</x:v>
      </x:c>
    </x:row>
    <x:row r="207">
      <x:c r="A207" s="51" t="str">
        <x:v>SRC-203</x:v>
      </x:c>
      <x:c r="B207" s="51" t="str">
        <x:v>3GPP</x:v>
      </x:c>
      <x:c r="C207" s="51" t="str">
        <x:v>Release 21 Timeline: First Normative 6G Release</x:v>
      </x:c>
      <x:c r="D207" s="51" t="str">
        <x:v>2026-06-10</x:v>
      </x:c>
      <x:c r="E207" s="51" t="str">
        <x:v>Official standards programme page</x:v>
      </x:c>
      <x:c r="F207" s="51" t="str">
        <x:v>A</x:v>
      </x:c>
      <x:c r="G207" s="51" t="str">
        <x:v>https://www.3gpp.org/news-events/3gpp-news/rel21-timeline</x:v>
      </x:c>
    </x:row>
    <x:row r="208">
      <x:c r="A208" s="51" t="str">
        <x:v>SRC-204</x:v>
      </x:c>
      <x:c r="B208" s="51" t="str">
        <x:v>3GPP</x:v>
      </x:c>
      <x:c r="C208" s="51" t="str">
        <x:v>First 6G RAN Study Approved</x:v>
      </x:c>
      <x:c r="D208" s="51" t="str">
        <x:v>2026-06-14</x:v>
      </x:c>
      <x:c r="E208" s="51" t="str">
        <x:v>Official standards release</x:v>
      </x:c>
      <x:c r="F208" s="51" t="str">
        <x:v>A</x:v>
      </x:c>
      <x:c r="G208" s="51" t="str">
        <x:v>https://www.3gpp.org/news-events/3gpp-news/6g-38914</x:v>
      </x:c>
    </x:row>
    <x:row r="209">
      <x:c r="A209" s="51" t="str">
        <x:v>SRC-205</x:v>
      </x:c>
      <x:c r="B209" s="51" t="str">
        <x:v>NSF</x:v>
      </x:c>
      <x:c r="C209" s="51" t="str">
        <x:v>National Artificial Intelligence Research Resource</x:v>
      </x:c>
      <x:c r="D209" s="51" t="str">
        <x:v>Current 2026</x:v>
      </x:c>
      <x:c r="E209" s="51" t="str">
        <x:v>Official research infrastructure page</x:v>
      </x:c>
      <x:c r="F209" s="51" t="str">
        <x:v>A</x:v>
      </x:c>
      <x:c r="G209" s="51" t="str">
        <x:v>https://www.nsf.gov/focus-areas/ai/nairr</x:v>
      </x:c>
    </x:row>
    <x:row r="210">
      <x:c r="A210" s="51" t="str">
        <x:v>SRC-206</x:v>
      </x:c>
      <x:c r="B210" s="51" t="str">
        <x:v>NSF</x:v>
      </x:c>
      <x:c r="C210" s="51" t="str">
        <x:v>NAIRR Operations Center Solicitation</x:v>
      </x:c>
      <x:c r="D210" s="51" t="str">
        <x:v>2025-09 / current</x:v>
      </x:c>
      <x:c r="E210" s="51" t="str">
        <x:v>Official funding opportunity</x:v>
      </x:c>
      <x:c r="F210" s="51" t="str">
        <x:v>A</x:v>
      </x:c>
      <x:c r="G210" s="51" t="str">
        <x:v>https://www.nsf.gov/funding/opportunities/nairr-oc-foundations-operating-national-artificial-intelligence</x:v>
      </x:c>
    </x:row>
    <x:row r="211">
      <x:c r="A211" s="51" t="str">
        <x:v>SRC-207</x:v>
      </x:c>
      <x:c r="B211" s="51" t="str">
        <x:v>NSF</x:v>
      </x:c>
      <x:c r="C211" s="51" t="str">
        <x:v>Artificial Intelligence Focus Area</x:v>
      </x:c>
      <x:c r="D211" s="51" t="str">
        <x:v>2025-07 / current</x:v>
      </x:c>
      <x:c r="E211" s="51" t="str">
        <x:v>Official programme page</x:v>
      </x:c>
      <x:c r="F211" s="51" t="str">
        <x:v>A</x:v>
      </x:c>
      <x:c r="G211" s="51" t="str">
        <x:v>https://www.nsf.gov/focus-areas/ai</x:v>
      </x:c>
    </x:row>
    <x:row r="212">
      <x:c r="A212" s="51" t="str">
        <x:v>SRC-208</x:v>
      </x:c>
      <x:c r="B212" s="51" t="str">
        <x:v>DARPA</x:v>
      </x:c>
      <x:c r="C212" s="51" t="str">
        <x:v>AI Forge: Accelerating AI Breakthroughs for National Security</x:v>
      </x:c>
      <x:c r="D212" s="51" t="str">
        <x:v>2026-06-01</x:v>
      </x:c>
      <x:c r="E212" s="51" t="str">
        <x:v>Official programme announcement</x:v>
      </x:c>
      <x:c r="F212" s="51" t="str">
        <x:v>A</x:v>
      </x:c>
      <x:c r="G212" s="51" t="str">
        <x:v>https://www.darpa.mil/news/2026/ai-forge-accelerating-ai-breakthroughs-national-security</x:v>
      </x:c>
    </x:row>
    <x:row r="213">
      <x:c r="A213" s="51" t="str">
        <x:v>SRC-209</x:v>
      </x:c>
      <x:c r="B213" s="51" t="str">
        <x:v>DARPA</x:v>
      </x:c>
      <x:c r="C213" s="51" t="str">
        <x:v>AI Forward</x:v>
      </x:c>
      <x:c r="D213" s="51" t="str">
        <x:v>Current 2026</x:v>
      </x:c>
      <x:c r="E213" s="51" t="str">
        <x:v>Official research initiative page</x:v>
      </x:c>
      <x:c r="F213" s="51" t="str">
        <x:v>A</x:v>
      </x:c>
      <x:c r="G213" s="51" t="str">
        <x:v>https://www.darpa.mil/research/programs/ai-forward</x:v>
      </x:c>
    </x:row>
    <x:row r="214">
      <x:c r="A214" s="51" t="str">
        <x:v>SRC-210</x:v>
      </x:c>
      <x:c r="B214" s="51" t="str">
        <x:v>USCIS</x:v>
      </x:c>
      <x:c r="C214" s="51" t="str">
        <x:v>H-1B Specialty Occupations</x:v>
      </x:c>
      <x:c r="D214" s="51" t="str">
        <x:v>2026-07-17</x:v>
      </x:c>
      <x:c r="E214" s="51" t="str">
        <x:v>Official immigration page</x:v>
      </x:c>
      <x:c r="F214" s="51" t="str">
        <x:v>A</x:v>
      </x:c>
      <x:c r="G214" s="51" t="str">
        <x:v>https://www.uscis.gov/working-in-the-united-states/h-1b-specialty-occupations</x:v>
      </x:c>
    </x:row>
    <x:row r="215">
      <x:c r="A215" s="51" t="str">
        <x:v>SRC-211</x:v>
      </x:c>
      <x:c r="B215" s="51" t="str">
        <x:v>USCIS</x:v>
      </x:c>
      <x:c r="C215" s="51" t="str">
        <x:v>F-1 Practical Training and STEM OPT</x:v>
      </x:c>
      <x:c r="D215" s="51" t="str">
        <x:v>Current 2026</x:v>
      </x:c>
      <x:c r="E215" s="51" t="str">
        <x:v>Official policy page</x:v>
      </x:c>
      <x:c r="F215" s="51" t="str">
        <x:v>A</x:v>
      </x:c>
      <x:c r="G215" s="51" t="str">
        <x:v>https://www.uscis.gov/policy-manual/volume-2-part-f-chapter-5</x:v>
      </x:c>
    </x:row>
    <x:row r="216">
      <x:c r="A216" s="51" t="str">
        <x:v>SRC-212</x:v>
      </x:c>
      <x:c r="B216" s="51" t="str">
        <x:v>USCIS</x:v>
      </x:c>
      <x:c r="C216" s="51" t="str">
        <x:v>O-1 Extraordinary Ability STEM Guidance</x:v>
      </x:c>
      <x:c r="D216" s="51" t="str">
        <x:v>2025 / current</x:v>
      </x:c>
      <x:c r="E216" s="51" t="str">
        <x:v>Official policy guidance</x:v>
      </x:c>
      <x:c r="F216" s="51" t="str">
        <x:v>A</x:v>
      </x:c>
      <x:c r="G216" s="51" t="str">
        <x:v>https://www.uscis.gov/sites/default/files/document/policy-manual-updates/20250108-ExtraordinaryAbility.pdf</x:v>
      </x:c>
    </x:row>
    <x:row r="217">
      <x:c r="A217" s="51" t="str">
        <x:v>SRC-213</x:v>
      </x:c>
      <x:c r="B217" s="51" t="str">
        <x:v>USCIS</x:v>
      </x:c>
      <x:c r="C217" s="51" t="str">
        <x:v>International Entrepreneur Parole Requirements</x:v>
      </x:c>
      <x:c r="D217" s="51" t="str">
        <x:v>Current 2026</x:v>
      </x:c>
      <x:c r="E217" s="51" t="str">
        <x:v>Official policy page</x:v>
      </x:c>
      <x:c r="F217" s="51" t="str">
        <x:v>A</x:v>
      </x:c>
      <x:c r="G217" s="51" t="str">
        <x:v>https://www.uscis.gov/policy-manual/volume-3-part-g-chapter-2</x:v>
      </x:c>
    </x:row>
    <x:row r="218">
      <x:c r="A218" s="51" t="str">
        <x:v>SRC-214</x:v>
      </x:c>
      <x:c r="B218" s="51" t="str">
        <x:v>LDA.gov</x:v>
      </x:c>
      <x:c r="C218" s="51" t="str">
        <x:v>OpenAI Self-Lobbying Q4 2025 Disclosure</x:v>
      </x:c>
      <x:c r="D218" s="51" t="str">
        <x:v>2026-01-20</x:v>
      </x:c>
      <x:c r="E218" s="51" t="str">
        <x:v>Official lobbying disclosure</x:v>
      </x:c>
      <x:c r="F218" s="51" t="str">
        <x:v>A</x:v>
      </x:c>
      <x:c r="G218" s="51" t="str">
        <x:v>https://lda.senate.gov/filings/public/filing/8fd00332-8a97-439d-9348-bef9437f524d/print/</x:v>
      </x:c>
    </x:row>
    <x:row r="219">
      <x:c r="A219" s="51" t="str">
        <x:v>SRC-215</x:v>
      </x:c>
      <x:c r="B219" s="51" t="str">
        <x:v>LDA.gov</x:v>
      </x:c>
      <x:c r="C219" s="51" t="str">
        <x:v>OpenAI Miller Strategies Q3 2025 Disclosure</x:v>
      </x:c>
      <x:c r="D219" s="51" t="str">
        <x:v>2025-10-20</x:v>
      </x:c>
      <x:c r="E219" s="51" t="str">
        <x:v>Official lobbying disclosure</x:v>
      </x:c>
      <x:c r="F219" s="51" t="str">
        <x:v>A</x:v>
      </x:c>
      <x:c r="G219" s="51" t="str">
        <x:v>https://lda.senate.gov/filings/public/filing/3152db0a-5a23-4445-88f5-ca18e2b525eb/print/</x:v>
      </x:c>
    </x:row>
    <x:row r="220">
      <x:c r="A220" s="51" t="str">
        <x:v>SRC-216</x:v>
      </x:c>
      <x:c r="B220" s="51" t="str">
        <x:v>LDA.gov</x:v>
      </x:c>
      <x:c r="C220" s="51" t="str">
        <x:v>Nvidia BGR Government Affairs Q1 2026 Disclosure</x:v>
      </x:c>
      <x:c r="D220" s="51" t="str">
        <x:v>2026-04-20</x:v>
      </x:c>
      <x:c r="E220" s="51" t="str">
        <x:v>Official lobbying disclosure</x:v>
      </x:c>
      <x:c r="F220" s="51" t="str">
        <x:v>A</x:v>
      </x:c>
      <x:c r="G220" s="51" t="str">
        <x:v>https://lda.senate.gov/filings/public/filing/a27ab4b8-c6f1-4e74-9886-17cffafd0e33/print/</x:v>
      </x:c>
    </x:row>
    <x:row r="221">
      <x:c r="A221" s="51" t="str">
        <x:v>SRC-217</x:v>
      </x:c>
      <x:c r="B221" s="51" t="str">
        <x:v>LDA.gov</x:v>
      </x:c>
      <x:c r="C221" s="51" t="str">
        <x:v>Nvidia Tiber Creek Q3 2025 Disclosure</x:v>
      </x:c>
      <x:c r="D221" s="51" t="str">
        <x:v>2025-10-19</x:v>
      </x:c>
      <x:c r="E221" s="51" t="str">
        <x:v>Official lobbying disclosure</x:v>
      </x:c>
      <x:c r="F221" s="51" t="str">
        <x:v>A</x:v>
      </x:c>
      <x:c r="G221" s="51" t="str">
        <x:v>https://lda.senate.gov/filings/public/filing/7120ccdd-3c3a-44fb-b52e-7e5b60b69bde/print/</x:v>
      </x:c>
    </x:row>
    <x:row r="222">
      <x:c r="A222" s="51" t="str">
        <x:v>SRC-218</x:v>
      </x:c>
      <x:c r="B222" s="51" t="str">
        <x:v>LDA.gov</x:v>
      </x:c>
      <x:c r="C222" s="51" t="str">
        <x:v>Anthropic and Applied Materials Continental Strategy Filings</x:v>
      </x:c>
      <x:c r="D222" s="51" t="str">
        <x:v>2025–2026</x:v>
      </x:c>
      <x:c r="E222" s="51" t="str">
        <x:v>Official lobbying disclosure search</x:v>
      </x:c>
      <x:c r="F222" s="51" t="str">
        <x:v>A</x:v>
      </x:c>
      <x:c r="G222" s="51" t="str">
        <x:v>https://lda.senate.gov/filings/public/filing/search/?registrant=continental+strategy&amp;search=search</x:v>
      </x:c>
    </x:row>
    <x:row r="223">
      <x:c r="A223" s="51" t="str">
        <x:v>SRC-219</x:v>
      </x:c>
      <x:c r="B223" s="51" t="str">
        <x:v>LDA.gov</x:v>
      </x:c>
      <x:c r="C223" s="51" t="str">
        <x:v>Meta Lobbying Firm Disclosures</x:v>
      </x:c>
      <x:c r="D223" s="51" t="str">
        <x:v>2025–2026</x:v>
      </x:c>
      <x:c r="E223" s="51" t="str">
        <x:v>Official lobbying disclosure search</x:v>
      </x:c>
      <x:c r="F223" s="51" t="str">
        <x:v>A</x:v>
      </x:c>
      <x:c r="G223" s="51" t="str">
        <x:v>https://lda.senate.gov/filings/public/filing/search/?client=meta&amp;search=search</x:v>
      </x:c>
    </x:row>
    <x:row r="224">
      <x:c r="A224" s="51" t="str">
        <x:v>SRC-220</x:v>
      </x:c>
      <x:c r="B224" s="51" t="str">
        <x:v>LDA.gov</x:v>
      </x:c>
      <x:c r="C224" s="51" t="str">
        <x:v>OpenAI Lobbying Firm Disclosures</x:v>
      </x:c>
      <x:c r="D224" s="51" t="str">
        <x:v>2025–2026</x:v>
      </x:c>
      <x:c r="E224" s="51" t="str">
        <x:v>Official lobbying disclosure search</x:v>
      </x:c>
      <x:c r="F224" s="51" t="str">
        <x:v>A</x:v>
      </x:c>
      <x:c r="G224" s="51" t="str">
        <x:v>https://lda.senate.gov/filings/public/filing/search/?client=openai&amp;search=search</x:v>
      </x:c>
    </x:row>
    <x:row r="225">
      <x:c r="A225" s="51" t="str">
        <x:v>SRC-221</x:v>
      </x:c>
      <x:c r="B225" s="51" t="str">
        <x:v>Delaware Division of Corporations</x:v>
      </x:c>
      <x:c r="C225" s="51" t="str">
        <x:v>2025 Annual Report Statistics</x:v>
      </x:c>
      <x:c r="D225" s="51" t="str">
        <x:v>2026</x:v>
      </x:c>
      <x:c r="E225" s="51" t="str">
        <x:v>Official corporate registry statistics</x:v>
      </x:c>
      <x:c r="F225" s="51" t="str">
        <x:v>A</x:v>
      </x:c>
      <x:c r="G225" s="51" t="str">
        <x:v>https://corp.delaware.gov/stats/</x:v>
      </x:c>
    </x:row>
    <x:row r="226">
      <x:c r="A226" s="51" t="str">
        <x:v>SRC-222</x:v>
      </x:c>
      <x:c r="B226" s="51" t="str">
        <x:v>Delaware Code</x:v>
      </x:c>
      <x:c r="C226" s="51" t="str">
        <x:v>Title 8 — Delaware General Corporation Law</x:v>
      </x:c>
      <x:c r="D226" s="51" t="str">
        <x:v>Current 2026</x:v>
      </x:c>
      <x:c r="E226" s="51" t="str">
        <x:v>Official statute</x:v>
      </x:c>
      <x:c r="F226" s="51" t="str">
        <x:v>A</x:v>
      </x:c>
      <x:c r="G226" s="51" t="str">
        <x:v>https://delcode.delaware.gov/title8/c001/</x:v>
      </x:c>
    </x:row>
    <x:row r="227">
      <x:c r="A227" s="51" t="str">
        <x:v>SRC-223</x:v>
      </x:c>
      <x:c r="B227" s="51" t="str">
        <x:v>Delaware Courts</x:v>
      </x:c>
      <x:c r="C227" s="51" t="str">
        <x:v>Court of Chancery</x:v>
      </x:c>
      <x:c r="D227" s="51" t="str">
        <x:v>Current 2026</x:v>
      </x:c>
      <x:c r="E227" s="51" t="str">
        <x:v>Official court page</x:v>
      </x:c>
      <x:c r="F227" s="51" t="str">
        <x:v>A</x:v>
      </x:c>
      <x:c r="G227" s="51" t="str">
        <x:v>https://courts.delaware.gov/chancery/</x:v>
      </x:c>
    </x:row>
    <x:row r="228">
      <x:c r="A228" s="51" t="str">
        <x:v>SRC-224</x:v>
      </x:c>
      <x:c r="B228" s="51" t="str">
        <x:v>Delaware Courts</x:v>
      </x:c>
      <x:c r="C228" s="51" t="str">
        <x:v>2025 Annual Report and Statistical Information</x:v>
      </x:c>
      <x:c r="D228" s="51" t="str">
        <x:v>2026</x:v>
      </x:c>
      <x:c r="E228" s="51" t="str">
        <x:v>Official judiciary annual report</x:v>
      </x:c>
      <x:c r="F228" s="51" t="str">
        <x:v>A</x:v>
      </x:c>
      <x:c r="G228" s="51" t="str">
        <x:v>https://courts.delaware.gov/aoc/annualreports/fy25/</x:v>
      </x:c>
    </x:row>
    <x:row r="229">
      <x:c r="A229" s="51" t="str">
        <x:v>SRC-225</x:v>
      </x:c>
      <x:c r="B229" s="51" t="str">
        <x:v>Glass Lewis</x:v>
      </x:c>
      <x:c r="C229" s="51" t="str">
        <x:v>2026 US Benchmark Policy Guidelines</x:v>
      </x:c>
      <x:c r="D229" s="51" t="str">
        <x:v>2025-12</x:v>
      </x:c>
      <x:c r="E229" s="51" t="str">
        <x:v>Official proxy policy document</x:v>
      </x:c>
      <x:c r="F229" s="51" t="str">
        <x:v>A</x:v>
      </x:c>
      <x:c r="G229" s="51" t="str">
        <x:v>https://resources.glasslewis.com/hubfs/2026%20Guidelines/Benchmark/Benchmark%20Policy%20Guidelines%202026%20-%20United%20States.pdf</x:v>
      </x:c>
    </x:row>
    <x:row r="230">
      <x:c r="A230" s="51" t="str">
        <x:v>SRC-226</x:v>
      </x:c>
      <x:c r="B230" s="51" t="str">
        <x:v>SEC</x:v>
      </x:c>
      <x:c r="C230" s="51" t="str">
        <x:v>Proxy Voting by Investment Advisers</x:v>
      </x:c>
      <x:c r="D230" s="51" t="str">
        <x:v>2003 / current</x:v>
      </x:c>
      <x:c r="E230" s="51" t="str">
        <x:v>Official rule page</x:v>
      </x:c>
      <x:c r="F230" s="51" t="str">
        <x:v>A</x:v>
      </x:c>
      <x:c r="G230" s="51" t="str">
        <x:v>https://www.sec.gov/rules-regulations/2003/01/proxy-voting-investment-advisers</x:v>
      </x:c>
    </x:row>
    <x:row r="231">
      <x:c r="A231" s="51" t="str">
        <x:v>SRC-227</x:v>
      </x:c>
      <x:c r="B231" s="51" t="str">
        <x:v>SEC</x:v>
      </x:c>
      <x:c r="C231" s="51" t="str">
        <x:v>Proxy Voting Advice</x:v>
      </x:c>
      <x:c r="D231" s="51" t="str">
        <x:v>2022 / current</x:v>
      </x:c>
      <x:c r="E231" s="51" t="str">
        <x:v>Official rule page</x:v>
      </x:c>
      <x:c r="F231" s="51" t="str">
        <x:v>A</x:v>
      </x:c>
      <x:c r="G231" s="51" t="str">
        <x:v>https://www.sec.gov/rules-regulations/2022/07/proxy-voting-advice</x:v>
      </x:c>
    </x:row>
    <x:row r="232">
      <x:c r="A232" s="51" t="str">
        <x:v>SRC-228</x:v>
      </x:c>
      <x:c r="B232" s="51" t="str">
        <x:v>DTCC</x:v>
      </x:c>
      <x:c r="C232" s="51" t="str">
        <x:v>DTCC Annual Financial Statements 2025</x:v>
      </x:c>
      <x:c r="D232" s="51" t="str">
        <x:v>2026-03-19</x:v>
      </x:c>
      <x:c r="E232" s="51" t="str">
        <x:v>Official financial statements</x:v>
      </x:c>
      <x:c r="F232" s="51" t="str">
        <x:v>A</x:v>
      </x:c>
      <x:c r="G232" s="51" t="str">
        <x:v>https://www.dtcc.com/-/media/Files/Downloads/legal/financials/2025/DTCC-Annual-Financial-Statement-2025.pdf</x:v>
      </x:c>
    </x:row>
    <x:row r="233">
      <x:c r="A233" s="51" t="str">
        <x:v>SRC-229</x:v>
      </x:c>
      <x:c r="B233" s="51" t="str">
        <x:v>DTCC</x:v>
      </x:c>
      <x:c r="C233" s="51" t="str">
        <x:v>DTC Rule Filing Concerning Cede &amp; Co Record Ownership</x:v>
      </x:c>
      <x:c r="D233" s="51" t="str">
        <x:v>2025-04-10</x:v>
      </x:c>
      <x:c r="E233" s="51" t="str">
        <x:v>Official rule filing</x:v>
      </x:c>
      <x:c r="F233" s="51" t="str">
        <x:v>A</x:v>
      </x:c>
      <x:c r="G233" s="51" t="str">
        <x:v>https://www.dtcc.com/-/media/Files/Downloads/legal/rule-filings/2025/DTC/SR-DTC-2025-005.pdf</x:v>
      </x:c>
    </x:row>
    <x:row r="234">
      <x:c r="A234" s="51" t="str">
        <x:v>SRC-230</x:v>
      </x:c>
      <x:c r="B234" s="51" t="str">
        <x:v>Uniform Law Commission</x:v>
      </x:c>
      <x:c r="C234" s="51" t="str">
        <x:v>Uniform Commercial Code — Article 9</x:v>
      </x:c>
      <x:c r="D234" s="51" t="str">
        <x:v>Current</x:v>
      </x:c>
      <x:c r="E234" s="51" t="str">
        <x:v>Official uniform-law page</x:v>
      </x:c>
      <x:c r="F234" s="51" t="str">
        <x:v>A</x:v>
      </x:c>
      <x:c r="G234" s="51" t="str">
        <x:v>https://www.uniformlaws.org/acts/ucc</x:v>
      </x:c>
    </x:row>
    <x:row r="235">
      <x:c r="A235" s="51" t="str">
        <x:v>SRC-231</x:v>
      </x:c>
      <x:c r="B235" s="51" t="str">
        <x:v>US Courts</x:v>
      </x:c>
      <x:c r="C235" s="51" t="str">
        <x:v>Chapter 11 Bankruptcy Basics</x:v>
      </x:c>
      <x:c r="D235" s="51" t="str">
        <x:v>Current 2026</x:v>
      </x:c>
      <x:c r="E235" s="51" t="str">
        <x:v>Official judicial guide</x:v>
      </x:c>
      <x:c r="F235" s="51" t="str">
        <x:v>A</x:v>
      </x:c>
      <x:c r="G235" s="51" t="str">
        <x:v>https://www.uscourts.gov/court-programs/bankruptcy/bankruptcy-basics/chapter-11-bankruptcy-basics</x:v>
      </x:c>
    </x:row>
    <x:row r="236">
      <x:c r="A236" s="51" t="str">
        <x:v>SRC-232</x:v>
      </x:c>
      <x:c r="B236" s="51" t="str">
        <x:v>US Department of Justice</x:v>
      </x:c>
      <x:c r="C236" s="51" t="str">
        <x:v>US Trustee Role in Chapter 11 Bankruptcy Cases</x:v>
      </x:c>
      <x:c r="D236" s="51" t="str">
        <x:v>2026-01</x:v>
      </x:c>
      <x:c r="E236" s="51" t="str">
        <x:v>Official programme guide</x:v>
      </x:c>
      <x:c r="F236" s="51" t="str">
        <x:v>A</x:v>
      </x:c>
      <x:c r="G236" s="51" t="str">
        <x:v>https://www.justice.gov/ust/bankruptcy-fact-sheets/us-trustees-role-chapter-11-bankruptcy-cases</x:v>
      </x:c>
    </x:row>
    <x:row r="237">
      <x:c r="A237" s="51" t="str">
        <x:v>SRC-233</x:v>
      </x:c>
      <x:c r="B237" s="51" t="str">
        <x:v>US Bankruptcy Court, Central District of California</x:v>
      </x:c>
      <x:c r="C237" s="51" t="str">
        <x:v>Chapter 11 Cash Collateral and DIP Financing</x:v>
      </x:c>
      <x:c r="D237" s="51" t="str">
        <x:v>Current</x:v>
      </x:c>
      <x:c r="E237" s="51" t="str">
        <x:v>Official court procedure</x:v>
      </x:c>
      <x:c r="F237" s="51" t="str">
        <x:v>A</x:v>
      </x:c>
      <x:c r="G237" s="51" t="str">
        <x:v>https://www.cacb.uscourts.gov/the-central-guide/chapter-11-cash-collateral-statement-finance</x:v>
      </x:c>
    </x:row>
    <x:row r="238">
      <x:c r="A238" s="51" t="str">
        <x:v>SRC-234</x:v>
      </x:c>
      <x:c r="B238" s="51" t="str">
        <x:v>ISDA</x:v>
      </x:c>
      <x:c r="C238" s="51" t="str">
        <x:v>The Importance of Close-Out Netting</x:v>
      </x:c>
      <x:c r="D238" s="51" t="str">
        <x:v>2010 / current reference</x:v>
      </x:c>
      <x:c r="E238" s="51" t="str">
        <x:v>Industry legal research</x:v>
      </x:c>
      <x:c r="F238" s="51" t="str">
        <x:v>B</x:v>
      </x:c>
      <x:c r="G238" s="51" t="str">
        <x:v>https://www.isda.org/a/USiDE/netting-isdaresearchnotes-1-2010.pdf</x:v>
      </x:c>
    </x:row>
    <x:row r="239">
      <x:c r="A239" s="51" t="str">
        <x:v>SRC-235</x:v>
      </x:c>
      <x:c r="B239" s="51" t="str">
        <x:v>ISDA</x:v>
      </x:c>
      <x:c r="C239" s="51" t="str">
        <x:v>Netting Opinions Overview</x:v>
      </x:c>
      <x:c r="D239" s="51" t="str">
        <x:v>Current 2026</x:v>
      </x:c>
      <x:c r="E239" s="51" t="str">
        <x:v>Official industry legal-opinion portal</x:v>
      </x:c>
      <x:c r="F239" s="51" t="str">
        <x:v>A</x:v>
      </x:c>
      <x:c r="G239" s="51" t="str">
        <x:v>https://www.isda.org/opinions-overview/</x:v>
      </x:c>
    </x:row>
    <x:row r="240">
      <x:c r="A240" s="51" t="str">
        <x:v>SRC-236</x:v>
      </x:c>
      <x:c r="B240" s="51" t="str">
        <x:v>ICSID</x:v>
      </x:c>
      <x:c r="C240" s="51" t="str">
        <x:v>ICSID Annual Report 2025</x:v>
      </x:c>
      <x:c r="D240" s="51" t="str">
        <x:v>2025-10-17</x:v>
      </x:c>
      <x:c r="E240" s="51" t="str">
        <x:v>Official annual report</x:v>
      </x:c>
      <x:c r="F240" s="51" t="str">
        <x:v>A</x:v>
      </x:c>
      <x:c r="G240" s="51" t="str">
        <x:v>https://icsid.worldbank.org/sites/default/files/publications/ICSIDAnnualReport2025ENG.pdf</x:v>
      </x:c>
    </x:row>
    <x:row r="241">
      <x:c r="A241" s="51" t="str">
        <x:v>SRC-237</x:v>
      </x:c>
      <x:c r="B241" s="51" t="str">
        <x:v>ICSID</x:v>
      </x:c>
      <x:c r="C241" s="51" t="str">
        <x:v>2025 Caseload Statistics</x:v>
      </x:c>
      <x:c r="D241" s="51" t="str">
        <x:v>2026-02-17</x:v>
      </x:c>
      <x:c r="E241" s="51" t="str">
        <x:v>Official case statistics</x:v>
      </x:c>
      <x:c r="F241" s="51" t="str">
        <x:v>A</x:v>
      </x:c>
      <x:c r="G241" s="51" t="str">
        <x:v>https://icsid.worldbank.org/news-and-events/news-releases/icsid-releases-2025-caseload-statistics</x:v>
      </x:c>
    </x:row>
    <x:row r="242">
      <x:c r="A242" s="51" t="str">
        <x:v>SRC-238</x:v>
      </x:c>
      <x:c r="B242" s="51" t="str">
        <x:v>ICC</x:v>
      </x:c>
      <x:c r="C242" s="51" t="str">
        <x:v>ICC Dispute Resolution 2025 Statistics</x:v>
      </x:c>
      <x:c r="D242" s="51" t="str">
        <x:v>2026-06</x:v>
      </x:c>
      <x:c r="E242" s="51" t="str">
        <x:v>Official arbitration statistics</x:v>
      </x:c>
      <x:c r="F242" s="51" t="str">
        <x:v>A</x:v>
      </x:c>
      <x:c r="G242" s="51" t="str">
        <x:v>https://iccwbo.org/wp-content/uploads/sites/3/2026/06/2025-Statistics_ICC_Dispute-Resolution_EN.pdf</x:v>
      </x:c>
    </x:row>
    <x:row r="243">
      <x:c r="A243" s="51" t="str">
        <x:v>SRC-239</x:v>
      </x:c>
      <x:c r="B243" s="51" t="str">
        <x:v>ICC</x:v>
      </x:c>
      <x:c r="C243" s="51" t="str">
        <x:v>2026 ICC Arbitration Rules</x:v>
      </x:c>
      <x:c r="D243" s="51" t="str">
        <x:v>2026-06-01</x:v>
      </x:c>
      <x:c r="E243" s="51" t="str">
        <x:v>Official arbitration rules portal</x:v>
      </x:c>
      <x:c r="F243" s="51" t="str">
        <x:v>A</x:v>
      </x:c>
      <x:c r="G243" s="51" t="str">
        <x:v>https://iccwbo.org/dispute-resolution/dispute-resolution-services/arbitration/rules-procedure/</x:v>
      </x:c>
    </x:row>
    <x:row r="244">
      <x:c r="A244" s="51" t="str">
        <x:v>SRC-240</x:v>
      </x:c>
      <x:c r="B244" s="51" t="str">
        <x:v>IMF</x:v>
      </x:c>
      <x:c r="C244" s="51" t="str">
        <x:v>A Stocktaking of the Current International Architecture for Resolving Sovereign Debt</x:v>
      </x:c>
      <x:c r="D244" s="51" t="str">
        <x:v>2025-10-03</x:v>
      </x:c>
      <x:c r="E244" s="51" t="str">
        <x:v>Official policy paper</x:v>
      </x:c>
      <x:c r="F244" s="51" t="str">
        <x:v>A</x:v>
      </x:c>
      <x:c r="G244" s="51" t="str">
        <x:v>https://www.imf.org/-/media/files/publications/pp/2025/english/ppea2025034.pdf</x:v>
      </x:c>
    </x:row>
    <x:row r="245">
      <x:c r="A245" s="51" t="str">
        <x:v>SRC-241</x:v>
      </x:c>
      <x:c r="B245" s="51" t="str">
        <x:v>IMF / World Bank</x:v>
      </x:c>
      <x:c r="C245" s="51" t="str">
        <x:v>Sovereign Debt Restructuring Playbook</x:v>
      </x:c>
      <x:c r="D245" s="51" t="str">
        <x:v>2025-04-23</x:v>
      </x:c>
      <x:c r="E245" s="51" t="str">
        <x:v>Official restructuring playbook</x:v>
      </x:c>
      <x:c r="F245" s="51" t="str">
        <x:v>A</x:v>
      </x:c>
      <x:c r="G245" s="51" t="str">
        <x:v>https://www.imf.org/-/media/files/about/faq/gsdr/042325-gsdr-restructuring-playbook.pdf</x:v>
      </x:c>
    </x:row>
    <x:row r="246">
      <x:c r="A246" s="51" t="str">
        <x:v>SRC-242</x:v>
      </x:c>
      <x:c r="B246" s="51" t="str">
        <x:v>Paris Club</x:v>
      </x:c>
      <x:c r="C246" s="51" t="str">
        <x:v>Paris Club Annual Report 2025</x:v>
      </x:c>
      <x:c r="D246" s="51" t="str">
        <x:v>2026-07-02</x:v>
      </x:c>
      <x:c r="E246" s="51" t="str">
        <x:v>Official annual report page</x:v>
      </x:c>
      <x:c r="F246" s="51" t="str">
        <x:v>A</x:v>
      </x:c>
      <x:c r="G246" s="51" t="str">
        <x:v>https://clubdeparis.org/en/clubdeparis/accueil/donnees-publications/actualites/cdp-renc-creanciers-prive-2025.html</x:v>
      </x:c>
    </x:row>
    <x:row r="247">
      <x:c r="A247" s="51" t="str">
        <x:v>SRC-243</x:v>
      </x:c>
      <x:c r="B247" s="51" t="str">
        <x:v>Paris Club</x:v>
      </x:c>
      <x:c r="C247" s="51" t="str">
        <x:v>Claims as of 31 December 2025</x:v>
      </x:c>
      <x:c r="D247" s="51" t="str">
        <x:v>2026-06-26</x:v>
      </x:c>
      <x:c r="E247" s="51" t="str">
        <x:v>Official creditor claims statistics</x:v>
      </x:c>
      <x:c r="F247" s="51" t="str">
        <x:v>A</x:v>
      </x:c>
      <x:c r="G247" s="51" t="str">
        <x:v>https://clubdeparis.org/en/clubdeparis/accueil/donnees-publications/actualites/publication-des-encours-du-cl-2.html</x:v>
      </x:c>
    </x:row>
    <x:row r="248">
      <x:c r="A248" s="51" t="str">
        <x:v>SRC-244</x:v>
      </x:c>
      <x:c r="B248" s="51" t="str">
        <x:v>World Bank</x:v>
      </x:c>
      <x:c r="C248" s="51" t="str">
        <x:v>Update on Debt Restructurings and the Role of Transparency</x:v>
      </x:c>
      <x:c r="D248" s="51" t="str">
        <x:v>2026-04-27</x:v>
      </x:c>
      <x:c r="E248" s="51" t="str">
        <x:v>Official policy presentation</x:v>
      </x:c>
      <x:c r="F248" s="51" t="str">
        <x:v>A</x:v>
      </x:c>
      <x:c r="G248" s="51" t="str">
        <x:v>https://thedocs.worldbank.org/en/doc/bc36bac16d4a69c94f674e31bbbdeb5c-0350012026/original/Uodate-on-dos-2026.pdf</x:v>
      </x:c>
    </x:row>
    <x:row r="249">
      <x:c r="A249" s="51" t="str">
        <x:v>SRC-245</x:v>
      </x:c>
      <x:c r="B249" s="51" t="str">
        <x:v>Burford Capital</x:v>
      </x:c>
      <x:c r="C249" s="51" t="str">
        <x:v>2025 Annual Report</x:v>
      </x:c>
      <x:c r="D249" s="51" t="str">
        <x:v>2026-02-26</x:v>
      </x:c>
      <x:c r="E249" s="51" t="str">
        <x:v>Official annual report page</x:v>
      </x:c>
      <x:c r="F249" s="51" t="str">
        <x:v>A</x:v>
      </x:c>
      <x:c r="G249" s="51" t="str">
        <x:v>https://investors.burfordcapital.com/financials/annual-reports/default.aspx</x:v>
      </x:c>
    </x:row>
    <x:row r="250">
      <x:c r="A250" s="51" t="str">
        <x:v>SRC-246</x:v>
      </x:c>
      <x:c r="B250" s="51" t="str">
        <x:v>Omni Bridgeway</x:v>
      </x:c>
      <x:c r="C250" s="51" t="str">
        <x:v>FY25 Results and Investor Materials</x:v>
      </x:c>
      <x:c r="D250" s="51" t="str">
        <x:v>2025–2026</x:v>
      </x:c>
      <x:c r="E250" s="51" t="str">
        <x:v>Official investor materials</x:v>
      </x:c>
      <x:c r="F250" s="51" t="str">
        <x:v>A</x:v>
      </x:c>
      <x:c r="G250" s="51" t="str">
        <x:v>https://omnibridgeway.com/investors/reports-and-presentations/results-reporting-and-investor-presentations</x:v>
      </x:c>
    </x:row>
    <x:row r="251">
      <x:c r="A251" s="51" t="str">
        <x:v>SRC-247</x:v>
      </x:c>
      <x:c r="B251" s="51" t="str">
        <x:v>US Courts</x:v>
      </x:c>
      <x:c r="C251" s="51" t="str">
        <x:v>Third-Party Litigation Funding Rule Suggestion</x:v>
      </x:c>
      <x:c r="D251" s="51" t="str">
        <x:v>2025-09-03</x:v>
      </x:c>
      <x:c r="E251" s="51" t="str">
        <x:v>Official rules submission</x:v>
      </x:c>
      <x:c r="F251" s="51" t="str">
        <x:v>A</x:v>
      </x:c>
      <x:c r="G251" s="51" t="str">
        <x:v>https://www.uscourts.gov/sites/default/files/document/25-cv-l_suggestion_from_lcj_-_rule_26_tplf.pdf</x:v>
      </x:c>
    </x:row>
    <x:row r="252">
      <x:c r="A252" s="51" t="str">
        <x:v>SRC-248</x:v>
      </x:c>
      <x:c r="B252" s="51" t="str">
        <x:v>US District Court, District of New Jersey</x:v>
      </x:c>
      <x:c r="C252" s="51" t="str">
        <x:v>Third-Party Litigation Funding Disclosure Rule</x:v>
      </x:c>
      <x:c r="D252" s="51" t="str">
        <x:v>Current 2026</x:v>
      </x:c>
      <x:c r="E252" s="51" t="str">
        <x:v>Official local rules</x:v>
      </x:c>
      <x:c r="F252" s="51" t="str">
        <x:v>A</x:v>
      </x:c>
      <x:c r="G252" s="51" t="str">
        <x:v>https://www.njd.uscourts.gov/sites/njd/files/CompleteLocalRules.pdf</x:v>
      </x:c>
    </x:row>
    <x:row r="253">
      <x:c r="A253" s="51" t="str">
        <x:v>SRC-249</x:v>
      </x:c>
      <x:c r="B253" s="51" t="str">
        <x:v>US District Court, Northern District of California</x:v>
      </x:c>
      <x:c r="C253" s="51" t="str">
        <x:v>Civil Local Rules — Litigation Funding Disclosure</x:v>
      </x:c>
      <x:c r="D253" s="51" t="str">
        <x:v>Current 2026</x:v>
      </x:c>
      <x:c r="E253" s="51" t="str">
        <x:v>Official local rules</x:v>
      </x:c>
      <x:c r="F253" s="51" t="str">
        <x:v>A</x:v>
      </x:c>
      <x:c r="G253" s="51" t="str">
        <x:v>https://cand.uscourts.gov/rules-forms-fees/local-rules/civil-local-rules</x:v>
      </x:c>
    </x:row>
    <x:row r="254">
      <x:c r="A254" s="51" t="str">
        <x:v>SRC-250</x:v>
      </x:c>
      <x:c r="B254" s="51" t="str">
        <x:v>OECD</x:v>
      </x:c>
      <x:c r="C254" s="51" t="str">
        <x:v>Global Anti-Base Erosion Model Rules (Pillar Two)</x:v>
      </x:c>
      <x:c r="D254" s="51" t="str">
        <x:v>2026</x:v>
      </x:c>
      <x:c r="E254" s="51" t="str">
        <x:v>Official international tax framework</x:v>
      </x:c>
      <x:c r="F254" s="51" t="str">
        <x:v>A</x:v>
      </x:c>
      <x:c r="G254" s="51" t="str">
        <x:v>https://www.oecd.org/en/topics/sub-issues/global-minimum-tax/global-anti-base-erosion-model-rules-pillar-two.html</x:v>
      </x:c>
    </x:row>
    <x:row r="255">
      <x:c r="A255" s="51" t="str">
        <x:v>SRC-251</x:v>
      </x:c>
      <x:c r="B255" s="51" t="str">
        <x:v>OECD</x:v>
      </x:c>
      <x:c r="C255" s="51" t="str">
        <x:v>The Global Minimum Tax Implementation Toolkit</x:v>
      </x:c>
      <x:c r="D255" s="51" t="str">
        <x:v>2026-04-24</x:v>
      </x:c>
      <x:c r="E255" s="51" t="str">
        <x:v>Official implementation toolkit</x:v>
      </x:c>
      <x:c r="F255" s="51" t="str">
        <x:v>A</x:v>
      </x:c>
      <x:c r="G255" s="51" t="str">
        <x:v>https://www.oecd.org/en/publications/the-global-minimum-tax-implementation-toolkit_0ee66d84-en.html</x:v>
      </x:c>
    </x:row>
    <x:row r="256">
      <x:c r="A256" s="51" t="str">
        <x:v>SRC-252</x:v>
      </x:c>
      <x:c r="B256" s="51" t="str">
        <x:v>OECD</x:v>
      </x:c>
      <x:c r="C256" s="51" t="str">
        <x:v>Central Record for Purposes of the Global Minimum Tax</x:v>
      </x:c>
      <x:c r="D256" s="51" t="str">
        <x:v>Current 2026</x:v>
      </x:c>
      <x:c r="E256" s="51" t="str">
        <x:v>Official implementation registry</x:v>
      </x:c>
      <x:c r="F256" s="51" t="str">
        <x:v>A</x:v>
      </x:c>
      <x:c r="G256" s="51" t="str">
        <x:v>https://www.oecd.org/en/topics/sub-issues/global-minimum-tax/central-record-of-legislation-with-transitional-qualified-status.html</x:v>
      </x:c>
    </x:row>
    <x:row r="257">
      <x:c r="A257" s="51" t="str">
        <x:v>SRC-253</x:v>
      </x:c>
      <x:c r="B257" s="51" t="str">
        <x:v>IRS</x:v>
      </x:c>
      <x:c r="C257" s="51" t="str">
        <x:v>About Form 8975, Country-by-Country Report</x:v>
      </x:c>
      <x:c r="D257" s="51" t="str">
        <x:v>2026-03-30</x:v>
      </x:c>
      <x:c r="E257" s="51" t="str">
        <x:v>Official tax form guidance</x:v>
      </x:c>
      <x:c r="F257" s="51" t="str">
        <x:v>A</x:v>
      </x:c>
      <x:c r="G257" s="51" t="str">
        <x:v>https://www.irs.gov/forms-pubs/about-form-8975</x:v>
      </x:c>
    </x:row>
    <x:row r="258">
      <x:c r="A258" s="51" t="str">
        <x:v>SRC-254</x:v>
      </x:c>
      <x:c r="B258" s="51" t="str">
        <x:v>IRS</x:v>
      </x:c>
      <x:c r="C258" s="51" t="str">
        <x:v>Country-by-Country Reporting Guidance</x:v>
      </x:c>
      <x:c r="D258" s="51" t="str">
        <x:v>2026-05-21</x:v>
      </x:c>
      <x:c r="E258" s="51" t="str">
        <x:v>Official tax guidance</x:v>
      </x:c>
      <x:c r="F258" s="51" t="str">
        <x:v>A</x:v>
      </x:c>
      <x:c r="G258" s="51" t="str">
        <x:v>https://www.irs.gov/businesses/international-businesses/country-by-country-reporting-guidance</x:v>
      </x:c>
    </x:row>
    <x:row r="259">
      <x:c r="A259" s="51" t="str">
        <x:v>SRC-255</x:v>
      </x:c>
      <x:c r="B259" s="51" t="str">
        <x:v>IRS</x:v>
      </x:c>
      <x:c r="C259" s="51" t="str">
        <x:v>Allocation of Income and Deductions Under IRC 482</x:v>
      </x:c>
      <x:c r="D259" s="51" t="str">
        <x:v>2025-08-25 / current</x:v>
      </x:c>
      <x:c r="E259" s="51" t="str">
        <x:v>Official internal revenue manual</x:v>
      </x:c>
      <x:c r="F259" s="51" t="str">
        <x:v>A</x:v>
      </x:c>
      <x:c r="G259" s="51" t="str">
        <x:v>https://www.irs.gov/irm/part4/irm_04-011-005</x:v>
      </x:c>
    </x:row>
    <x:row r="260">
      <x:c r="A260" s="51" t="str">
        <x:v>SRC-256</x:v>
      </x:c>
      <x:c r="B260" s="51" t="str">
        <x:v>IRS</x:v>
      </x:c>
      <x:c r="C260" s="51" t="str">
        <x:v>Transfer Pricing Documentation Best Practices FAQs</x:v>
      </x:c>
      <x:c r="D260" s="51" t="str">
        <x:v>2026-06-28</x:v>
      </x:c>
      <x:c r="E260" s="51" t="str">
        <x:v>Official tax guidance</x:v>
      </x:c>
      <x:c r="F260" s="51" t="str">
        <x:v>A</x:v>
      </x:c>
      <x:c r="G260" s="51" t="str">
        <x:v>https://www.irs.gov/businesses/international-businesses/transfer-pricing-documentation-best-practices-frequently-asked-questions-faqs</x:v>
      </x:c>
    </x:row>
    <x:row r="261">
      <x:c r="A261" s="51" t="str">
        <x:v>SRC-257</x:v>
      </x:c>
      <x:c r="B261" s="51" t="str">
        <x:v>OECD</x:v>
      </x:c>
      <x:c r="C261" s="51" t="str">
        <x:v>Transfer Pricing</x:v>
      </x:c>
      <x:c r="D261" s="51" t="str">
        <x:v>Current 2026</x:v>
      </x:c>
      <x:c r="E261" s="51" t="str">
        <x:v>Official international tax guidance</x:v>
      </x:c>
      <x:c r="F261" s="51" t="str">
        <x:v>A</x:v>
      </x:c>
      <x:c r="G261" s="51" t="str">
        <x:v>https://www.oecd.org/en/topics/transfer-pricing.html</x:v>
      </x:c>
    </x:row>
    <x:row r="262">
      <x:c r="A262" s="51" t="str">
        <x:v>SRC-258</x:v>
      </x:c>
      <x:c r="B262" s="51" t="str">
        <x:v>OECD</x:v>
      </x:c>
      <x:c r="C262" s="51" t="str">
        <x:v>Country-by-Country Reporting for Tax Purposes</x:v>
      </x:c>
      <x:c r="D262" s="51" t="str">
        <x:v>Current 2026</x:v>
      </x:c>
      <x:c r="E262" s="51" t="str">
        <x:v>Official international tax guidance</x:v>
      </x:c>
      <x:c r="F262" s="51" t="str">
        <x:v>A</x:v>
      </x:c>
      <x:c r="G262" s="51" t="str">
        <x:v>https://www.oecd.org/en/topics/country-by-country-reporting-for-tax-purposes.html</x:v>
      </x:c>
    </x:row>
    <x:row r="263">
      <x:c r="A263" s="51" t="str">
        <x:v>SRC-259</x:v>
      </x:c>
      <x:c r="B263" s="51" t="str">
        <x:v>USAspending.gov</x:v>
      </x:c>
      <x:c r="C263" s="51" t="str">
        <x:v>About USAspending</x:v>
      </x:c>
      <x:c r="D263" s="51" t="str">
        <x:v>Current 2026</x:v>
      </x:c>
      <x:c r="E263" s="51" t="str">
        <x:v>Official public spending portal</x:v>
      </x:c>
      <x:c r="F263" s="51" t="str">
        <x:v>A</x:v>
      </x:c>
      <x:c r="G263" s="51" t="str">
        <x:v>https://www.usaspending.gov/about</x:v>
      </x:c>
    </x:row>
    <x:row r="264">
      <x:c r="A264" s="51" t="str">
        <x:v>SRC-260</x:v>
      </x:c>
      <x:c r="B264" s="51" t="str">
        <x:v>Acquisition.gov</x:v>
      </x:c>
      <x:c r="C264" s="51" t="str">
        <x:v>Federal Acquisition Regulation</x:v>
      </x:c>
      <x:c r="D264" s="51" t="str">
        <x:v>Effective 2026-03-13</x:v>
      </x:c>
      <x:c r="E264" s="51" t="str">
        <x:v>Official procurement regulation</x:v>
      </x:c>
      <x:c r="F264" s="51" t="str">
        <x:v>A</x:v>
      </x:c>
      <x:c r="G264" s="51" t="str">
        <x:v>https://www.acquisition.gov/browse/index/far</x:v>
      </x:c>
    </x:row>
    <x:row r="265">
      <x:c r="A265" s="51" t="str">
        <x:v>SRC-261</x:v>
      </x:c>
      <x:c r="B265" s="51" t="str">
        <x:v>Acquisition.gov</x:v>
      </x:c>
      <x:c r="C265" s="51" t="str">
        <x:v>FAR Part 16 — Types of Contracts</x:v>
      </x:c>
      <x:c r="D265" s="51" t="str">
        <x:v>Current 2026</x:v>
      </x:c>
      <x:c r="E265" s="51" t="str">
        <x:v>Official procurement regulation</x:v>
      </x:c>
      <x:c r="F265" s="51" t="str">
        <x:v>A</x:v>
      </x:c>
      <x:c r="G265" s="51" t="str">
        <x:v>https://www.acquisition.gov/far/part-16</x:v>
      </x:c>
    </x:row>
    <x:row r="266">
      <x:c r="A266" s="51" t="str">
        <x:v>SRC-262</x:v>
      </x:c>
      <x:c r="B266" s="51" t="str">
        <x:v>Acquisition.gov</x:v>
      </x:c>
      <x:c r="C266" s="51" t="str">
        <x:v>FAR Subpart 16.5 — Indefinite-Delivery Contracts</x:v>
      </x:c>
      <x:c r="D266" s="51" t="str">
        <x:v>Current 2026</x:v>
      </x:c>
      <x:c r="E266" s="51" t="str">
        <x:v>Official procurement regulation</x:v>
      </x:c>
      <x:c r="F266" s="51" t="str">
        <x:v>A</x:v>
      </x:c>
      <x:c r="G266" s="51" t="str">
        <x:v>https://www.acquisition.gov/far/subpart-16.5</x:v>
      </x:c>
    </x:row>
    <x:row r="267">
      <x:c r="A267" s="51" t="str">
        <x:v>SRC-263</x:v>
      </x:c>
      <x:c r="B267" s="51" t="str">
        <x:v>GAO</x:v>
      </x:c>
      <x:c r="C267" s="51" t="str">
        <x:v>Governmentwide Contracting FY2025</x:v>
      </x:c>
      <x:c r="D267" s="51" t="str">
        <x:v>2026</x:v>
      </x:c>
      <x:c r="E267" s="51" t="str">
        <x:v>Official federal contracting analysis</x:v>
      </x:c>
      <x:c r="F267" s="51" t="str">
        <x:v>A</x:v>
      </x:c>
      <x:c r="G267" s="51" t="str">
        <x:v>https://files.gao.gov/multimedia/Federal_Government_Contracting-FY2025/index.html</x:v>
      </x:c>
    </x:row>
    <x:row r="268">
      <x:c r="A268" s="51" t="str">
        <x:v>SRC-264</x:v>
      </x:c>
      <x:c r="B268" s="51" t="str">
        <x:v>GAO</x:v>
      </x:c>
      <x:c r="C268" s="51" t="str">
        <x:v>Other Transaction Agreements: Improved Contracting Data Would Help DOD Assess Effectiveness</x:v>
      </x:c>
      <x:c r="D268" s="51" t="str">
        <x:v>2025-09-03</x:v>
      </x:c>
      <x:c r="E268" s="51" t="str">
        <x:v>Official audit report</x:v>
      </x:c>
      <x:c r="F268" s="51" t="str">
        <x:v>A</x:v>
      </x:c>
      <x:c r="G268" s="51" t="str">
        <x:v>https://www.gao.gov/products/gao-25-107546</x:v>
      </x:c>
    </x:row>
    <x:row r="269">
      <x:c r="A269" s="51" t="str">
        <x:v>SRC-265</x:v>
      </x:c>
      <x:c r="B269" s="51" t="str">
        <x:v>GAO</x:v>
      </x:c>
      <x:c r="C269" s="51" t="str">
        <x:v>Artificial Intelligence Acquisitions: Agencies Should Collect and Apply Lessons Learned</x:v>
      </x:c>
      <x:c r="D269" s="51" t="str">
        <x:v>2026-04-13</x:v>
      </x:c>
      <x:c r="E269" s="51" t="str">
        <x:v>Official audit report</x:v>
      </x:c>
      <x:c r="F269" s="51" t="str">
        <x:v>A</x:v>
      </x:c>
      <x:c r="G269" s="51" t="str">
        <x:v>https://files.gao.gov/reports/GAO-26-107859/index.html</x:v>
      </x:c>
    </x:row>
    <x:row r="270">
      <x:c r="A270" s="51" t="str">
        <x:v>SRC-266</x:v>
      </x:c>
      <x:c r="B270" s="51" t="str">
        <x:v>NIST / CHIPS for America</x:v>
      </x:c>
      <x:c r="C270" s="51" t="str">
        <x:v>CHIPS for America Programme Overview and 2026 Awards</x:v>
      </x:c>
      <x:c r="D270" s="51" t="str">
        <x:v>Current 2026</x:v>
      </x:c>
      <x:c r="E270" s="51" t="str">
        <x:v>Official industrial policy portal</x:v>
      </x:c>
      <x:c r="F270" s="51" t="str">
        <x:v>A</x:v>
      </x:c>
      <x:c r="G270" s="51" t="str">
        <x:v>https://www.nist.gov/chips</x:v>
      </x:c>
    </x:row>
    <x:row r="271">
      <x:c r="A271" s="51" t="str">
        <x:v>SRC-267</x:v>
      </x:c>
      <x:c r="B271" s="51" t="str">
        <x:v>IRS</x:v>
      </x:c>
      <x:c r="C271" s="51" t="str">
        <x:v>Advanced Manufacturing Investment Credit</x:v>
      </x:c>
      <x:c r="D271" s="51" t="str">
        <x:v>2025-11-26 / current</x:v>
      </x:c>
      <x:c r="E271" s="51" t="str">
        <x:v>Official tax credit guidance</x:v>
      </x:c>
      <x:c r="F271" s="51" t="str">
        <x:v>A</x:v>
      </x:c>
      <x:c r="G271" s="51" t="str">
        <x:v>https://www.irs.gov/credits-deductions/advanced-manufacturing-investment-credit</x:v>
      </x:c>
    </x:row>
    <x:row r="272">
      <x:c r="A272" s="51" t="str">
        <x:v>SRC-268</x:v>
      </x:c>
      <x:c r="B272" s="51" t="str">
        <x:v>IRS</x:v>
      </x:c>
      <x:c r="C272" s="51" t="str">
        <x:v>Advanced Manufacturing Production Credit</x:v>
      </x:c>
      <x:c r="D272" s="51" t="str">
        <x:v>2026-02-14</x:v>
      </x:c>
      <x:c r="E272" s="51" t="str">
        <x:v>Official tax credit guidance</x:v>
      </x:c>
      <x:c r="F272" s="51" t="str">
        <x:v>A</x:v>
      </x:c>
      <x:c r="G272" s="51" t="str">
        <x:v>https://www.irs.gov/credits-deductions/advanced-manufacturing-production-credit</x:v>
      </x:c>
    </x:row>
    <x:row r="273">
      <x:c r="A273" s="51" t="str">
        <x:v>SRC-269</x:v>
      </x:c>
      <x:c r="B273" s="51" t="str">
        <x:v>IRS</x:v>
      </x:c>
      <x:c r="C273" s="51" t="str">
        <x:v>Elective Pay and Transferability FAQs</x:v>
      </x:c>
      <x:c r="D273" s="51" t="str">
        <x:v>Current 2026</x:v>
      </x:c>
      <x:c r="E273" s="51" t="str">
        <x:v>Official tax credit monetisation guidance</x:v>
      </x:c>
      <x:c r="F273" s="51" t="str">
        <x:v>A</x:v>
      </x:c>
      <x:c r="G273" s="51" t="str">
        <x:v>https://www.irs.gov/credits-deductions/elective-pay-and-transferability-frequently-asked-questions-elective-pay</x:v>
      </x:c>
    </x:row>
    <x:row r="274">
      <x:c r="A274" s="51" t="str">
        <x:v>SRC-270</x:v>
      </x:c>
      <x:c r="B274" s="51" t="str">
        <x:v>DOE Loan Programs Office</x:v>
      </x:c>
      <x:c r="C274" s="51" t="str">
        <x:v>Getting to Know LPO</x:v>
      </x:c>
      <x:c r="D274" s="51" t="str">
        <x:v>Current 2026</x:v>
      </x:c>
      <x:c r="E274" s="51" t="str">
        <x:v>Official programme page</x:v>
      </x:c>
      <x:c r="F274" s="51" t="str">
        <x:v>A</x:v>
      </x:c>
      <x:c r="G274" s="51" t="str">
        <x:v>https://www.energy.gov/lpo/listings/getting-know-lpo</x:v>
      </x:c>
    </x:row>
    <x:row r="275">
      <x:c r="A275" s="51" t="str">
        <x:v>SRC-271</x:v>
      </x:c>
      <x:c r="B275" s="51" t="str">
        <x:v>GAO</x:v>
      </x:c>
      <x:c r="C275" s="51" t="str">
        <x:v>Changes to DOE Loan Program Would Reduce Barriers</x:v>
      </x:c>
      <x:c r="D275" s="51" t="str">
        <x:v>2025-08-11</x:v>
      </x:c>
      <x:c r="E275" s="51" t="str">
        <x:v>Official audit report</x:v>
      </x:c>
      <x:c r="F275" s="51" t="str">
        <x:v>A</x:v>
      </x:c>
      <x:c r="G275" s="51" t="str">
        <x:v>https://files.gao.gov/reports/GAO-25-107441/index.html</x:v>
      </x:c>
    </x:row>
    <x:row r="276">
      <x:c r="A276" s="51" t="str">
        <x:v>SRC-272</x:v>
      </x:c>
      <x:c r="B276" s="51" t="str">
        <x:v>OMB</x:v>
      </x:c>
      <x:c r="C276" s="51" t="str">
        <x:v>Supplemental Materials — Federal Credit Supplement</x:v>
      </x:c>
      <x:c r="D276" s="51" t="str">
        <x:v>Current 2026</x:v>
      </x:c>
      <x:c r="E276" s="51" t="str">
        <x:v>Official budget portal</x:v>
      </x:c>
      <x:c r="F276" s="51" t="str">
        <x:v>A</x:v>
      </x:c>
      <x:c r="G276" s="51" t="str">
        <x:v>https://www.whitehouse.gov/omb/information-resources/budget/supplemental-materials/</x:v>
      </x:c>
    </x:row>
    <x:row r="277">
      <x:c r="A277" s="51" t="str">
        <x:v>SRC-273</x:v>
      </x:c>
      <x:c r="B277" s="51" t="str">
        <x:v>OMB</x:v>
      </x:c>
      <x:c r="C277" s="51" t="str">
        <x:v>Analytical Perspectives — Credit and Insurance</x:v>
      </x:c>
      <x:c r="D277" s="51" t="str">
        <x:v>Current 2026</x:v>
      </x:c>
      <x:c r="E277" s="51" t="str">
        <x:v>Official budget analysis</x:v>
      </x:c>
      <x:c r="F277" s="51" t="str">
        <x:v>A</x:v>
      </x:c>
      <x:c r="G277" s="51" t="str">
        <x:v>https://www.whitehouse.gov/omb/information-resources/budget/analytical-perspectives/</x:v>
      </x:c>
    </x:row>
    <x:row r="278">
      <x:c r="A278" s="51" t="str">
        <x:v>SRC-274</x:v>
      </x:c>
      <x:c r="B278" s="51" t="str">
        <x:v>US Treasury Fiscal Service</x:v>
      </x:c>
      <x:c r="C278" s="51" t="str">
        <x:v>Federal Credit Reform Act of 1990</x:v>
      </x:c>
      <x:c r="D278" s="51" t="str">
        <x:v>Current 2026 republication</x:v>
      </x:c>
      <x:c r="E278" s="51" t="str">
        <x:v>Official statute reference</x:v>
      </x:c>
      <x:c r="F278" s="51" t="str">
        <x:v>A</x:v>
      </x:c>
      <x:c r="G278" s="51" t="str">
        <x:v>https://fiscal.treasury.gov/system/files/2026-04/fcra.pdf</x:v>
      </x:c>
    </x:row>
    <x:row r="279">
      <x:c r="A279" s="51" t="str">
        <x:v>SRC-275</x:v>
      </x:c>
      <x:c r="B279" s="51" t="str">
        <x:v>US Treasury Fiscal Service</x:v>
      </x:c>
      <x:c r="C279" s="51" t="str">
        <x:v>Credit Reform Accounting</x:v>
      </x:c>
      <x:c r="D279" s="51" t="str">
        <x:v>2026-04-29</x:v>
      </x:c>
      <x:c r="E279" s="51" t="str">
        <x:v>Official accounting guidance</x:v>
      </x:c>
      <x:c r="F279" s="51" t="str">
        <x:v>A</x:v>
      </x:c>
      <x:c r="G279" s="51" t="str">
        <x:v>https://fiscal.treasury.gov/accounting/us-standard-general-ledger-ussgl/resources-creditreform</x:v>
      </x:c>
    </x:row>
    <x:row r="280">
      <x:c r="A280" s="51" t="str">
        <x:v>SRC-276</x:v>
      </x:c>
      <x:c r="B280" s="51" t="str">
        <x:v>OMB</x:v>
      </x:c>
      <x:c r="C280" s="51" t="str">
        <x:v>Circular A-129 — Policies for Federal Credit Programs and Non-Tax Receivables</x:v>
      </x:c>
      <x:c r="D280" s="51" t="str">
        <x:v>2025-08-29</x:v>
      </x:c>
      <x:c r="E280" s="51" t="str">
        <x:v>Official executive guidance</x:v>
      </x:c>
      <x:c r="F280" s="51" t="str">
        <x:v>A</x:v>
      </x:c>
      <x:c r="G280" s="51" t="str">
        <x:v>https://www.whitehouse.gov/omb/information-resources/guidance/circulars/</x:v>
      </x:c>
    </x:row>
    <x:row r="281">
      <x:c r="A281" s="51" t="str">
        <x:v>SRC-277</x:v>
      </x:c>
      <x:c r="B281" s="51" t="str">
        <x:v>FDIC</x:v>
      </x:c>
      <x:c r="C281" s="51" t="str">
        <x:v>2025 Annual Report</x:v>
      </x:c>
      <x:c r="D281" s="51" t="str">
        <x:v>2026-03-26</x:v>
      </x:c>
      <x:c r="E281" s="51" t="str">
        <x:v>Official annual report</x:v>
      </x:c>
      <x:c r="F281" s="51" t="str">
        <x:v>A</x:v>
      </x:c>
      <x:c r="G281" s="51" t="str">
        <x:v>https://www.fdic.gov/financial-reports/2025-annual-report.pdf</x:v>
      </x:c>
    </x:row>
    <x:row r="282">
      <x:c r="A282" s="51" t="str">
        <x:v>SRC-278</x:v>
      </x:c>
      <x:c r="B282" s="51" t="str">
        <x:v>FDIC</x:v>
      </x:c>
      <x:c r="C282" s="51" t="str">
        <x:v>Quarterly Banking Profile — Fourth Quarter 2025</x:v>
      </x:c>
      <x:c r="D282" s="51" t="str">
        <x:v>2026-02-24</x:v>
      </x:c>
      <x:c r="E282" s="51" t="str">
        <x:v>Official banking statistics</x:v>
      </x:c>
      <x:c r="F282" s="51" t="str">
        <x:v>A</x:v>
      </x:c>
      <x:c r="G282" s="51" t="str">
        <x:v>https://www.fdic.gov/news/speeches/2026/fdic-quarterly-banking-profile-fourth-quarter-2025</x:v>
      </x:c>
    </x:row>
    <x:row r="283">
      <x:c r="A283" s="51" t="str">
        <x:v>SRC-279</x:v>
      </x:c>
      <x:c r="B283" s="51" t="str">
        <x:v>Federal Reserve Board</x:v>
      </x:c>
      <x:c r="C283" s="51" t="str">
        <x:v>Discount Window Lending</x:v>
      </x:c>
      <x:c r="D283" s="51" t="str">
        <x:v>2026-06-30</x:v>
      </x:c>
      <x:c r="E283" s="51" t="str">
        <x:v>Official central-bank facility page</x:v>
      </x:c>
      <x:c r="F283" s="51" t="str">
        <x:v>A</x:v>
      </x:c>
      <x:c r="G283" s="51" t="str">
        <x:v>https://www.federalreserve.gov/regreform/discount-window.htm</x:v>
      </x:c>
    </x:row>
    <x:row r="284">
      <x:c r="A284" s="51" t="str">
        <x:v>SRC-280</x:v>
      </x:c>
      <x:c r="B284" s="51" t="str">
        <x:v>Federal Reserve Board</x:v>
      </x:c>
      <x:c r="C284" s="51" t="str">
        <x:v>The Fed Explained: What the Central Bank Does</x:v>
      </x:c>
      <x:c r="D284" s="51" t="str">
        <x:v>Current reference</x:v>
      </x:c>
      <x:c r="E284" s="51" t="str">
        <x:v>Official central-bank guide</x:v>
      </x:c>
      <x:c r="F284" s="51" t="str">
        <x:v>A</x:v>
      </x:c>
      <x:c r="G284" s="51" t="str">
        <x:v>https://www.federalreserve.gov/aboutthefed/files/the-fed-explained.pdf</x:v>
      </x:c>
    </x:row>
    <x:row r="285">
      <x:c r="A285" s="51" t="str">
        <x:v>SRC-281</x:v>
      </x:c>
      <x:c r="B285" s="51" t="str">
        <x:v>Federal Reserve Board</x:v>
      </x:c>
      <x:c r="C285" s="51" t="str">
        <x:v>FOMC Minutes, October 28–29, 2025</x:v>
      </x:c>
      <x:c r="D285" s="51" t="str">
        <x:v>2025-11-19</x:v>
      </x:c>
      <x:c r="E285" s="51" t="str">
        <x:v>Official monetary policy record</x:v>
      </x:c>
      <x:c r="F285" s="51" t="str">
        <x:v>A</x:v>
      </x:c>
      <x:c r="G285" s="51" t="str">
        <x:v>https://www.federalreserve.gov/monetarypolicy/fomcminutes20251029.htm</x:v>
      </x:c>
    </x:row>
    <x:row r="286">
      <x:c r="A286" s="51" t="str">
        <x:v>SRC-282</x:v>
      </x:c>
      <x:c r="B286" s="51" t="str">
        <x:v>European Central Bank</x:v>
      </x:c>
      <x:c r="C286" s="51" t="str">
        <x:v>Collateral in Eurosystem Credit Operations</x:v>
      </x:c>
      <x:c r="D286" s="51" t="str">
        <x:v>Current 2026</x:v>
      </x:c>
      <x:c r="E286" s="51" t="str">
        <x:v>Official central-bank collateral page</x:v>
      </x:c>
      <x:c r="F286" s="51" t="str">
        <x:v>A</x:v>
      </x:c>
      <x:c r="G286" s="51" t="str">
        <x:v>https://www.ecb.europa.eu/mopo/coll/html/index.en.html</x:v>
      </x:c>
    </x:row>
    <x:row r="287">
      <x:c r="A287" s="51" t="str">
        <x:v>SRC-283</x:v>
      </x:c>
      <x:c r="B287" s="51" t="str">
        <x:v>European Central Bank</x:v>
      </x:c>
      <x:c r="C287" s="51" t="str">
        <x:v>ECB Amends Monetary Policy Implementation Guidelines</x:v>
      </x:c>
      <x:c r="D287" s="51" t="str">
        <x:v>2026-01-27</x:v>
      </x:c>
      <x:c r="E287" s="51" t="str">
        <x:v>Official central-bank release</x:v>
      </x:c>
      <x:c r="F287" s="51" t="str">
        <x:v>A</x:v>
      </x:c>
      <x:c r="G287" s="51" t="str">
        <x:v>https://www.ecb.europa.eu/press/pr/date/2026/html/ecb.pr260127~8dc0530a30.en.html</x:v>
      </x:c>
    </x:row>
    <x:row r="288">
      <x:c r="A288" s="51" t="str">
        <x:v>SRC-284</x:v>
      </x:c>
      <x:c r="B288" s="51" t="str">
        <x:v>European Central Bank</x:v>
      </x:c>
      <x:c r="C288" s="51" t="str">
        <x:v>ECB Extends Climate Factors in Collateral Framework</x:v>
      </x:c>
      <x:c r="D288" s="51" t="str">
        <x:v>2026-07-24</x:v>
      </x:c>
      <x:c r="E288" s="51" t="str">
        <x:v>Official central-bank release</x:v>
      </x:c>
      <x:c r="F288" s="51" t="str">
        <x:v>A</x:v>
      </x:c>
      <x:c r="G288" s="51" t="str">
        <x:v>https://www.ecb.europa.eu/press/pr/date/2026/html/ecb.pr260724_4~f082ce289d.en.html</x:v>
      </x:c>
    </x:row>
    <x:row r="289">
      <x:c r="A289" s="51" t="str">
        <x:v>SRC-285</x:v>
      </x:c>
      <x:c r="B289" s="51" t="str">
        <x:v>US International Development Finance Corporation</x:v>
      </x:c>
      <x:c r="C289" s="51" t="str">
        <x:v>FY2025 Annual Management Report</x:v>
      </x:c>
      <x:c r="D289" s="51" t="str">
        <x:v>2025-11-14</x:v>
      </x:c>
      <x:c r="E289" s="51" t="str">
        <x:v>Official annual report</x:v>
      </x:c>
      <x:c r="F289" s="51" t="str">
        <x:v>A</x:v>
      </x:c>
      <x:c r="G289" s="51" t="str">
        <x:v>https://www.dfc.gov/sites/default/files/media/documents/DFC%20Annual%20Management%20Report%20-%20FY%202025_508.pdf</x:v>
      </x:c>
    </x:row>
    <x:row r="290">
      <x:c r="A290" s="51" t="str">
        <x:v>SRC-286</x:v>
      </x:c>
      <x:c r="B290" s="51" t="str">
        <x:v>Export-Import Bank of the United States</x:v>
      </x:c>
      <x:c r="C290" s="51" t="str">
        <x:v>2025 Annual Report</x:v>
      </x:c>
      <x:c r="D290" s="51" t="str">
        <x:v>2026-01-16</x:v>
      </x:c>
      <x:c r="E290" s="51" t="str">
        <x:v>Official annual report</x:v>
      </x:c>
      <x:c r="F290" s="51" t="str">
        <x:v>A</x:v>
      </x:c>
      <x:c r="G290" s="51" t="str">
        <x:v>https://img.exim.gov/s3fs-public/reports/annual/exim_annual-report_2025.pdf</x:v>
      </x:c>
    </x:row>
    <x:row r="291">
      <x:c r="A291" s="51" t="str">
        <x:v>SRC-287</x:v>
      </x:c>
      <x:c r="B291" s="51" t="str">
        <x:v>MIGA</x:v>
      </x:c>
      <x:c r="C291" s="51" t="str">
        <x:v>2025 Annual Report</x:v>
      </x:c>
      <x:c r="D291" s="51" t="str">
        <x:v>2025</x:v>
      </x:c>
      <x:c r="E291" s="51" t="str">
        <x:v>Official annual report</x:v>
      </x:c>
      <x:c r="F291" s="51" t="str">
        <x:v>A</x:v>
      </x:c>
      <x:c r="G291" s="51" t="str">
        <x:v>https://www.miga.org/annual-report/annual-report-2025</x:v>
      </x:c>
    </x:row>
    <x:row r="292">
      <x:c r="A292" s="51" t="str">
        <x:v>SRC-288</x:v>
      </x:c>
      <x:c r="B292" s="51" t="str">
        <x:v>MIGA</x:v>
      </x:c>
      <x:c r="C292" s="51" t="str">
        <x:v>World Bank Group Guarantee Platform 2025 Appendix</x:v>
      </x:c>
      <x:c r="D292" s="51" t="str">
        <x:v>2025</x:v>
      </x:c>
      <x:c r="E292" s="51" t="str">
        <x:v>Official guarantee statistics</x:v>
      </x:c>
      <x:c r="F292" s="51" t="str">
        <x:v>A</x:v>
      </x:c>
      <x:c r="G292" s="51" t="str">
        <x:v>https://www.miga.org/annual-report/2025-annual-report-miga-appendix</x:v>
      </x:c>
    </x:row>
    <x:row r="293">
      <x:c r="A293" s="51" t="str">
        <x:v>SRC-289</x:v>
      </x:c>
      <x:c r="B293" s="51" t="str">
        <x:v>New York City Department of City Planning</x:v>
      </x:c>
      <x:c r="C293" s="51" t="str">
        <x:v>Zoning in NYC</x:v>
      </x:c>
      <x:c r="D293" s="51" t="str">
        <x:v>Current 2026</x:v>
      </x:c>
      <x:c r="E293" s="51" t="str">
        <x:v>Official planning portal</x:v>
      </x:c>
      <x:c r="F293" s="51" t="str">
        <x:v>A</x:v>
      </x:c>
      <x:c r="G293" s="51" t="str">
        <x:v>https://www.nyc.gov/content/planning/pages/zoning/zoning-nyc</x:v>
      </x:c>
    </x:row>
    <x:row r="294">
      <x:c r="A294" s="51" t="str">
        <x:v>SRC-290</x:v>
      </x:c>
      <x:c r="B294" s="51" t="str">
        <x:v>New York City Zoning Resolution</x:v>
      </x:c>
      <x:c r="C294" s="51" t="str">
        <x:v>Special Permits by the City Planning Commission</x:v>
      </x:c>
      <x:c r="D294" s="51" t="str">
        <x:v>Current 2026</x:v>
      </x:c>
      <x:c r="E294" s="51" t="str">
        <x:v>Official zoning law</x:v>
      </x:c>
      <x:c r="F294" s="51" t="str">
        <x:v>A</x:v>
      </x:c>
      <x:c r="G294" s="51" t="str">
        <x:v>https://zr.planning.nyc.gov/article-vii/chapter-4</x:v>
      </x:c>
    </x:row>
    <x:row r="295">
      <x:c r="A295" s="51" t="str">
        <x:v>SRC-291</x:v>
      </x:c>
      <x:c r="B295" s="51" t="str">
        <x:v>New York City Zoning Resolution</x:v>
      </x:c>
      <x:c r="C295" s="51" t="str">
        <x:v>Special Midtown District — Transfer of Development Rights</x:v>
      </x:c>
      <x:c r="D295" s="51" t="str">
        <x:v>Current 2026</x:v>
      </x:c>
      <x:c r="E295" s="51" t="str">
        <x:v>Official zoning law</x:v>
      </x:c>
      <x:c r="F295" s="51" t="str">
        <x:v>A</x:v>
      </x:c>
      <x:c r="G295" s="51" t="str">
        <x:v>https://zr.planning.nyc.gov/article-viii/chapter-1</x:v>
      </x:c>
    </x:row>
    <x:row r="296">
      <x:c r="A296" s="51" t="str">
        <x:v>SRC-292</x:v>
      </x:c>
      <x:c r="B296" s="51" t="str">
        <x:v>US Census Bureau</x:v>
      </x:c>
      <x:c r="C296" s="51" t="str">
        <x:v>Annual Survey of State and Local Government Finances</x:v>
      </x:c>
      <x:c r="D296" s="51" t="str">
        <x:v>2026 / 2024 data</x:v>
      </x:c>
      <x:c r="E296" s="51" t="str">
        <x:v>Official fiscal dataset</x:v>
      </x:c>
      <x:c r="F296" s="51" t="str">
        <x:v>A</x:v>
      </x:c>
      <x:c r="G296" s="51" t="str">
        <x:v>https://www.census.gov/programs-surveys/gov-finances.html</x:v>
      </x:c>
    </x:row>
    <x:row r="297">
      <x:c r="A297" s="51" t="str">
        <x:v>SRC-293</x:v>
      </x:c>
      <x:c r="B297" s="51" t="str">
        <x:v>US Census Bureau</x:v>
      </x:c>
      <x:c r="C297" s="51" t="str">
        <x:v>Government Taxes</x:v>
      </x:c>
      <x:c r="D297" s="51" t="str">
        <x:v>Current 2026</x:v>
      </x:c>
      <x:c r="E297" s="51" t="str">
        <x:v>Official tax statistics portal</x:v>
      </x:c>
      <x:c r="F297" s="51" t="str">
        <x:v>A</x:v>
      </x:c>
      <x:c r="G297" s="51" t="str">
        <x:v>https://www.census.gov/topics/public-sector/taxes.html</x:v>
      </x:c>
    </x:row>
    <x:row r="298">
      <x:c r="A298" s="51" t="str">
        <x:v>SRC-294</x:v>
      </x:c>
      <x:c r="B298" s="51" t="str">
        <x:v>SEC</x:v>
      </x:c>
      <x:c r="C298" s="51" t="str">
        <x:v>Office of Municipal Securities</x:v>
      </x:c>
      <x:c r="D298" s="51" t="str">
        <x:v>2026-01-23</x:v>
      </x:c>
      <x:c r="E298" s="51" t="str">
        <x:v>Official regulatory office page</x:v>
      </x:c>
      <x:c r="F298" s="51" t="str">
        <x:v>A</x:v>
      </x:c>
      <x:c r="G298" s="51" t="str">
        <x:v>https://www.sec.gov/about/divisions-offices/office-municipal-securities</x:v>
      </x:c>
    </x:row>
    <x:row r="299">
      <x:c r="A299" s="51" t="str">
        <x:v>SRC-295</x:v>
      </x:c>
      <x:c r="B299" s="51" t="str">
        <x:v>MSRB</x:v>
      </x:c>
      <x:c r="C299" s="51" t="str">
        <x:v>Municipal Bond Basics</x:v>
      </x:c>
      <x:c r="D299" s="51" t="str">
        <x:v>2026</x:v>
      </x:c>
      <x:c r="E299" s="51" t="str">
        <x:v>Official market education page</x:v>
      </x:c>
      <x:c r="F299" s="51" t="str">
        <x:v>A</x:v>
      </x:c>
      <x:c r="G299" s="51" t="str">
        <x:v>https://www.msrb.org/Education/Municipal-Bond-Basics-0</x:v>
      </x:c>
    </x:row>
    <x:row r="300">
      <x:c r="A300" s="51" t="str">
        <x:v>SRC-296</x:v>
      </x:c>
      <x:c r="B300" s="51" t="str">
        <x:v>MSRB</x:v>
      </x:c>
      <x:c r="C300" s="51" t="str">
        <x:v>Disclosure and EMMA</x:v>
      </x:c>
      <x:c r="D300" s="51" t="str">
        <x:v>Current 2026</x:v>
      </x:c>
      <x:c r="E300" s="51" t="str">
        <x:v>Official disclosure portal</x:v>
      </x:c>
      <x:c r="F300" s="51" t="str">
        <x:v>A</x:v>
      </x:c>
      <x:c r="G300" s="51" t="str">
        <x:v>https://www.msrb.org/Disclosure</x:v>
      </x:c>
    </x:row>
    <x:row r="301">
      <x:c r="A301" s="51" t="str">
        <x:v>SRC-297</x:v>
      </x:c>
      <x:c r="B301" s="51" t="str">
        <x:v>MSRB</x:v>
      </x:c>
      <x:c r="C301" s="51" t="str">
        <x:v>Rule G-37 Political Contributions and Prohibitions</x:v>
      </x:c>
      <x:c r="D301" s="51" t="str">
        <x:v>Current 2026</x:v>
      </x:c>
      <x:c r="E301" s="51" t="str">
        <x:v>Official self-regulatory rule</x:v>
      </x:c>
      <x:c r="F301" s="51" t="str">
        <x:v>A</x:v>
      </x:c>
      <x:c r="G301" s="51" t="str">
        <x:v>https://www.msrb.org/Rules-and-Interpretations/MSRB-Rules/General/Rule-G-37</x:v>
      </x:c>
    </x:row>
    <x:row r="302">
      <x:c r="A302" s="51" t="str">
        <x:v>SRC-298</x:v>
      </x:c>
      <x:c r="B302" s="51" t="str">
        <x:v>MSRB</x:v>
      </x:c>
      <x:c r="C302" s="51" t="str">
        <x:v>Rule G-42 Duties of Municipal Advisors</x:v>
      </x:c>
      <x:c r="D302" s="51" t="str">
        <x:v>Current 2026</x:v>
      </x:c>
      <x:c r="E302" s="51" t="str">
        <x:v>Official self-regulatory rule</x:v>
      </x:c>
      <x:c r="F302" s="51" t="str">
        <x:v>A</x:v>
      </x:c>
      <x:c r="G302" s="51" t="str">
        <x:v>https://www.msrb.org/Rules-and-Interpretations/MSRB-Rules/General/Rule-G-42</x:v>
      </x:c>
    </x:row>
    <x:row r="303">
      <x:c r="A303" s="51" t="str">
        <x:v>SRC-299</x:v>
      </x:c>
      <x:c r="B303" s="51" t="str">
        <x:v>MSRB</x:v>
      </x:c>
      <x:c r="C303" s="51" t="str">
        <x:v>2025 Fact Book</x:v>
      </x:c>
      <x:c r="D303" s="51" t="str">
        <x:v>2026-02</x:v>
      </x:c>
      <x:c r="E303" s="51" t="str">
        <x:v>Official market statistics</x:v>
      </x:c>
      <x:c r="F303" s="51" t="str">
        <x:v>A</x:v>
      </x:c>
      <x:c r="G303" s="51" t="str">
        <x:v>https://www.msrb.org/sites/default/files/2026-02/MSRB-2025-FactBook.pdf</x:v>
      </x:c>
    </x:row>
    <x:row r="304">
      <x:c r="A304" s="51" t="str">
        <x:v>SRC-300</x:v>
      </x:c>
      <x:c r="B304" s="51" t="str">
        <x:v>FHFA</x:v>
      </x:c>
      <x:c r="C304" s="51" t="str">
        <x:v>About Fannie Mae and Freddie Mac</x:v>
      </x:c>
      <x:c r="D304" s="51" t="str">
        <x:v>Current 2026</x:v>
      </x:c>
      <x:c r="E304" s="51" t="str">
        <x:v>Official regulator explainer</x:v>
      </x:c>
      <x:c r="F304" s="51" t="str">
        <x:v>A</x:v>
      </x:c>
      <x:c r="G304" s="51" t="str">
        <x:v>https://www.fhfa.gov/about-fannie-mae-freddie-mac</x:v>
      </x:c>
    </x:row>
    <x:row r="305">
      <x:c r="A305" s="51" t="str">
        <x:v>SRC-301</x:v>
      </x:c>
      <x:c r="B305" s="51" t="str">
        <x:v>FHFA</x:v>
      </x:c>
      <x:c r="C305" s="51" t="str">
        <x:v>Annual Report to Congress 2025</x:v>
      </x:c>
      <x:c r="D305" s="51" t="str">
        <x:v>2026-06-15</x:v>
      </x:c>
      <x:c r="E305" s="51" t="str">
        <x:v>Official annual report</x:v>
      </x:c>
      <x:c r="F305" s="51" t="str">
        <x:v>A</x:v>
      </x:c>
      <x:c r="G305" s="51" t="str">
        <x:v>https://www.fhfa.gov/reports/annual-report-to-congress/2025</x:v>
      </x:c>
    </x:row>
    <x:row r="306">
      <x:c r="A306" s="51" t="str">
        <x:v>SRC-302</x:v>
      </x:c>
      <x:c r="B306" s="51" t="str">
        <x:v>Fannie Mae</x:v>
      </x:c>
      <x:c r="C306" s="51" t="str">
        <x:v>2025 Housing-Market Funding and Guaranty Book</x:v>
      </x:c>
      <x:c r="D306" s="51" t="str">
        <x:v>2026</x:v>
      </x:c>
      <x:c r="E306" s="51" t="str">
        <x:v>Official company performance page</x:v>
      </x:c>
      <x:c r="F306" s="51" t="str">
        <x:v>A</x:v>
      </x:c>
      <x:c r="G306" s="51" t="str">
        <x:v>https://www.fanniemae.com/</x:v>
      </x:c>
    </x:row>
    <x:row r="307">
      <x:c r="A307" s="51" t="str">
        <x:v>SRC-303</x:v>
      </x:c>
      <x:c r="B307" s="51" t="str">
        <x:v>Fannie Mae</x:v>
      </x:c>
      <x:c r="C307" s="51" t="str">
        <x:v>Fourth Quarter and Full-Year 2025 Financial Results</x:v>
      </x:c>
      <x:c r="D307" s="51" t="str">
        <x:v>2026-02-11</x:v>
      </x:c>
      <x:c r="E307" s="51" t="str">
        <x:v>Official financial release</x:v>
      </x:c>
      <x:c r="F307" s="51" t="str">
        <x:v>A</x:v>
      </x:c>
      <x:c r="G307" s="51" t="str">
        <x:v>https://www.fanniemae.com/newsroom/fannie-mae-news/fourth-quarter-full-year-2025-financial-results-webcast</x:v>
      </x:c>
    </x:row>
    <x:row r="308">
      <x:c r="A308" s="51" t="str">
        <x:v>SRC-304</x:v>
      </x:c>
      <x:c r="B308" s="51" t="str">
        <x:v>Freddie Mac</x:v>
      </x:c>
      <x:c r="C308" s="51" t="str">
        <x:v>2025 Form 10-K</x:v>
      </x:c>
      <x:c r="D308" s="51" t="str">
        <x:v>2026-02-12</x:v>
      </x:c>
      <x:c r="E308" s="51" t="str">
        <x:v>Official SEC-style annual report</x:v>
      </x:c>
      <x:c r="F308" s="51" t="str">
        <x:v>A</x:v>
      </x:c>
      <x:c r="G308" s="51" t="str">
        <x:v>https://www.freddiemac.com/investors/financials/pdf/10k_021226.pdf</x:v>
      </x:c>
    </x:row>
    <x:row r="309">
      <x:c r="A309" s="51" t="str">
        <x:v>SRC-305</x:v>
      </x:c>
      <x:c r="B309" s="51" t="str">
        <x:v>Ginnie Mae</x:v>
      </x:c>
      <x:c r="C309" s="51" t="str">
        <x:v>Annual Report 2025</x:v>
      </x:c>
      <x:c r="D309" s="51" t="str">
        <x:v>2025-09-30</x:v>
      </x:c>
      <x:c r="E309" s="51" t="str">
        <x:v>Official annual report</x:v>
      </x:c>
      <x:c r="F309" s="51" t="str">
        <x:v>A</x:v>
      </x:c>
      <x:c r="G309" s="51" t="str">
        <x:v>https://www.ginniemae.gov/about_us/what_we_do/Annual_Reports/annual_report25.pdf</x:v>
      </x:c>
    </x:row>
    <x:row r="310">
      <x:c r="A310" s="51" t="str">
        <x:v>SRC-306</x:v>
      </x:c>
      <x:c r="B310" s="51" t="str">
        <x:v>Ginnie Mae</x:v>
      </x:c>
      <x:c r="C310" s="51" t="str">
        <x:v>FY2025 MBS Issuance and Portfolio Results</x:v>
      </x:c>
      <x:c r="D310" s="51" t="str">
        <x:v>2026-01-22</x:v>
      </x:c>
      <x:c r="E310" s="51" t="str">
        <x:v>Official press release</x:v>
      </x:c>
      <x:c r="F310" s="51" t="str">
        <x:v>A</x:v>
      </x:c>
      <x:c r="G310" s="51" t="str">
        <x:v>https://www.ginniemae.gov/newsroom/Pages/PressReleaseDispPage.aspx?ParamID=371</x:v>
      </x:c>
    </x:row>
    <x:row r="311">
      <x:c r="A311" s="51" t="str">
        <x:v>SRC-307</x:v>
      </x:c>
      <x:c r="B311" s="51" t="str">
        <x:v>FHFA</x:v>
      </x:c>
      <x:c r="C311" s="51" t="str">
        <x:v>Credit Risk Transfer Progress Report</x:v>
      </x:c>
      <x:c r="D311" s="51" t="str">
        <x:v>Current 2026</x:v>
      </x:c>
      <x:c r="E311" s="51" t="str">
        <x:v>Official regulator report portal</x:v>
      </x:c>
      <x:c r="F311" s="51" t="str">
        <x:v>A</x:v>
      </x:c>
      <x:c r="G311" s="51" t="str">
        <x:v>https://www.fhfa.gov/reports/credit-risk-transfer-progress-report</x:v>
      </x:c>
    </x:row>
    <x:row r="312">
      <x:c r="A312" s="51" t="str">
        <x:v>SRC-308</x:v>
      </x:c>
      <x:c r="B312" s="51" t="str">
        <x:v>Fannie Mae</x:v>
      </x:c>
      <x:c r="C312" s="51" t="str">
        <x:v>2025 Connecticut Avenue Securities Issuance Calendar</x:v>
      </x:c>
      <x:c r="D312" s="51" t="str">
        <x:v>2024-12 / 2025 programme</x:v>
      </x:c>
      <x:c r="E312" s="51" t="str">
        <x:v>Official programme release</x:v>
      </x:c>
      <x:c r="F312" s="51" t="str">
        <x:v>A</x:v>
      </x:c>
      <x:c r="G312" s="51" t="str">
        <x:v>https://www.fanniemae.com/newsroom/fannie-mae-news/2025-connecticut-avenue-securities-cas-issuance-calendar</x:v>
      </x:c>
    </x:row>
    <x:row r="313">
      <x:c r="A313" s="51" t="str">
        <x:v>SRC-309</x:v>
      </x:c>
      <x:c r="B313" s="51" t="str">
        <x:v>FHFA</x:v>
      </x:c>
      <x:c r="C313" s="51" t="str">
        <x:v>Single Security Initiative and Common Securitization Platform</x:v>
      </x:c>
      <x:c r="D313" s="51" t="str">
        <x:v>Current reference</x:v>
      </x:c>
      <x:c r="E313" s="51" t="str">
        <x:v>Official infrastructure page</x:v>
      </x:c>
      <x:c r="F313" s="51" t="str">
        <x:v>A</x:v>
      </x:c>
      <x:c r="G313" s="51" t="str">
        <x:v>https://www.fhfa.gov/policy/single-security-initiative-and-common-securitization-platform</x:v>
      </x:c>
    </x:row>
    <x:row r="314">
      <x:c r="A314" s="51" t="str">
        <x:v>SRC-310</x:v>
      </x:c>
      <x:c r="B314" s="51" t="str">
        <x:v>HUD</x:v>
      </x:c>
      <x:c r="C314" s="51" t="str">
        <x:v>FHA Mutual Mortgage Insurance Fund Annual Report FY2025</x:v>
      </x:c>
      <x:c r="D314" s="51" t="str">
        <x:v>2025-12</x:v>
      </x:c>
      <x:c r="E314" s="51" t="str">
        <x:v>Official annual report</x:v>
      </x:c>
      <x:c r="F314" s="51" t="str">
        <x:v>A</x:v>
      </x:c>
      <x:c r="G314" s="51" t="str">
        <x:v>https://www.hud.gov/sites/dfiles/Housing/documents/2025FHAAnnualReportMMIFund.pdf</x:v>
      </x:c>
    </x:row>
    <x:row r="315">
      <x:c r="A315" s="51" t="str">
        <x:v>SRC-311</x:v>
      </x:c>
      <x:c r="B315" s="51" t="str">
        <x:v>HUD</x:v>
      </x:c>
      <x:c r="C315" s="51" t="str">
        <x:v>FHA Mutual Mortgage Insurance Fund</x:v>
      </x:c>
      <x:c r="D315" s="51" t="str">
        <x:v>Current 2026</x:v>
      </x:c>
      <x:c r="E315" s="51" t="str">
        <x:v>Official programme portal</x:v>
      </x:c>
      <x:c r="F315" s="51" t="str">
        <x:v>A</x:v>
      </x:c>
      <x:c r="G315" s="51" t="str">
        <x:v>https://www.hud.gov/stat/sfh/mortgage-insurance-fund</x:v>
      </x:c>
    </x:row>
    <x:row r="316">
      <x:c r="A316" s="51" t="str">
        <x:v>SRC-312</x:v>
      </x:c>
      <x:c r="B316" s="51" t="str">
        <x:v>FHFA</x:v>
      </x:c>
      <x:c r="C316" s="51" t="str">
        <x:v>Collateral Pledged to Federal Home Loan Banks — 2025 Report</x:v>
      </x:c>
      <x:c r="D316" s="51" t="str">
        <x:v>2025-11-25</x:v>
      </x:c>
      <x:c r="E316" s="51" t="str">
        <x:v>Official regulator report</x:v>
      </x:c>
      <x:c r="F316" s="51" t="str">
        <x:v>A</x:v>
      </x:c>
      <x:c r="G316" s="51" t="str">
        <x:v>https://www.fhfa.gov/reports/collateral-pledged-to-fhlbanks/2025</x:v>
      </x:c>
    </x:row>
    <x:row r="317">
      <x:c r="A317" s="51" t="str">
        <x:v>SRC-313</x:v>
      </x:c>
      <x:c r="B317" s="51" t="str">
        <x:v>FHFA</x:v>
      </x:c>
      <x:c r="C317" s="51" t="str">
        <x:v>Federal Home Loan Bank Targeted Mission Activities</x:v>
      </x:c>
      <x:c r="D317" s="51" t="str">
        <x:v>2025</x:v>
      </x:c>
      <x:c r="E317" s="51" t="str">
        <x:v>Official regulator report portal</x:v>
      </x:c>
      <x:c r="F317" s="51" t="str">
        <x:v>A</x:v>
      </x:c>
      <x:c r="G317" s="51" t="str">
        <x:v>https://www.fhfa.gov/reports/fhlbank-targeted-mission-activities</x:v>
      </x:c>
    </x:row>
    <x:row r="318">
      <x:c r="A318" s="51" t="str">
        <x:v>SRC-314</x:v>
      </x:c>
      <x:c r="B318" s="51" t="str">
        <x:v>CFPB</x:v>
      </x:c>
      <x:c r="C318" s="51" t="str">
        <x:v>Regulation X — Real Estate Settlement Procedures Act</x:v>
      </x:c>
      <x:c r="D318" s="51" t="str">
        <x:v>Current 2026</x:v>
      </x:c>
      <x:c r="E318" s="51" t="str">
        <x:v>Official consumer regulation</x:v>
      </x:c>
      <x:c r="F318" s="51" t="str">
        <x:v>A</x:v>
      </x:c>
      <x:c r="G318" s="51" t="str">
        <x:v>https://www.cfpb.gov/rules-policy/regulations/1024/</x:v>
      </x:c>
    </x:row>
    <x:row r="319">
      <x:c r="A319" s="51" t="str">
        <x:v>SRC-315</x:v>
      </x:c>
      <x:c r="B319" s="51" t="str">
        <x:v>CFPB</x:v>
      </x:c>
      <x:c r="C319" s="51" t="str">
        <x:v>Regulation Z — Truth in Lending</x:v>
      </x:c>
      <x:c r="D319" s="51" t="str">
        <x:v>Amended 2026-04-08</x:v>
      </x:c>
      <x:c r="E319" s="51" t="str">
        <x:v>Official consumer regulation</x:v>
      </x:c>
      <x:c r="F319" s="51" t="str">
        <x:v>A</x:v>
      </x:c>
      <x:c r="G319" s="51" t="str">
        <x:v>https://www.cfpb.gov/rules-policy/regulations/1026/</x:v>
      </x:c>
    </x:row>
    <x:row r="320">
      <x:c r="A320" s="51" t="str">
        <x:v>SRC-316</x:v>
      </x:c>
      <x:c r="B320" s="51" t="str">
        <x:v>CFPB</x:v>
      </x:c>
      <x:c r="C320" s="51" t="str">
        <x:v>Home Mortgage Disclosure Act Data</x:v>
      </x:c>
      <x:c r="D320" s="51" t="str">
        <x:v>Current 2026</x:v>
      </x:c>
      <x:c r="E320" s="51" t="str">
        <x:v>Official loan-level data portal</x:v>
      </x:c>
      <x:c r="F320" s="51" t="str">
        <x:v>A</x:v>
      </x:c>
      <x:c r="G320" s="51" t="str">
        <x:v>https://www.cfpb.gov/data-research/hmda/</x:v>
      </x:c>
    </x:row>
    <x:row r="321">
      <x:c r="A321" s="51" t="str">
        <x:v>SRC-317</x:v>
      </x:c>
      <x:c r="B321" s="51" t="str">
        <x:v>MERSCORP Holdings</x:v>
      </x:c>
      <x:c r="C321" s="51" t="str">
        <x:v>MERS System</x:v>
      </x:c>
      <x:c r="D321" s="51" t="str">
        <x:v>Current 2026</x:v>
      </x:c>
      <x:c r="E321" s="51" t="str">
        <x:v>Official company system page</x:v>
      </x:c>
      <x:c r="F321" s="51" t="str">
        <x:v>A</x:v>
      </x:c>
      <x:c r="G321" s="51" t="str">
        <x:v>https://www.mersinc.org/products-services/mers-system</x:v>
      </x:c>
    </x:row>
    <x:row r="322">
      <x:c r="A322" s="51" t="str">
        <x:v>SRC-318</x:v>
      </x:c>
      <x:c r="B322" s="51" t="str">
        <x:v>MERSCORP Holdings</x:v>
      </x:c>
      <x:c r="C322" s="51" t="str">
        <x:v>MERS eRegistry Frequently Asked Questions</x:v>
      </x:c>
      <x:c r="D322" s="51" t="str">
        <x:v>Current 2026</x:v>
      </x:c>
      <x:c r="E322" s="51" t="str">
        <x:v>Official company registry page</x:v>
      </x:c>
      <x:c r="F322" s="51" t="str">
        <x:v>A</x:v>
      </x:c>
      <x:c r="G322" s="51" t="str">
        <x:v>https://www.mersinc.org/products-services/mers-esuite/eregistry/faq</x:v>
      </x:c>
    </x:row>
    <x:row r="323">
      <x:c r="A323" s="51" t="str">
        <x:v>SRC-319</x:v>
      </x:c>
      <x:c r="B323" s="51" t="str">
        <x:v>CFPB</x:v>
      </x:c>
      <x:c r="C323" s="51" t="str">
        <x:v>Title Insurance and Closing Services</x:v>
      </x:c>
      <x:c r="D323" s="51" t="str">
        <x:v>Current 2026</x:v>
      </x:c>
      <x:c r="E323" s="51" t="str">
        <x:v>Official consumer guidance</x:v>
      </x:c>
      <x:c r="F323" s="51" t="str">
        <x:v>A</x:v>
      </x:c>
      <x:c r="G323" s="51" t="str">
        <x:v>https://www.consumerfinance.gov/owning-a-home/close/shop-for-title-insurance-and-other-closing-services/</x:v>
      </x:c>
    </x:row>
    <x:row r="324">
      <x:c r="A324" s="51" t="str">
        <x:v>SRC-320</x:v>
      </x:c>
      <x:c r="B324" s="51" t="str">
        <x:v>Fidelity National Financial</x:v>
      </x:c>
      <x:c r="C324" s="51" t="str">
        <x:v>2025 Form 10-K</x:v>
      </x:c>
      <x:c r="D324" s="51" t="str">
        <x:v>2026</x:v>
      </x:c>
      <x:c r="E324" s="51" t="str">
        <x:v>Official SEC filing</x:v>
      </x:c>
      <x:c r="F324" s="51" t="str">
        <x:v>A</x:v>
      </x:c>
      <x:c r="G324" s="51" t="str">
        <x:v>https://www.sec.gov/Archives/edgar/data/1331875/000133187526000026/fnf-20251231.htm</x:v>
      </x:c>
    </x:row>
    <x:row r="325">
      <x:c r="A325" s="51" t="str">
        <x:v>SRC-321</x:v>
      </x:c>
      <x:c r="B325" s="51" t="str">
        <x:v>First American Financial</x:v>
      </x:c>
      <x:c r="C325" s="51" t="str">
        <x:v>2025 Form 10-K</x:v>
      </x:c>
      <x:c r="D325" s="51" t="str">
        <x:v>2026</x:v>
      </x:c>
      <x:c r="E325" s="51" t="str">
        <x:v>Official SEC filing</x:v>
      </x:c>
      <x:c r="F325" s="51" t="str">
        <x:v>A</x:v>
      </x:c>
      <x:c r="G325" s="51" t="str">
        <x:v>https://www.sec.gov/Archives/edgar/data/1472787/000119312526055516/faf-20251231.htm</x:v>
      </x:c>
    </x:row>
    <x:row r="326">
      <x:c r="A326" s="51" t="str">
        <x:v>SRC-322</x:v>
      </x:c>
      <x:c r="B326" s="51" t="str">
        <x:v>Invitation Homes</x:v>
      </x:c>
      <x:c r="C326" s="51" t="str">
        <x:v>2025 Form 10-K</x:v>
      </x:c>
      <x:c r="D326" s="51" t="str">
        <x:v>2026</x:v>
      </x:c>
      <x:c r="E326" s="51" t="str">
        <x:v>Official SEC filing</x:v>
      </x:c>
      <x:c r="F326" s="51" t="str">
        <x:v>A</x:v>
      </x:c>
      <x:c r="G326" s="51" t="str">
        <x:v>https://www.sec.gov/Archives/edgar/data/1687229/000168722926000016/invh-20251231.htm</x:v>
      </x:c>
    </x:row>
    <x:row r="327">
      <x:c r="A327" s="51" t="str">
        <x:v>SRC-323</x:v>
      </x:c>
      <x:c r="B327" s="51" t="str">
        <x:v>American Homes 4 Rent</x:v>
      </x:c>
      <x:c r="C327" s="51" t="str">
        <x:v>2025 Form 10-K</x:v>
      </x:c>
      <x:c r="D327" s="51" t="str">
        <x:v>2026</x:v>
      </x:c>
      <x:c r="E327" s="51" t="str">
        <x:v>Official SEC filing</x:v>
      </x:c>
      <x:c r="F327" s="51" t="str">
        <x:v>A</x:v>
      </x:c>
      <x:c r="G327" s="51" t="str">
        <x:v>https://www.sec.gov/Archives/edgar/data/1562401/000156240126000010/amh-20251231.htm</x:v>
      </x:c>
    </x:row>
    <x:row r="328">
      <x:c r="A328" s="51" t="str">
        <x:v>SRC-324</x:v>
      </x:c>
      <x:c r="B328" s="51" t="str">
        <x:v>Blackstone Real Estate Income Trust</x:v>
      </x:c>
      <x:c r="C328" s="51" t="str">
        <x:v>2025 Annual Report</x:v>
      </x:c>
      <x:c r="D328" s="51" t="str">
        <x:v>2026-03-27</x:v>
      </x:c>
      <x:c r="E328" s="51" t="str">
        <x:v>Official SEC filing</x:v>
      </x:c>
      <x:c r="F328" s="51" t="str">
        <x:v>A</x:v>
      </x:c>
      <x:c r="G328" s="51" t="str">
        <x:v>https://www.sec.gov/Archives/edgar/data/1662972/000166297226000046/breit_2025xannualreportxv13.pdf</x:v>
      </x:c>
    </x:row>
    <x:row r="329">
      <x:c r="A329" s="51" t="str">
        <x:v>SRC-325</x:v>
      </x:c>
      <x:c r="B329" s="51" t="str">
        <x:v>FHFA</x:v>
      </x:c>
      <x:c r="C329" s="51" t="str">
        <x:v>2026 Conforming Loan Limit Values</x:v>
      </x:c>
      <x:c r="D329" s="51" t="str">
        <x:v>2025-11-25</x:v>
      </x:c>
      <x:c r="E329" s="51" t="str">
        <x:v>Official regulator release</x:v>
      </x:c>
      <x:c r="F329" s="51" t="str">
        <x:v>A</x:v>
      </x:c>
      <x:c r="G329" s="51" t="str">
        <x:v>https://www.fhfa.gov/news/news-release/fhfa-announces-conforming-loan-limit-values-for-2026</x:v>
      </x:c>
    </x:row>
    <x:row r="330">
      <x:c r="A330" s="51" t="str">
        <x:v>SRC-326</x:v>
      </x:c>
      <x:c r="B330" s="51" t="str">
        <x:v>FHFA</x:v>
      </x:c>
      <x:c r="C330" s="51" t="str">
        <x:v>2025–2027 Enterprise Housing Goals</x:v>
      </x:c>
      <x:c r="D330" s="51" t="str">
        <x:v>2024-12-19</x:v>
      </x:c>
      <x:c r="E330" s="51" t="str">
        <x:v>Official regulator rule release</x:v>
      </x:c>
      <x:c r="F330" s="51" t="str">
        <x:v>A</x:v>
      </x:c>
      <x:c r="G330" s="51" t="str">
        <x:v>https://www.fhfa.gov/news/news-release/fhfa-finalizes-2025-2027-housing-goals-for-fannie-mae-and-freddie-mac</x:v>
      </x:c>
    </x:row>
    <x:row r="331">
      <x:c r="A331" s="51" t="str">
        <x:v>SRC-327</x:v>
      </x:c>
      <x:c r="B331" s="51" t="str">
        <x:v>FHFA</x:v>
      </x:c>
      <x:c r="C331" s="51" t="str">
        <x:v>2025 Multifamily Loan Purchase Caps</x:v>
      </x:c>
      <x:c r="D331" s="51" t="str">
        <x:v>2024-11-18</x:v>
      </x:c>
      <x:c r="E331" s="51" t="str">
        <x:v>Official regulator fact sheet</x:v>
      </x:c>
      <x:c r="F331" s="51" t="str">
        <x:v>A</x:v>
      </x:c>
      <x:c r="G331" s="51" t="str">
        <x:v>https://www.fhfa.gov/news/fact-sheet/2025-multifamily-loan-purchase-caps-for-fannie-mae-and-freddie-mac</x:v>
      </x:c>
    </x:row>
    <x:row r="332">
      <x:c r="A332" s="51" t="str">
        <x:v>SRC-328</x:v>
      </x:c>
      <x:c r="B332" s="51" t="str">
        <x:v>CFPB</x:v>
      </x:c>
      <x:c r="C332" s="51" t="str">
        <x:v>Mortgage Closing Process</x:v>
      </x:c>
      <x:c r="D332" s="51" t="str">
        <x:v>Current 2026</x:v>
      </x:c>
      <x:c r="E332" s="51" t="str">
        <x:v>Official consumer guidance</x:v>
      </x:c>
      <x:c r="F332" s="51" t="str">
        <x:v>A</x:v>
      </x:c>
      <x:c r="G332" s="51" t="str">
        <x:v>https://www.consumerfinance.gov/owning-a-home/close/</x:v>
      </x:c>
    </x:row>
    <x:row r="333">
      <x:c r="A333" s="51" t="str">
        <x:v>SRC-329</x:v>
      </x:c>
      <x:c r="B333" s="51" t="str">
        <x:v>MSRB</x:v>
      </x:c>
      <x:c r="C333" s="51" t="str">
        <x:v>About EMMA</x:v>
      </x:c>
      <x:c r="D333" s="51" t="str">
        <x:v>Current 2026</x:v>
      </x:c>
      <x:c r="E333" s="51" t="str">
        <x:v>Official transparency platform page</x:v>
      </x:c>
      <x:c r="F333" s="51" t="str">
        <x:v>A</x:v>
      </x:c>
      <x:c r="G333" s="51" t="str">
        <x:v>https://www.msrb.org/Transparency-and-Technology/About-EMMA</x:v>
      </x:c>
    </x:row>
    <x:row r="334">
      <x:c r="A334" s="51" t="str">
        <x:v>SRC-330</x:v>
      </x:c>
      <x:c r="B334" s="51" t="str">
        <x:v>FHFA</x:v>
      </x:c>
      <x:c r="C334" s="51" t="str">
        <x:v>FHFA House Price Index</x:v>
      </x:c>
      <x:c r="D334" s="51" t="str">
        <x:v>Current 2026</x:v>
      </x:c>
      <x:c r="E334" s="51" t="str">
        <x:v>Official house-price dataset</x:v>
      </x:c>
      <x:c r="F334" s="51" t="str">
        <x:v>A</x:v>
      </x:c>
      <x:c r="G334" s="51" t="str">
        <x:v>https://www.fhfa.gov/data/hpi</x:v>
      </x:c>
    </x:row>
    <x:row r="335">
      <x:c r="A335" s="51" t="str">
        <x:v>SRC-331</x:v>
      </x:c>
      <x:c r="B335" s="51" t="str">
        <x:v>FHFA</x:v>
      </x:c>
      <x:c r="C335" s="51" t="str">
        <x:v>FHLBank Membership Data</x:v>
      </x:c>
      <x:c r="D335" s="51" t="str">
        <x:v>2025-09-30</x:v>
      </x:c>
      <x:c r="E335" s="51" t="str">
        <x:v>Official membership dataset</x:v>
      </x:c>
      <x:c r="F335" s="51" t="str">
        <x:v>A</x:v>
      </x:c>
      <x:c r="G335" s="51" t="str">
        <x:v>https://www.fhfa.gov/data/fhlb-membership</x:v>
      </x:c>
    </x:row>
    <x:row r="336">
      <x:c r="A336" s="51" t="str">
        <x:v>SRC-332</x:v>
      </x:c>
      <x:c r="B336" s="51" t="str">
        <x:v>CFPB</x:v>
      </x:c>
      <x:c r="C336" s="51" t="str">
        <x:v>Lender's Title Insurance</x:v>
      </x:c>
      <x:c r="D336" s="51" t="str">
        <x:v>2024-09-13 / current</x:v>
      </x:c>
      <x:c r="E336" s="51" t="str">
        <x:v>Official consumer guidance</x:v>
      </x:c>
      <x:c r="F336" s="51" t="str">
        <x:v>A</x:v>
      </x:c>
      <x:c r="G336" s="51" t="str">
        <x:v>https://www.consumerfinance.gov/ask-cfpb/what-is-lenders-title-insurance-en-163/</x:v>
      </x:c>
    </x:row>
    <x:row r="337">
      <x:c r="A337" s="51" t="str">
        <x:v>SRC-333</x:v>
      </x:c>
      <x:c r="B337" s="51" t="str">
        <x:v>OPEC</x:v>
      </x:c>
      <x:c r="C337" s="51" t="str">
        <x:v>61st Edition of OPEC Annual Statistical Bulletin</x:v>
      </x:c>
      <x:c r="D337" s="51" t="str">
        <x:v>2026-04-29</x:v>
      </x:c>
      <x:c r="E337" s="51" t="str">
        <x:v>Official statistical bulletin release</x:v>
      </x:c>
      <x:c r="F337" s="51" t="str">
        <x:v>A</x:v>
      </x:c>
      <x:c r="G337" s="51" t="str">
        <x:v>https://www.opec.org/pr-detail/1784601-29-april-2026.html</x:v>
      </x:c>
    </x:row>
    <x:row r="338">
      <x:c r="A338" s="51" t="str">
        <x:v>SRC-334</x:v>
      </x:c>
      <x:c r="B338" s="51" t="str">
        <x:v>OPEC</x:v>
      </x:c>
      <x:c r="C338" s="51" t="str">
        <x:v>Declaration of Cooperation</x:v>
      </x:c>
      <x:c r="D338" s="51" t="str">
        <x:v>Current 2026</x:v>
      </x:c>
      <x:c r="E338" s="51" t="str">
        <x:v>Official cooperation framework</x:v>
      </x:c>
      <x:c r="F338" s="51" t="str">
        <x:v>A</x:v>
      </x:c>
      <x:c r="G338" s="51" t="str">
        <x:v>https://www.opec.org/declaration-of-cooperation.html</x:v>
      </x:c>
    </x:row>
    <x:row r="339">
      <x:c r="A339" s="51" t="str">
        <x:v>SRC-335</x:v>
      </x:c>
      <x:c r="B339" s="51" t="str">
        <x:v>OPEC</x:v>
      </x:c>
      <x:c r="C339" s="51" t="str">
        <x:v>41st OPEC and non-OPEC Ministerial Meeting</x:v>
      </x:c>
      <x:c r="D339" s="51" t="str">
        <x:v>2026-06-07</x:v>
      </x:c>
      <x:c r="E339" s="51" t="str">
        <x:v>Official ministerial decision</x:v>
      </x:c>
      <x:c r="F339" s="51" t="str">
        <x:v>A</x:v>
      </x:c>
      <x:c r="G339" s="51" t="str">
        <x:v>https://www.opec.org/pr-detail/605-7-june-2026.html</x:v>
      </x:c>
    </x:row>
    <x:row r="340">
      <x:c r="A340" s="51" t="str">
        <x:v>SRC-336</x:v>
      </x:c>
      <x:c r="B340" s="51" t="str">
        <x:v>OPEC</x:v>
      </x:c>
      <x:c r="C340" s="51" t="str">
        <x:v>64th Joint Ministerial Monitoring Committee Meeting</x:v>
      </x:c>
      <x:c r="D340" s="51" t="str">
        <x:v>2026-02-01</x:v>
      </x:c>
      <x:c r="E340" s="51" t="str">
        <x:v>Official monitoring statement</x:v>
      </x:c>
      <x:c r="F340" s="51" t="str">
        <x:v>A</x:v>
      </x:c>
      <x:c r="G340" s="51" t="str">
        <x:v>https://www.opec.org/pr-detail/590-1-february-2026.html</x:v>
      </x:c>
    </x:row>
    <x:row r="341">
      <x:c r="A341" s="51" t="str">
        <x:v>SRC-337</x:v>
      </x:c>
      <x:c r="B341" s="51" t="str">
        <x:v>Saudi Aramco</x:v>
      </x:c>
      <x:c r="C341" s="51" t="str">
        <x:v>Investor Overview and Annual Report 2025</x:v>
      </x:c>
      <x:c r="D341" s="51" t="str">
        <x:v>2026-03-10</x:v>
      </x:c>
      <x:c r="E341" s="51" t="str">
        <x:v>Official company reporting</x:v>
      </x:c>
      <x:c r="F341" s="51" t="str">
        <x:v>A</x:v>
      </x:c>
      <x:c r="G341" s="51" t="str">
        <x:v>https://www.saudiaramco.com/investors</x:v>
      </x:c>
    </x:row>
    <x:row r="342">
      <x:c r="A342" s="51" t="str">
        <x:v>SRC-338</x:v>
      </x:c>
      <x:c r="B342" s="51" t="str">
        <x:v>ADNOC Murban RSC</x:v>
      </x:c>
      <x:c r="C342" s="51" t="str">
        <x:v>FY2025 Financial Statements and Material Contracts</x:v>
      </x:c>
      <x:c r="D342" s="51" t="str">
        <x:v>2026</x:v>
      </x:c>
      <x:c r="E342" s="51" t="str">
        <x:v>Official audited financial statements</x:v>
      </x:c>
      <x:c r="F342" s="51" t="str">
        <x:v>A</x:v>
      </x:c>
      <x:c r="G342" s="51" t="str">
        <x:v>https://adnoc.ae/en/adnoc-murban/-/media/Adnoc%20v2/Sub%20Brands/ADNOC%20Murban/files/2026/ADNOC%20Murban%20RSC%20LTD%20-%20Financial%20Statements%20-%20FY%202025</x:v>
      </x:c>
    </x:row>
    <x:row r="343">
      <x:c r="A343" s="51" t="str">
        <x:v>SRC-339</x:v>
      </x:c>
      <x:c r="B343" s="51" t="str">
        <x:v>ADNOC</x:v>
      </x:c>
      <x:c r="C343" s="51" t="str">
        <x:v>Structured Financing for Hail and Ghasha Gas Development</x:v>
      </x:c>
      <x:c r="D343" s="51" t="str">
        <x:v>2025-12-18</x:v>
      </x:c>
      <x:c r="E343" s="51" t="str">
        <x:v>Official transaction release</x:v>
      </x:c>
      <x:c r="F343" s="51" t="str">
        <x:v>A</x:v>
      </x:c>
      <x:c r="G343" s="51" t="str">
        <x:v>https://www.adnoc.ae/en/news-and-media/press-releases/2025/adnoc-secures-landmark-structured-financing-of-up-to-11-billion-for-hail-and-ghasha-gas-development</x:v>
      </x:c>
    </x:row>
    <x:row r="344">
      <x:c r="A344" s="51" t="str">
        <x:v>SRC-340</x:v>
      </x:c>
      <x:c r="B344" s="51" t="str">
        <x:v>ADNOC</x:v>
      </x:c>
      <x:c r="C344" s="51" t="str">
        <x:v>15-Year LNG SPA with IndianOil</x:v>
      </x:c>
      <x:c r="D344" s="51" t="str">
        <x:v>2025-08-27</x:v>
      </x:c>
      <x:c r="E344" s="51" t="str">
        <x:v>Official contract release</x:v>
      </x:c>
      <x:c r="F344" s="51" t="str">
        <x:v>A</x:v>
      </x:c>
      <x:c r="G344" s="51" t="str">
        <x:v>https://www.adnoc.ae/en/news-and-media/press-releases/2025/adnoc-signs-15-year-lng-sales-and-purchase-agreement-with-indianoil-for-ruwais-lng-project</x:v>
      </x:c>
    </x:row>
    <x:row r="345">
      <x:c r="A345" s="51" t="str">
        <x:v>SRC-341</x:v>
      </x:c>
      <x:c r="B345" s="51" t="str">
        <x:v>ADNOC</x:v>
      </x:c>
      <x:c r="C345" s="51" t="str">
        <x:v>Global LNG Marketing and Trading Platform</x:v>
      </x:c>
      <x:c r="D345" s="51" t="str">
        <x:v>2026</x:v>
      </x:c>
      <x:c r="E345" s="51" t="str">
        <x:v>Official company release</x:v>
      </x:c>
      <x:c r="F345" s="51" t="str">
        <x:v>A</x:v>
      </x:c>
      <x:c r="G345" s="51" t="str">
        <x:v>https://www.adnoc.ae/en/news-and-media/press-releases/2026/adnoc-launches-global-lng-marketing-and-trading-platform</x:v>
      </x:c>
    </x:row>
    <x:row r="346">
      <x:c r="A346" s="51" t="str">
        <x:v>SRC-342</x:v>
      </x:c>
      <x:c r="B346" s="51" t="str">
        <x:v>QatarEnergy</x:v>
      </x:c>
      <x:c r="C346" s="51" t="str">
        <x:v>Annual Review 2024</x:v>
      </x:c>
      <x:c r="D346" s="51" t="str">
        <x:v>2025-06-10</x:v>
      </x:c>
      <x:c r="E346" s="51" t="str">
        <x:v>Official company annual review</x:v>
      </x:c>
      <x:c r="F346" s="51" t="str">
        <x:v>A</x:v>
      </x:c>
      <x:c r="G346" s="51" t="str">
        <x:v>https://www.qatarenergy.qa/en/MediaCenter/Publications/%E2%80%8BQatarEnergy%20Annual%20Review%202024.pdf</x:v>
      </x:c>
    </x:row>
    <x:row r="347">
      <x:c r="A347" s="51" t="str">
        <x:v>SRC-343</x:v>
      </x:c>
      <x:c r="B347" s="51" t="str">
        <x:v>QatarEnergy</x:v>
      </x:c>
      <x:c r="C347" s="51" t="str">
        <x:v>North Field LNG Expansion Overview</x:v>
      </x:c>
      <x:c r="D347" s="51" t="str">
        <x:v>Current 2026</x:v>
      </x:c>
      <x:c r="E347" s="51" t="str">
        <x:v>Official company project page</x:v>
      </x:c>
      <x:c r="F347" s="51" t="str">
        <x:v>A</x:v>
      </x:c>
      <x:c r="G347" s="51" t="str">
        <x:v>https://www.qatarenergy.qa/en/whoweare/Pages/WhatIsLNG.aspx</x:v>
      </x:c>
    </x:row>
    <x:row r="348">
      <x:c r="A348" s="51" t="str">
        <x:v>SRC-344</x:v>
      </x:c>
      <x:c r="B348" s="51" t="str">
        <x:v>Cheniere Energy</x:v>
      </x:c>
      <x:c r="C348" s="51" t="str">
        <x:v>Fourth Quarter and Full Year 2025 Results</x:v>
      </x:c>
      <x:c r="D348" s="51" t="str">
        <x:v>2026-02-26</x:v>
      </x:c>
      <x:c r="E348" s="51" t="str">
        <x:v>Official company results</x:v>
      </x:c>
      <x:c r="F348" s="51" t="str">
        <x:v>A</x:v>
      </x:c>
      <x:c r="G348" s="51" t="str">
        <x:v>https://lngir.cheniere.com/news-events/press-releases/detail/333/cheniere-reports-fourth-quarter-and-full-year-2025-results</x:v>
      </x:c>
    </x:row>
    <x:row r="349">
      <x:c r="A349" s="51" t="str">
        <x:v>SRC-345</x:v>
      </x:c>
      <x:c r="B349" s="51" t="str">
        <x:v>S&amp;P Global Energy</x:v>
      </x:c>
      <x:c r="C349" s="51" t="str">
        <x:v>Platts JKM LNG Price Assessment Explained</x:v>
      </x:c>
      <x:c r="D349" s="51" t="str">
        <x:v>Current 2026</x:v>
      </x:c>
      <x:c r="E349" s="51" t="str">
        <x:v>Official benchmark methodology explainer</x:v>
      </x:c>
      <x:c r="F349" s="51" t="str">
        <x:v>A</x:v>
      </x:c>
      <x:c r="G349" s="51" t="str">
        <x:v>https://www.spglobal.com/energy/en/pricing-benchmarks/assessments/lng/jkm-japan-korea-marker-gas-price-explained</x:v>
      </x:c>
    </x:row>
    <x:row r="350">
      <x:c r="A350" s="51" t="str">
        <x:v>SRC-346</x:v>
      </x:c>
      <x:c r="B350" s="51" t="str">
        <x:v>ICE Futures Europe</x:v>
      </x:c>
      <x:c r="C350" s="51" t="str">
        <x:v>Brent Crude Futures</x:v>
      </x:c>
      <x:c r="D350" s="51" t="str">
        <x:v>Current 2026</x:v>
      </x:c>
      <x:c r="E350" s="51" t="str">
        <x:v>Official exchange contract specification</x:v>
      </x:c>
      <x:c r="F350" s="51" t="str">
        <x:v>A</x:v>
      </x:c>
      <x:c r="G350" s="51" t="str">
        <x:v>https://www.ice.com/products/219/Brent-Crude-Futures</x:v>
      </x:c>
    </x:row>
    <x:row r="351">
      <x:c r="A351" s="51" t="str">
        <x:v>SRC-347</x:v>
      </x:c>
      <x:c r="B351" s="51" t="str">
        <x:v>ICE Futures Europe</x:v>
      </x:c>
      <x:c r="C351" s="51" t="str">
        <x:v>ICE Brent Index</x:v>
      </x:c>
      <x:c r="D351" s="51" t="str">
        <x:v>Current 2026</x:v>
      </x:c>
      <x:c r="E351" s="51" t="str">
        <x:v>Official benchmark page</x:v>
      </x:c>
      <x:c r="F351" s="51" t="str">
        <x:v>A</x:v>
      </x:c>
      <x:c r="G351" s="51" t="str">
        <x:v>https://www.ice.com/futures-europe/brent</x:v>
      </x:c>
    </x:row>
    <x:row r="352">
      <x:c r="A352" s="51" t="str">
        <x:v>SRC-348</x:v>
      </x:c>
      <x:c r="B352" s="51" t="str">
        <x:v>S&amp;P Global Energy</x:v>
      </x:c>
      <x:c r="C352" s="51" t="str">
        <x:v>Platts Dated Brent Price Assessment Explained</x:v>
      </x:c>
      <x:c r="D352" s="51" t="str">
        <x:v>Current 2026</x:v>
      </x:c>
      <x:c r="E352" s="51" t="str">
        <x:v>Official benchmark methodology explainer</x:v>
      </x:c>
      <x:c r="F352" s="51" t="str">
        <x:v>A</x:v>
      </x:c>
      <x:c r="G352" s="51" t="str">
        <x:v>https://www.spglobal.com/energy/en/pricing-benchmarks/assessments/crude-oil/dated-brent-price-explained</x:v>
      </x:c>
    </x:row>
    <x:row r="353">
      <x:c r="A353" s="51" t="str">
        <x:v>SRC-349</x:v>
      </x:c>
      <x:c r="B353" s="51" t="str">
        <x:v>CME Group</x:v>
      </x:c>
      <x:c r="C353" s="51" t="str">
        <x:v>WTI Crude Oil Futures</x:v>
      </x:c>
      <x:c r="D353" s="51" t="str">
        <x:v>Current 2026</x:v>
      </x:c>
      <x:c r="E353" s="51" t="str">
        <x:v>Official exchange product page</x:v>
      </x:c>
      <x:c r="F353" s="51" t="str">
        <x:v>A</x:v>
      </x:c>
      <x:c r="G353" s="51" t="str">
        <x:v>https://www.cmegroup.com/markets/energy/crude-oil/light-sweet-crude.html</x:v>
      </x:c>
    </x:row>
    <x:row r="354">
      <x:c r="A354" s="51" t="str">
        <x:v>SRC-350</x:v>
      </x:c>
      <x:c r="B354" s="51" t="str">
        <x:v>CME Group</x:v>
      </x:c>
      <x:c r="C354" s="51" t="str">
        <x:v>WTI Benchmark Growth in Europe</x:v>
      </x:c>
      <x:c r="D354" s="51" t="str">
        <x:v>2026-01-30</x:v>
      </x:c>
      <x:c r="E354" s="51" t="str">
        <x:v>Official exchange market analysis</x:v>
      </x:c>
      <x:c r="F354" s="51" t="str">
        <x:v>A</x:v>
      </x:c>
      <x:c r="G354" s="51" t="str">
        <x:v>https://www.cmegroup.com/openmarkets/energy/2026/Europes-Shift-to-US-Crude-Fuels-NYMEX-WTI-Benchmark-Growth.html</x:v>
      </x:c>
    </x:row>
    <x:row r="355">
      <x:c r="A355" s="51" t="str">
        <x:v>SRC-351</x:v>
      </x:c>
      <x:c r="B355" s="51" t="str">
        <x:v>London Metal Exchange</x:v>
      </x:c>
      <x:c r="C355" s="51" t="str">
        <x:v>Warehouse Network</x:v>
      </x:c>
      <x:c r="D355" s="51" t="str">
        <x:v>Current 2026</x:v>
      </x:c>
      <x:c r="E355" s="51" t="str">
        <x:v>Official exchange warehouse page</x:v>
      </x:c>
      <x:c r="F355" s="51" t="str">
        <x:v>A</x:v>
      </x:c>
      <x:c r="G355" s="51" t="str">
        <x:v>https://www.lme.com/sustainability-and-physical-markets/warehousing/warehouse-network</x:v>
      </x:c>
    </x:row>
    <x:row r="356">
      <x:c r="A356" s="51" t="str">
        <x:v>SRC-352</x:v>
      </x:c>
      <x:c r="B356" s="51" t="str">
        <x:v>London Metal Exchange</x:v>
      </x:c>
      <x:c r="C356" s="51" t="str">
        <x:v>Warehouse and Stock Reports</x:v>
      </x:c>
      <x:c r="D356" s="51" t="str">
        <x:v>Current 2026</x:v>
      </x:c>
      <x:c r="E356" s="51" t="str">
        <x:v>Official exchange stock-data portal</x:v>
      </x:c>
      <x:c r="F356" s="51" t="str">
        <x:v>A</x:v>
      </x:c>
      <x:c r="G356" s="51" t="str">
        <x:v>https://www.lme.com/market-data/reports-and-data/warehouse-and-stocks-reports</x:v>
      </x:c>
    </x:row>
    <x:row r="357">
      <x:c r="A357" s="51" t="str">
        <x:v>SRC-353</x:v>
      </x:c>
      <x:c r="B357" s="51" t="str">
        <x:v>London Metal Exchange</x:v>
      </x:c>
      <x:c r="C357" s="51" t="str">
        <x:v>2025 Annual Trading Volumes</x:v>
      </x:c>
      <x:c r="D357" s="51" t="str">
        <x:v>2026</x:v>
      </x:c>
      <x:c r="E357" s="51" t="str">
        <x:v>Official exchange volume statistics</x:v>
      </x:c>
      <x:c r="F357" s="51" t="str">
        <x:v>A</x:v>
      </x:c>
      <x:c r="G357" s="51" t="str">
        <x:v>https://www.lme.com/market-data/reports-and-data/volumes/annual-volumes</x:v>
      </x:c>
    </x:row>
    <x:row r="358">
      <x:c r="A358" s="51" t="str">
        <x:v>SRC-354</x:v>
      </x:c>
      <x:c r="B358" s="51" t="str">
        <x:v>Vitol</x:v>
      </x:c>
      <x:c r="C358" s="51" t="str">
        <x:v>2025 Volumes and Review</x:v>
      </x:c>
      <x:c r="D358" s="51" t="str">
        <x:v>2026-03</x:v>
      </x:c>
      <x:c r="E358" s="51" t="str">
        <x:v>Official company review</x:v>
      </x:c>
      <x:c r="F358" s="51" t="str">
        <x:v>A</x:v>
      </x:c>
      <x:c r="G358" s="51" t="str">
        <x:v>https://www.vitol.com/vitol-2025-volumes-and-review/</x:v>
      </x:c>
    </x:row>
    <x:row r="359">
      <x:c r="A359" s="51" t="str">
        <x:v>SRC-355</x:v>
      </x:c>
      <x:c r="B359" s="51" t="str">
        <x:v>Trafigura</x:v>
      </x:c>
      <x:c r="C359" s="51" t="str">
        <x:v>2025 Annual Report</x:v>
      </x:c>
      <x:c r="D359" s="51" t="str">
        <x:v>2025-12-08</x:v>
      </x:c>
      <x:c r="E359" s="51" t="str">
        <x:v>Official company annual report</x:v>
      </x:c>
      <x:c r="F359" s="51" t="str">
        <x:v>A</x:v>
      </x:c>
      <x:c r="G359" s="51" t="str">
        <x:v>https://www.trafigura.com/media/2yhj4e4c/2025_trafigura_annual_report.pdf</x:v>
      </x:c>
    </x:row>
    <x:row r="360">
      <x:c r="A360" s="51" t="str">
        <x:v>SRC-356</x:v>
      </x:c>
      <x:c r="B360" s="51" t="str">
        <x:v>Trafigura</x:v>
      </x:c>
      <x:c r="C360" s="51" t="str">
        <x:v>2025 Annual Results</x:v>
      </x:c>
      <x:c r="D360" s="51" t="str">
        <x:v>2025-12-09</x:v>
      </x:c>
      <x:c r="E360" s="51" t="str">
        <x:v>Official company results release</x:v>
      </x:c>
      <x:c r="F360" s="51" t="str">
        <x:v>A</x:v>
      </x:c>
      <x:c r="G360" s="51" t="str">
        <x:v>https://www.trafigura.com/news-and-insights/press-releases/2025/trafigura-publishes-2025-annual-results/</x:v>
      </x:c>
    </x:row>
    <x:row r="361">
      <x:c r="A361" s="51" t="str">
        <x:v>SRC-357</x:v>
      </x:c>
      <x:c r="B361" s="51" t="str">
        <x:v>Trafigura</x:v>
      </x:c>
      <x:c r="C361" s="51" t="str">
        <x:v>2025 Payments to Governments Report</x:v>
      </x:c>
      <x:c r="D361" s="51" t="str">
        <x:v>2026-06-24</x:v>
      </x:c>
      <x:c r="E361" s="51" t="str">
        <x:v>Official company disclosure</x:v>
      </x:c>
      <x:c r="F361" s="51" t="str">
        <x:v>A</x:v>
      </x:c>
      <x:c r="G361" s="51" t="str">
        <x:v>https://www.trafigura.com/media/cfvh3ido/2025-payments-to-governments-report.pdf</x:v>
      </x:c>
    </x:row>
    <x:row r="362">
      <x:c r="A362" s="51" t="str">
        <x:v>SRC-358</x:v>
      </x:c>
      <x:c r="B362" s="51" t="str">
        <x:v>Glencore</x:v>
      </x:c>
      <x:c r="C362" s="51" t="str">
        <x:v>2025 Annual Report</x:v>
      </x:c>
      <x:c r="D362" s="51" t="str">
        <x:v>2026-03-10</x:v>
      </x:c>
      <x:c r="E362" s="51" t="str">
        <x:v>Official company annual report</x:v>
      </x:c>
      <x:c r="F362" s="51" t="str">
        <x:v>A</x:v>
      </x:c>
      <x:c r="G362" s="51" t="str">
        <x:v>https://www.glencore.com/.rest/api/v1/documents/static/9b103e11-72e7-40bf-ae7c-eabe57361522/GLEN-2025-Annual-Report.pdf</x:v>
      </x:c>
    </x:row>
    <x:row r="363">
      <x:c r="A363" s="51" t="str">
        <x:v>SRC-359</x:v>
      </x:c>
      <x:c r="B363" s="51" t="str">
        <x:v>Glencore</x:v>
      </x:c>
      <x:c r="C363" s="51" t="str">
        <x:v>2025 Full-Year Production Report</x:v>
      </x:c>
      <x:c r="D363" s="51" t="str">
        <x:v>2026-01</x:v>
      </x:c>
      <x:c r="E363" s="51" t="str">
        <x:v>Official company production report</x:v>
      </x:c>
      <x:c r="F363" s="51" t="str">
        <x:v>A</x:v>
      </x:c>
      <x:c r="G363" s="51" t="str">
        <x:v>https://www.glencore.com/.rest/api/v1/documents/static/a8114247-02e8-4bd8-bc04-81f411ba631c/GLEN_2025-FY-Production-Report.pdf</x:v>
      </x:c>
    </x:row>
    <x:row r="364">
      <x:c r="A364" s="51" t="str">
        <x:v>SRC-360</x:v>
      </x:c>
      <x:c r="B364" s="51" t="str">
        <x:v>Gunvor Group</x:v>
      </x:c>
      <x:c r="C364" s="51" t="str">
        <x:v>2025 Financial Results</x:v>
      </x:c>
      <x:c r="D364" s="51" t="str">
        <x:v>2026</x:v>
      </x:c>
      <x:c r="E364" s="51" t="str">
        <x:v>Official company results page</x:v>
      </x:c>
      <x:c r="F364" s="51" t="str">
        <x:v>A</x:v>
      </x:c>
      <x:c r="G364" s="51" t="str">
        <x:v>https://gunvorgroup.com/our-strategy/finance/</x:v>
      </x:c>
    </x:row>
    <x:row r="365">
      <x:c r="A365" s="51" t="str">
        <x:v>SRC-361</x:v>
      </x:c>
      <x:c r="B365" s="51" t="str">
        <x:v>Gunvor Group</x:v>
      </x:c>
      <x:c r="C365" s="51" t="str">
        <x:v>$2.395 Billion Sustainability-Linked Revolving Credit Facility</x:v>
      </x:c>
      <x:c r="D365" s="51" t="str">
        <x:v>2025-11-07</x:v>
      </x:c>
      <x:c r="E365" s="51" t="str">
        <x:v>Official financing release</x:v>
      </x:c>
      <x:c r="F365" s="51" t="str">
        <x:v>A</x:v>
      </x:c>
      <x:c r="G365" s="51" t="str">
        <x:v>https://gunvorgroup.com/media/news/</x:v>
      </x:c>
    </x:row>
    <x:row r="366">
      <x:c r="A366" s="51" t="str">
        <x:v>SRC-362</x:v>
      </x:c>
      <x:c r="B366" s="51" t="str">
        <x:v>UN Trade and Development</x:v>
      </x:c>
      <x:c r="C366" s="51" t="str">
        <x:v>Review of Maritime Transport 2025</x:v>
      </x:c>
      <x:c r="D366" s="51" t="str">
        <x:v>2025-09-24</x:v>
      </x:c>
      <x:c r="E366" s="51" t="str">
        <x:v>Official UN report</x:v>
      </x:c>
      <x:c r="F366" s="51" t="str">
        <x:v>A</x:v>
      </x:c>
      <x:c r="G366" s="51" t="str">
        <x:v>https://unctad.org/publication/review-maritime-transport-2025</x:v>
      </x:c>
    </x:row>
    <x:row r="367">
      <x:c r="A367" s="51" t="str">
        <x:v>SRC-363</x:v>
      </x:c>
      <x:c r="B367" s="51" t="str">
        <x:v>International Maritime Organization</x:v>
      </x:c>
      <x:c r="C367" s="51" t="str">
        <x:v>Integrated IMO Identification Number Scheme</x:v>
      </x:c>
      <x:c r="D367" s="51" t="str">
        <x:v>2026-02-27</x:v>
      </x:c>
      <x:c r="E367" s="51" t="str">
        <x:v>Official identification scheme</x:v>
      </x:c>
      <x:c r="F367" s="51" t="str">
        <x:v>A</x:v>
      </x:c>
      <x:c r="G367" s="51" t="str">
        <x:v>https://wwwcdn.imo.org/localresources/en/OurWork/IIIS/Documents/Circular%20Letter%20No.5096%20-%20Implementation%20of%20Resolution%20A.1215%2834%29%20-%20IMO%20Integrated%20Identification%20Number%20Scheme%20%28Secretariat%29.pdf</x:v>
      </x:c>
    </x:row>
    <x:row r="368">
      <x:c r="A368" s="51" t="str">
        <x:v>SRC-364</x:v>
      </x:c>
      <x:c r="B368" s="51" t="str">
        <x:v>International Maritime Organization</x:v>
      </x:c>
      <x:c r="C368" s="51" t="str">
        <x:v>Registration of Ships and Fraudulent Registration Matters</x:v>
      </x:c>
      <x:c r="D368" s="51" t="str">
        <x:v>Current 2026</x:v>
      </x:c>
      <x:c r="E368" s="51" t="str">
        <x:v>Official legal and registration page</x:v>
      </x:c>
      <x:c r="F368" s="51" t="str">
        <x:v>A</x:v>
      </x:c>
      <x:c r="G368" s="51" t="str">
        <x:v>https://www.imo.org/en/ourwork/legal/pages/registration-of-ships-and-fraudulent-registration-matters.aspx</x:v>
      </x:c>
    </x:row>
    <x:row r="369">
      <x:c r="A369" s="51" t="str">
        <x:v>SRC-365</x:v>
      </x:c>
      <x:c r="B369" s="51" t="str">
        <x:v>International Maritime Organization</x:v>
      </x:c>
      <x:c r="C369" s="51" t="str">
        <x:v>Global Integrated Shipping Information System</x:v>
      </x:c>
      <x:c r="D369" s="51" t="str">
        <x:v>Current 2026</x:v>
      </x:c>
      <x:c r="E369" s="51" t="str">
        <x:v>Official maritime data system</x:v>
      </x:c>
      <x:c r="F369" s="51" t="str">
        <x:v>A</x:v>
      </x:c>
      <x:c r="G369" s="51" t="str">
        <x:v>https://gisis.imo.org/public/default.aspx</x:v>
      </x:c>
    </x:row>
    <x:row r="370">
      <x:c r="A370" s="51" t="str">
        <x:v>SRC-366</x:v>
      </x:c>
      <x:c r="B370" s="51" t="str">
        <x:v>US Energy Information Administration</x:v>
      </x:c>
      <x:c r="C370" s="51" t="str">
        <x:v>World Oil Transit Chokepoints</x:v>
      </x:c>
      <x:c r="D370" s="51" t="str">
        <x:v>Current 2026</x:v>
      </x:c>
      <x:c r="E370" s="51" t="str">
        <x:v>Official energy security dataset</x:v>
      </x:c>
      <x:c r="F370" s="51" t="str">
        <x:v>A</x:v>
      </x:c>
      <x:c r="G370" s="51" t="str">
        <x:v>https://www.eia.gov/international/analysis/special-topics/world_oil_transit_Chokepoints</x:v>
      </x:c>
    </x:row>
    <x:row r="371">
      <x:c r="A371" s="51" t="str">
        <x:v>SRC-367</x:v>
      </x:c>
      <x:c r="B371" s="51" t="str">
        <x:v>US Energy Information Administration</x:v>
      </x:c>
      <x:c r="C371" s="51" t="str">
        <x:v>Global Energy Security Chokepoint Data</x:v>
      </x:c>
      <x:c r="D371" s="51" t="str">
        <x:v>2026</x:v>
      </x:c>
      <x:c r="E371" s="51" t="str">
        <x:v>Official current data tables</x:v>
      </x:c>
      <x:c r="F371" s="51" t="str">
        <x:v>A</x:v>
      </x:c>
      <x:c r="G371" s="51" t="str">
        <x:v>https://www.eia.gov/outlooks/steo/report/energysecurity/article.php</x:v>
      </x:c>
    </x:row>
    <x:row r="372">
      <x:c r="A372" s="51" t="str">
        <x:v>SRC-368</x:v>
      </x:c>
      <x:c r="B372" s="51" t="str">
        <x:v>International Group of P&amp;I Clubs</x:v>
      </x:c>
      <x:c r="C372" s="51" t="str">
        <x:v>About the International Group</x:v>
      </x:c>
      <x:c r="D372" s="51" t="str">
        <x:v>Current 2026</x:v>
      </x:c>
      <x:c r="E372" s="51" t="str">
        <x:v>Official mutual insurance association page</x:v>
      </x:c>
      <x:c r="F372" s="51" t="str">
        <x:v>A</x:v>
      </x:c>
      <x:c r="G372" s="51" t="str">
        <x:v>https://www.igpandi.org/article/about/</x:v>
      </x:c>
    </x:row>
    <x:row r="373">
      <x:c r="A373" s="51" t="str">
        <x:v>SRC-369</x:v>
      </x:c>
      <x:c r="B373" s="51" t="str">
        <x:v>International Group of P&amp;I Clubs</x:v>
      </x:c>
      <x:c r="C373" s="51" t="str">
        <x:v>2026/27 Group Excess of Loss Reinsurance Structure</x:v>
      </x:c>
      <x:c r="D373" s="51" t="str">
        <x:v>2025-12-17</x:v>
      </x:c>
      <x:c r="E373" s="51" t="str">
        <x:v>Official reinsurance programme release</x:v>
      </x:c>
      <x:c r="F373" s="51" t="str">
        <x:v>A</x:v>
      </x:c>
      <x:c r="G373" s="51" t="str">
        <x:v>https://www.igpandi.org/article/the-international-group-pooling-and-group-excess-of-loss-reinsurance-contract-gxl-structure-for-the-202627-policy-year-has-now-been-finalised/</x:v>
      </x:c>
    </x:row>
    <x:row r="374">
      <x:c r="A374" s="51" t="str">
        <x:v>SRC-370</x:v>
      </x:c>
      <x:c r="B374" s="51" t="str">
        <x:v>Lloyd's</x:v>
      </x:c>
      <x:c r="C374" s="51" t="str">
        <x:v>Annual Report 2025</x:v>
      </x:c>
      <x:c r="D374" s="51" t="str">
        <x:v>2026-03-18</x:v>
      </x:c>
      <x:c r="E374" s="51" t="str">
        <x:v>Official insurance market annual report</x:v>
      </x:c>
      <x:c r="F374" s="51" t="str">
        <x:v>A</x:v>
      </x:c>
      <x:c r="G374" s="51" t="str">
        <x:v>https://assets.lloyds.com/media-651c0e64-c1d0-4f97-90f7-883c69fe2ef2/42102f78-bc6d-40be-8d43-52ef92775992/2025%20Lloyd%27s%20Annual%20Report.pdf</x:v>
      </x:c>
    </x:row>
    <x:row r="375">
      <x:c r="A375" s="51" t="str">
        <x:v>SRC-371</x:v>
      </x:c>
      <x:c r="B375" s="51" t="str">
        <x:v>US Treasury OFAC</x:v>
      </x:c>
      <x:c r="C375" s="51" t="str">
        <x:v>Russian Oil Price Cap Guidance</x:v>
      </x:c>
      <x:c r="D375" s="51" t="str">
        <x:v>2023-12-20 / current</x:v>
      </x:c>
      <x:c r="E375" s="51" t="str">
        <x:v>Official sanctions guidance</x:v>
      </x:c>
      <x:c r="F375" s="51" t="str">
        <x:v>A</x:v>
      </x:c>
      <x:c r="G375" s="51" t="str">
        <x:v>https://ofac.treasury.gov/media/931036/download?inline=</x:v>
      </x:c>
    </x:row>
    <x:row r="376">
      <x:c r="A376" s="51" t="str">
        <x:v>SRC-372</x:v>
      </x:c>
      <x:c r="B376" s="51" t="str">
        <x:v>US Treasury OFAC</x:v>
      </x:c>
      <x:c r="C376" s="51" t="str">
        <x:v>Petroleum Services Determination FAQs</x:v>
      </x:c>
      <x:c r="D376" s="51" t="str">
        <x:v>2025-01-10 / updated 2026</x:v>
      </x:c>
      <x:c r="E376" s="51" t="str">
        <x:v>Official sanctions FAQs</x:v>
      </x:c>
      <x:c r="F376" s="51" t="str">
        <x:v>A</x:v>
      </x:c>
      <x:c r="G376" s="51" t="str">
        <x:v>https://ofac.treasury.gov/faqs/1216</x:v>
      </x:c>
    </x:row>
    <x:row r="377">
      <x:c r="A377" s="51" t="str">
        <x:v>SRC-373</x:v>
      </x:c>
      <x:c r="B377" s="51" t="str">
        <x:v>International Chamber of Commerce</x:v>
      </x:c>
      <x:c r="C377" s="51" t="str">
        <x:v>UCP 600 Documentary Credit Rules</x:v>
      </x:c>
      <x:c r="D377" s="51" t="str">
        <x:v>Current 2026</x:v>
      </x:c>
      <x:c r="E377" s="51" t="str">
        <x:v>Official international banking rules</x:v>
      </x:c>
      <x:c r="F377" s="51" t="str">
        <x:v>A</x:v>
      </x:c>
      <x:c r="G377" s="51" t="str">
        <x:v>https://academy.iccwbo.org/trade-finance/e-books/ucp-600/</x:v>
      </x:c>
    </x:row>
    <x:row r="378">
      <x:c r="A378" s="51" t="str">
        <x:v>SRC-374</x:v>
      </x:c>
      <x:c r="B378" s="51" t="str">
        <x:v>International Chamber of Commerce</x:v>
      </x:c>
      <x:c r="C378" s="51" t="str">
        <x:v>Trade Finance Rules and eUCP 2.1</x:v>
      </x:c>
      <x:c r="D378" s="51" t="str">
        <x:v>Current 2026</x:v>
      </x:c>
      <x:c r="E378" s="51" t="str">
        <x:v>Official trade finance portal</x:v>
      </x:c>
      <x:c r="F378" s="51" t="str">
        <x:v>A</x:v>
      </x:c>
      <x:c r="G378" s="51" t="str">
        <x:v>https://iccwbo.org/global-insights/trade-finance/</x:v>
      </x:c>
    </x:row>
    <x:row r="379">
      <x:c r="A379" s="51" t="str">
        <x:v>SRC-375</x:v>
      </x:c>
      <x:c r="B379" s="51" t="str">
        <x:v>SWIFT</x:v>
      </x:c>
      <x:c r="C379" s="51" t="str">
        <x:v>Category 7 Documentary Credits and Guarantees</x:v>
      </x:c>
      <x:c r="D379" s="51" t="str">
        <x:v>2023 / current standard</x:v>
      </x:c>
      <x:c r="E379" s="51" t="str">
        <x:v>Official messaging standard</x:v>
      </x:c>
      <x:c r="F379" s="51" t="str">
        <x:v>A</x:v>
      </x:c>
      <x:c r="G379" s="51" t="str">
        <x:v>https://www2.swift.com/knowledgecentre/rest/v1/publications/us7m_20230720/2.0/us7m_20230720.pdf?logDownload=true</x:v>
      </x:c>
    </x:row>
    <x:row r="380">
      <x:c r="A380" s="51" t="str">
        <x:v>SRC-376</x:v>
      </x:c>
      <x:c r="B380" s="51" t="str">
        <x:v>SWIFT</x:v>
      </x:c>
      <x:c r="C380" s="51" t="str">
        <x:v>February 2026 Glossary</x:v>
      </x:c>
      <x:c r="D380" s="51" t="str">
        <x:v>2026-02-10</x:v>
      </x:c>
      <x:c r="E380" s="51" t="str">
        <x:v>Official terminology standard</x:v>
      </x:c>
      <x:c r="F380" s="51" t="str">
        <x:v>A</x:v>
      </x:c>
      <x:c r="G380" s="51" t="str">
        <x:v>https://www2.swift.com/knowledgecentre/rest/v1/publications/udic/_latest/udic.pdf?logDownload=true</x:v>
      </x:c>
    </x:row>
    <x:row r="381">
      <x:c r="A381" s="51" t="str">
        <x:v>SRC-377</x:v>
      </x:c>
      <x:c r="B381" s="51" t="str">
        <x:v>International Chamber of Commerce</x:v>
      </x:c>
      <x:c r="C381" s="51" t="str">
        <x:v>ICC Trade Register 2025 Market Commentary</x:v>
      </x:c>
      <x:c r="D381" s="51" t="str">
        <x:v>2025-10-03</x:v>
      </x:c>
      <x:c r="E381" s="51" t="str">
        <x:v>Official trade finance risk commentary</x:v>
      </x:c>
      <x:c r="F381" s="51" t="str">
        <x:v>A</x:v>
      </x:c>
      <x:c r="G381" s="51" t="str">
        <x:v>https://iccwbo.org/wp-content/uploads/sites/3/2025/10/ICC-Market-Commentary_Trade-Register-2025.pdf</x:v>
      </x:c>
    </x:row>
    <x:row r="382">
      <x:c r="A382" s="51" t="str">
        <x:v>SRC-378</x:v>
      </x:c>
      <x:c r="B382" s="51" t="str">
        <x:v>International Chamber of Commerce</x:v>
      </x:c>
      <x:c r="C382" s="51" t="str">
        <x:v>ICC Trade Register 2025</x:v>
      </x:c>
      <x:c r="D382" s="51" t="str">
        <x:v>2025-12</x:v>
      </x:c>
      <x:c r="E382" s="51" t="str">
        <x:v>Official trade finance risk database portal</x:v>
      </x:c>
      <x:c r="F382" s="51" t="str">
        <x:v>A</x:v>
      </x:c>
      <x:c r="G382" s="51" t="str">
        <x:v>https://academy.iccwbo.org/trade-register/</x:v>
      </x:c>
    </x:row>
    <x:row r="383">
      <x:c r="A383" s="51" t="str">
        <x:v>SRC-379</x:v>
      </x:c>
      <x:c r="B383" s="51" t="str">
        <x:v>NVIDIA</x:v>
      </x:c>
      <x:c r="C383" s="51" t="str">
        <x:v>Fourth Quarter and Fiscal 2026 Financial Results</x:v>
      </x:c>
      <x:c r="D383" s="51" t="str">
        <x:v>2026-02-25</x:v>
      </x:c>
      <x:c r="E383" s="51" t="str">
        <x:v>Official financial release</x:v>
      </x:c>
      <x:c r="F383" s="51" t="str">
        <x:v>A</x:v>
      </x:c>
      <x:c r="G383" s="51" t="str">
        <x:v>https://investor.nvidia.com/news/press-release-details/2026/NVIDIA-Announces-Financial-Results-for-Fourth-Quarter-and-Fiscal-2026/default.aspx</x:v>
      </x:c>
    </x:row>
    <x:row r="384">
      <x:c r="A384" s="51" t="str">
        <x:v>SRC-380</x:v>
      </x:c>
      <x:c r="B384" s="51" t="str">
        <x:v>NVIDIA</x:v>
      </x:c>
      <x:c r="C384" s="51" t="str">
        <x:v>First Quarter Fiscal 2027 Financial Results</x:v>
      </x:c>
      <x:c r="D384" s="51" t="str">
        <x:v>2026-05-20</x:v>
      </x:c>
      <x:c r="E384" s="51" t="str">
        <x:v>Official financial release</x:v>
      </x:c>
      <x:c r="F384" s="51" t="str">
        <x:v>A</x:v>
      </x:c>
      <x:c r="G384" s="51" t="str">
        <x:v>https://investor.nvidia.com/news/press-release-details/2026/NVIDIA-Announces-Financial-Results-for-First-Quarter-Fiscal-2027/default.aspx</x:v>
      </x:c>
    </x:row>
    <x:row r="385">
      <x:c r="A385" s="51" t="str">
        <x:v>SRC-381</x:v>
      </x:c>
      <x:c r="B385" s="51" t="str">
        <x:v>NVIDIA</x:v>
      </x:c>
      <x:c r="C385" s="51" t="str">
        <x:v>2026 Annual Report</x:v>
      </x:c>
      <x:c r="D385" s="51" t="str">
        <x:v>2026-05-12</x:v>
      </x:c>
      <x:c r="E385" s="51" t="str">
        <x:v>Official SEC annual report</x:v>
      </x:c>
      <x:c r="F385" s="51" t="str">
        <x:v>A</x:v>
      </x:c>
      <x:c r="G385" s="51" t="str">
        <x:v>https://www.sec.gov/Archives/edgar/data/1045810/000104581026000038/a2026-annualxreportxwebxfi.pdf</x:v>
      </x:c>
    </x:row>
    <x:row r="386">
      <x:c r="A386" s="51" t="str">
        <x:v>SRC-382</x:v>
      </x:c>
      <x:c r="B386" s="51" t="str">
        <x:v>TSMC</x:v>
      </x:c>
      <x:c r="C386" s="51" t="str">
        <x:v>2025 Annual Report</x:v>
      </x:c>
      <x:c r="D386" s="51" t="str">
        <x:v>2026-04-17</x:v>
      </x:c>
      <x:c r="E386" s="51" t="str">
        <x:v>Official annual report</x:v>
      </x:c>
      <x:c r="F386" s="51" t="str">
        <x:v>A</x:v>
      </x:c>
      <x:c r="G386" s="51" t="str">
        <x:v>https://investor.tsmc.com/static/annualReports/2025/english/index.html</x:v>
      </x:c>
    </x:row>
    <x:row r="387">
      <x:c r="A387" s="51" t="str">
        <x:v>SRC-383</x:v>
      </x:c>
      <x:c r="B387" s="51" t="str">
        <x:v>TSMC</x:v>
      </x:c>
      <x:c r="C387" s="51" t="str">
        <x:v>TSMC Arizona Investment Overview</x:v>
      </x:c>
      <x:c r="D387" s="51" t="str">
        <x:v>Current 2026</x:v>
      </x:c>
      <x:c r="E387" s="51" t="str">
        <x:v>Official company project page</x:v>
      </x:c>
      <x:c r="F387" s="51" t="str">
        <x:v>A</x:v>
      </x:c>
      <x:c r="G387" s="51" t="str">
        <x:v>https://www.tsmc.com/static/abouttsmcaz/index.htm</x:v>
      </x:c>
    </x:row>
    <x:row r="388">
      <x:c r="A388" s="51" t="str">
        <x:v>SRC-384</x:v>
      </x:c>
      <x:c r="B388" s="51" t="str">
        <x:v>TSMC</x:v>
      </x:c>
      <x:c r="C388" s="51" t="str">
        <x:v>TSMC Intends to Expand Its Investment in the United States</x:v>
      </x:c>
      <x:c r="D388" s="51" t="str">
        <x:v>2025-03-04</x:v>
      </x:c>
      <x:c r="E388" s="51" t="str">
        <x:v>Official company release</x:v>
      </x:c>
      <x:c r="F388" s="51" t="str">
        <x:v>A</x:v>
      </x:c>
      <x:c r="G388" s="51" t="str">
        <x:v>https://pr.tsmc.com/english/news/3210</x:v>
      </x:c>
    </x:row>
    <x:row r="389">
      <x:c r="A389" s="51" t="str">
        <x:v>SRC-385</x:v>
      </x:c>
      <x:c r="B389" s="51" t="str">
        <x:v>ASML</x:v>
      </x:c>
      <x:c r="C389" s="51" t="str">
        <x:v>2025 Annual Report</x:v>
      </x:c>
      <x:c r="D389" s="51" t="str">
        <x:v>2026-02-25</x:v>
      </x:c>
      <x:c r="E389" s="51" t="str">
        <x:v>Official annual report</x:v>
      </x:c>
      <x:c r="F389" s="51" t="str">
        <x:v>A</x:v>
      </x:c>
      <x:c r="G389" s="51" t="str">
        <x:v>https://www.asml.com/investors/annual-report/2025</x:v>
      </x:c>
    </x:row>
    <x:row r="390">
      <x:c r="A390" s="51" t="str">
        <x:v>SRC-386</x:v>
      </x:c>
      <x:c r="B390" s="51" t="str">
        <x:v>ASML</x:v>
      </x:c>
      <x:c r="C390" s="51" t="str">
        <x:v>EUV Lithography Systems</x:v>
      </x:c>
      <x:c r="D390" s="51" t="str">
        <x:v>Current 2026</x:v>
      </x:c>
      <x:c r="E390" s="51" t="str">
        <x:v>Official product page</x:v>
      </x:c>
      <x:c r="F390" s="51" t="str">
        <x:v>A</x:v>
      </x:c>
      <x:c r="G390" s="51" t="str">
        <x:v>https://www.asml.com/products/euv-lithography-systems</x:v>
      </x:c>
    </x:row>
    <x:row r="391">
      <x:c r="A391" s="51" t="str">
        <x:v>SRC-387</x:v>
      </x:c>
      <x:c r="B391" s="51" t="str">
        <x:v>ASML</x:v>
      </x:c>
      <x:c r="C391" s="51" t="str">
        <x:v>2025 Financial Results</x:v>
      </x:c>
      <x:c r="D391" s="51" t="str">
        <x:v>2026-01-28</x:v>
      </x:c>
      <x:c r="E391" s="51" t="str">
        <x:v>Official company release</x:v>
      </x:c>
      <x:c r="F391" s="51" t="str">
        <x:v>A</x:v>
      </x:c>
      <x:c r="G391" s="51" t="str">
        <x:v>https://www.asml.com/news/press-releases/2026/q4-2025-financial-results</x:v>
      </x:c>
    </x:row>
    <x:row r="392">
      <x:c r="A392" s="51" t="str">
        <x:v>SRC-388</x:v>
      </x:c>
      <x:c r="B392" s="51" t="str">
        <x:v>Synopsys</x:v>
      </x:c>
      <x:c r="C392" s="51" t="str">
        <x:v>TSMC A16 and N2P Certified EDA Flows</x:v>
      </x:c>
      <x:c r="D392" s="51" t="str">
        <x:v>2025-04-23</x:v>
      </x:c>
      <x:c r="E392" s="51" t="str">
        <x:v>Official collaboration release</x:v>
      </x:c>
      <x:c r="F392" s="51" t="str">
        <x:v>A</x:v>
      </x:c>
      <x:c r="G392" s="51" t="str">
        <x:v>https://investor.synopsys.com/news/news-details/2025/Synopsys-and-TSMC-Usher-In-Angstrom-Scale-Designs-with-Certified-EDA-Flows-on-Advanced-TSMC-A16-and-N2P-Processes/default.aspx</x:v>
      </x:c>
    </x:row>
    <x:row r="393">
      <x:c r="A393" s="51" t="str">
        <x:v>SRC-389</x:v>
      </x:c>
      <x:c r="B393" s="51" t="str">
        <x:v>Synopsys</x:v>
      </x:c>
      <x:c r="C393" s="51" t="str">
        <x:v>NVIDIA Grace Blackwell and AI for EDA</x:v>
      </x:c>
      <x:c r="D393" s="51" t="str">
        <x:v>2025</x:v>
      </x:c>
      <x:c r="E393" s="51" t="str">
        <x:v>Official collaboration release</x:v>
      </x:c>
      <x:c r="F393" s="51" t="str">
        <x:v>A</x:v>
      </x:c>
      <x:c r="G393" s="51" t="str">
        <x:v>https://investor.synopsys.com/news/news-details/2025/Synopsys-Accelerates-Chip-Design-with-NVIDIA-Grace-Blackwell-and-AI-to-Speed-Electronic-Design-Automation/default.aspx</x:v>
      </x:c>
    </x:row>
    <x:row r="394">
      <x:c r="A394" s="51" t="str">
        <x:v>SRC-390</x:v>
      </x:c>
      <x:c r="B394" s="51" t="str">
        <x:v>Cadence</x:v>
      </x:c>
      <x:c r="C394" s="51" t="str">
        <x:v>Fiscal Year 2025 Financial Results</x:v>
      </x:c>
      <x:c r="D394" s="51" t="str">
        <x:v>2026-02-17</x:v>
      </x:c>
      <x:c r="E394" s="51" t="str">
        <x:v>Official financial release</x:v>
      </x:c>
      <x:c r="F394" s="51" t="str">
        <x:v>A</x:v>
      </x:c>
      <x:c r="G394" s="51" t="str">
        <x:v>https://investor.cadence.com/news/news-details/2026/Cadence-Reports-Fourth-Quarter-and-Fiscal-Year-2025-Financial-Results/default.aspx</x:v>
      </x:c>
    </x:row>
    <x:row r="395">
      <x:c r="A395" s="51" t="str">
        <x:v>SRC-391</x:v>
      </x:c>
      <x:c r="B395" s="51" t="str">
        <x:v>Cadence</x:v>
      </x:c>
      <x:c r="C395" s="51" t="str">
        <x:v>First Quarter 2026 Financial Results</x:v>
      </x:c>
      <x:c r="D395" s="51" t="str">
        <x:v>2026-04-27</x:v>
      </x:c>
      <x:c r="E395" s="51" t="str">
        <x:v>Official financial release</x:v>
      </x:c>
      <x:c r="F395" s="51" t="str">
        <x:v>A</x:v>
      </x:c>
      <x:c r="G395" s="51" t="str">
        <x:v>https://investor.cadence.com/news/news-details/2026/Cadence-Reports-First-Quarter-2026-Financial-Results/default.aspx</x:v>
      </x:c>
    </x:row>
    <x:row r="396">
      <x:c r="A396" s="51" t="str">
        <x:v>SRC-392</x:v>
      </x:c>
      <x:c r="B396" s="51" t="str">
        <x:v>Arm</x:v>
      </x:c>
      <x:c r="C396" s="51" t="str">
        <x:v>Arm AGI CPU Launch</x:v>
      </x:c>
      <x:c r="D396" s="51" t="str">
        <x:v>2026-03-24</x:v>
      </x:c>
      <x:c r="E396" s="51" t="str">
        <x:v>Official product release</x:v>
      </x:c>
      <x:c r="F396" s="51" t="str">
        <x:v>A</x:v>
      </x:c>
      <x:c r="G396" s="51" t="str">
        <x:v>https://newsroom.arm.com/news/arm-agi-cpu-launch</x:v>
      </x:c>
    </x:row>
    <x:row r="397">
      <x:c r="A397" s="51" t="str">
        <x:v>SRC-393</x:v>
      </x:c>
      <x:c r="B397" s="51" t="str">
        <x:v>Arm</x:v>
      </x:c>
      <x:c r="C397" s="51" t="str">
        <x:v>Arm Neoverse for Cloud and AI Data Centers</x:v>
      </x:c>
      <x:c r="D397" s="51" t="str">
        <x:v>Current 2026</x:v>
      </x:c>
      <x:c r="E397" s="51" t="str">
        <x:v>Official product page</x:v>
      </x:c>
      <x:c r="F397" s="51" t="str">
        <x:v>A</x:v>
      </x:c>
      <x:c r="G397" s="51" t="str">
        <x:v>https://www.arm.com/products/cloud-datacenter</x:v>
      </x:c>
    </x:row>
    <x:row r="398">
      <x:c r="A398" s="51" t="str">
        <x:v>SRC-394</x:v>
      </x:c>
      <x:c r="B398" s="51" t="str">
        <x:v>OpenAI</x:v>
      </x:c>
      <x:c r="C398" s="51" t="str">
        <x:v>Announcing the Stargate Project</x:v>
      </x:c>
      <x:c r="D398" s="51" t="str">
        <x:v>2025-01-21</x:v>
      </x:c>
      <x:c r="E398" s="51" t="str">
        <x:v>Official project announcement</x:v>
      </x:c>
      <x:c r="F398" s="51" t="str">
        <x:v>A</x:v>
      </x:c>
      <x:c r="G398" s="51" t="str">
        <x:v>https://openai.com/index/announcing-the-stargate-project/</x:v>
      </x:c>
    </x:row>
    <x:row r="399">
      <x:c r="A399" s="51" t="str">
        <x:v>SRC-395</x:v>
      </x:c>
      <x:c r="B399" s="51" t="str">
        <x:v>OpenAI</x:v>
      </x:c>
      <x:c r="C399" s="51" t="str">
        <x:v>Building the Compute Infrastructure for the Intelligence Age</x:v>
      </x:c>
      <x:c r="D399" s="51" t="str">
        <x:v>2026-04-29</x:v>
      </x:c>
      <x:c r="E399" s="51" t="str">
        <x:v>Official infrastructure update</x:v>
      </x:c>
      <x:c r="F399" s="51" t="str">
        <x:v>A</x:v>
      </x:c>
      <x:c r="G399" s="51" t="str">
        <x:v>https://openai.com/index/building-the-compute-infrastructure-for-the-intelligence-age/</x:v>
      </x:c>
    </x:row>
    <x:row r="400">
      <x:c r="A400" s="51" t="str">
        <x:v>SRC-396</x:v>
      </x:c>
      <x:c r="B400" s="51" t="str">
        <x:v>OpenAI</x:v>
      </x:c>
      <x:c r="C400" s="51" t="str">
        <x:v>Stargate Advances with 4.5GW Oracle Partnership</x:v>
      </x:c>
      <x:c r="D400" s="51" t="str">
        <x:v>2025-07-22</x:v>
      </x:c>
      <x:c r="E400" s="51" t="str">
        <x:v>Official partnership release</x:v>
      </x:c>
      <x:c r="F400" s="51" t="str">
        <x:v>A</x:v>
      </x:c>
      <x:c r="G400" s="51" t="str">
        <x:v>https://openai.com/index/stargate-advances-with-partnership-with-oracle/</x:v>
      </x:c>
    </x:row>
    <x:row r="401">
      <x:c r="A401" s="51" t="str">
        <x:v>SRC-397</x:v>
      </x:c>
      <x:c r="B401" s="51" t="str">
        <x:v>OpenAI</x:v>
      </x:c>
      <x:c r="C401" s="51" t="str">
        <x:v>Five New Stargate Sites</x:v>
      </x:c>
      <x:c r="D401" s="51" t="str">
        <x:v>2025-09-23</x:v>
      </x:c>
      <x:c r="E401" s="51" t="str">
        <x:v>Official infrastructure release</x:v>
      </x:c>
      <x:c r="F401" s="51" t="str">
        <x:v>A</x:v>
      </x:c>
      <x:c r="G401" s="51" t="str">
        <x:v>https://openai.com/index/five-new-stargate-sites/</x:v>
      </x:c>
    </x:row>
    <x:row r="402">
      <x:c r="A402" s="51" t="str">
        <x:v>SRC-398</x:v>
      </x:c>
      <x:c r="B402" s="51" t="str">
        <x:v>OpenAI</x:v>
      </x:c>
      <x:c r="C402" s="51" t="str">
        <x:v>Stargate Community Update</x:v>
      </x:c>
      <x:c r="D402" s="51" t="str">
        <x:v>2026-01-20</x:v>
      </x:c>
      <x:c r="E402" s="51" t="str">
        <x:v>Official infrastructure update</x:v>
      </x:c>
      <x:c r="F402" s="51" t="str">
        <x:v>A</x:v>
      </x:c>
      <x:c r="G402" s="51" t="str">
        <x:v>https://openai.com/index/stargate-community/</x:v>
      </x:c>
    </x:row>
    <x:row r="403">
      <x:c r="A403" s="51" t="str">
        <x:v>SRC-399</x:v>
      </x:c>
      <x:c r="B403" s="51" t="str">
        <x:v>OpenAI</x:v>
      </x:c>
      <x:c r="C403" s="51" t="str">
        <x:v>OpenAI and Broadcom Jalapeño Inference Chip</x:v>
      </x:c>
      <x:c r="D403" s="51" t="str">
        <x:v>2026-06-24</x:v>
      </x:c>
      <x:c r="E403" s="51" t="str">
        <x:v>Official chip release</x:v>
      </x:c>
      <x:c r="F403" s="51" t="str">
        <x:v>A</x:v>
      </x:c>
      <x:c r="G403" s="51" t="str">
        <x:v>https://openai.com/index/openai-broadcom-jalapeno-inference-chip/</x:v>
      </x:c>
    </x:row>
    <x:row r="404">
      <x:c r="A404" s="51" t="str">
        <x:v>SRC-400</x:v>
      </x:c>
      <x:c r="B404" s="51" t="str">
        <x:v>Microsoft</x:v>
      </x:c>
      <x:c r="C404" s="51" t="str">
        <x:v>The Next Chapter of the Microsoft–OpenAI Partnership</x:v>
      </x:c>
      <x:c r="D404" s="51" t="str">
        <x:v>2025-10-28</x:v>
      </x:c>
      <x:c r="E404" s="51" t="str">
        <x:v>Official partnership release</x:v>
      </x:c>
      <x:c r="F404" s="51" t="str">
        <x:v>A</x:v>
      </x:c>
      <x:c r="G404" s="51" t="str">
        <x:v>https://blogs.microsoft.com/blog/2025/10/28/the-next-chapter-of-the-microsoft-openai-partnership/</x:v>
      </x:c>
    </x:row>
    <x:row r="405">
      <x:c r="A405" s="51" t="str">
        <x:v>SRC-401</x:v>
      </x:c>
      <x:c r="B405" s="51" t="str">
        <x:v>Microsoft</x:v>
      </x:c>
      <x:c r="C405" s="51" t="str">
        <x:v>The Next Phase of the Microsoft–OpenAI Partnership</x:v>
      </x:c>
      <x:c r="D405" s="51" t="str">
        <x:v>2026-04-27</x:v>
      </x:c>
      <x:c r="E405" s="51" t="str">
        <x:v>Official partnership release</x:v>
      </x:c>
      <x:c r="F405" s="51" t="str">
        <x:v>A</x:v>
      </x:c>
      <x:c r="G405" s="51" t="str">
        <x:v>https://blogs.microsoft.com/blog/2026/04/27/the-next-phase-of-the-microsoft-openai-partnership/</x:v>
      </x:c>
    </x:row>
    <x:row r="406">
      <x:c r="A406" s="51" t="str">
        <x:v>SRC-402</x:v>
      </x:c>
      <x:c r="B406" s="51" t="str">
        <x:v>Microsoft</x:v>
      </x:c>
      <x:c r="C406" s="51" t="str">
        <x:v>Community-First AI Infrastructure</x:v>
      </x:c>
      <x:c r="D406" s="51" t="str">
        <x:v>2026-01-13</x:v>
      </x:c>
      <x:c r="E406" s="51" t="str">
        <x:v>Official policy statement</x:v>
      </x:c>
      <x:c r="F406" s="51" t="str">
        <x:v>A</x:v>
      </x:c>
      <x:c r="G406" s="51" t="str">
        <x:v>https://blogs.microsoft.com/on-the-issues/2026/01/13/community-first-ai-infrastructure/</x:v>
      </x:c>
    </x:row>
    <x:row r="407">
      <x:c r="A407" s="51" t="str">
        <x:v>SRC-403</x:v>
      </x:c>
      <x:c r="B407" s="51" t="str">
        <x:v>SoftBank Group</x:v>
      </x:c>
      <x:c r="C407" s="51" t="str">
        <x:v>Follow-on Investments in OpenAI</x:v>
      </x:c>
      <x:c r="D407" s="51" t="str">
        <x:v>2026-02-27</x:v>
      </x:c>
      <x:c r="E407" s="51" t="str">
        <x:v>Official investment release</x:v>
      </x:c>
      <x:c r="F407" s="51" t="str">
        <x:v>A</x:v>
      </x:c>
      <x:c r="G407" s="51" t="str">
        <x:v>https://group.softbank/en/news/press/20260227</x:v>
      </x:c>
    </x:row>
    <x:row r="408">
      <x:c r="A408" s="51" t="str">
        <x:v>SRC-404</x:v>
      </x:c>
      <x:c r="B408" s="51" t="str">
        <x:v>SoftBank Group</x:v>
      </x:c>
      <x:c r="C408" s="51" t="str">
        <x:v>Execution of $40 Billion Bridge Facility</x:v>
      </x:c>
      <x:c r="D408" s="51" t="str">
        <x:v>2026-03-27</x:v>
      </x:c>
      <x:c r="E408" s="51" t="str">
        <x:v>Official financing release</x:v>
      </x:c>
      <x:c r="F408" s="51" t="str">
        <x:v>A</x:v>
      </x:c>
      <x:c r="G408" s="51" t="str">
        <x:v>https://group.softbank/en/news/press/20260327</x:v>
      </x:c>
    </x:row>
    <x:row r="409">
      <x:c r="A409" s="51" t="str">
        <x:v>SRC-405</x:v>
      </x:c>
      <x:c r="B409" s="51" t="str">
        <x:v>SoftBank Group</x:v>
      </x:c>
      <x:c r="C409" s="51" t="str">
        <x:v>Execution of Second OpenAI Follow-on Tranche</x:v>
      </x:c>
      <x:c r="D409" s="51" t="str">
        <x:v>2026-07-01</x:v>
      </x:c>
      <x:c r="E409" s="51" t="str">
        <x:v>Official investment release</x:v>
      </x:c>
      <x:c r="F409" s="51" t="str">
        <x:v>A</x:v>
      </x:c>
      <x:c r="G409" s="51" t="str">
        <x:v>https://group.softbank/en/news/press/20260701</x:v>
      </x:c>
    </x:row>
    <x:row r="410">
      <x:c r="A410" s="51" t="str">
        <x:v>SRC-406</x:v>
      </x:c>
      <x:c r="B410" s="51" t="str">
        <x:v>SoftBank</x:v>
      </x:c>
      <x:c r="C410" s="51" t="str">
        <x:v>SB Neo Neocloud Business in the United States</x:v>
      </x:c>
      <x:c r="D410" s="51" t="str">
        <x:v>2026-07-02</x:v>
      </x:c>
      <x:c r="E410" s="51" t="str">
        <x:v>Official company release</x:v>
      </x:c>
      <x:c r="F410" s="51" t="str">
        <x:v>A</x:v>
      </x:c>
      <x:c r="G410" s="51" t="str">
        <x:v>https://www.softbank.jp/en/corp/news/press/sbkk/2026/20260702_01/</x:v>
      </x:c>
    </x:row>
    <x:row r="411">
      <x:c r="A411" s="51" t="str">
        <x:v>SRC-407</x:v>
      </x:c>
      <x:c r="B411" s="51" t="str">
        <x:v>Oracle</x:v>
      </x:c>
      <x:c r="C411" s="51" t="str">
        <x:v>AI Data Centers and Stargate Sites</x:v>
      </x:c>
      <x:c r="D411" s="51" t="str">
        <x:v>Current 2026</x:v>
      </x:c>
      <x:c r="E411" s="51" t="str">
        <x:v>Official infrastructure portal</x:v>
      </x:c>
      <x:c r="F411" s="51" t="str">
        <x:v>A</x:v>
      </x:c>
      <x:c r="G411" s="51" t="str">
        <x:v>https://www.oracle.com/data-centers/</x:v>
      </x:c>
    </x:row>
    <x:row r="412">
      <x:c r="A412" s="51" t="str">
        <x:v>SRC-408</x:v>
      </x:c>
      <x:c r="B412" s="51" t="str">
        <x:v>CoreWeave</x:v>
      </x:c>
      <x:c r="C412" s="51" t="str">
        <x:v>2025 Form 10-K</x:v>
      </x:c>
      <x:c r="D412" s="51" t="str">
        <x:v>2026-03-02</x:v>
      </x:c>
      <x:c r="E412" s="51" t="str">
        <x:v>Official SEC annual report</x:v>
      </x:c>
      <x:c r="F412" s="51" t="str">
        <x:v>A</x:v>
      </x:c>
      <x:c r="G412" s="51" t="str">
        <x:v>https://www.sec.gov/Archives/edgar/data/1769628/000176962826000104/crwv-20251231.htm</x:v>
      </x:c>
    </x:row>
    <x:row r="413">
      <x:c r="A413" s="51" t="str">
        <x:v>SRC-409</x:v>
      </x:c>
      <x:c r="B413" s="51" t="str">
        <x:v>CoreWeave</x:v>
      </x:c>
      <x:c r="C413" s="51" t="str">
        <x:v>$8.5 Billion GPU-Backed Financing Facility</x:v>
      </x:c>
      <x:c r="D413" s="51" t="str">
        <x:v>2026-03-31</x:v>
      </x:c>
      <x:c r="E413" s="51" t="str">
        <x:v>Official financing release</x:v>
      </x:c>
      <x:c r="F413" s="51" t="str">
        <x:v>A</x:v>
      </x:c>
      <x:c r="G413" s="51" t="str">
        <x:v>https://investors.coreweave.com/news/news-details/2026/CoreWeave-Closes-Landmark-8-5-Billion-Financing-Facility-Achieving-First-Investment-Grade-Rated-GPU-backed-Financing/default.aspx</x:v>
      </x:c>
    </x:row>
    <x:row r="414">
      <x:c r="A414" s="51" t="str">
        <x:v>SRC-410</x:v>
      </x:c>
      <x:c r="B414" s="51" t="str">
        <x:v>CoreWeave</x:v>
      </x:c>
      <x:c r="C414" s="51" t="str">
        <x:v>AI Data Center Fleet and Power Capacity</x:v>
      </x:c>
      <x:c r="D414" s="51" t="str">
        <x:v>Current 2026</x:v>
      </x:c>
      <x:c r="E414" s="51" t="str">
        <x:v>Official infrastructure page</x:v>
      </x:c>
      <x:c r="F414" s="51" t="str">
        <x:v>A</x:v>
      </x:c>
      <x:c r="G414" s="51" t="str">
        <x:v>https://www.coreweave.com/ai-data-centers</x:v>
      </x:c>
    </x:row>
    <x:row r="415">
      <x:c r="A415" s="51" t="str">
        <x:v>SRC-411</x:v>
      </x:c>
      <x:c r="B415" s="51" t="str">
        <x:v>CoreWeave</x:v>
      </x:c>
      <x:c r="C415" s="51" t="str">
        <x:v>Sweden Capacity Expansion</x:v>
      </x:c>
      <x:c r="D415" s="51" t="str">
        <x:v>2026-06-24</x:v>
      </x:c>
      <x:c r="E415" s="51" t="str">
        <x:v>Official company release</x:v>
      </x:c>
      <x:c r="F415" s="51" t="str">
        <x:v>A</x:v>
      </x:c>
      <x:c r="G415" s="51" t="str">
        <x:v>https://www.coreweave.com/news/coreweave-partners-with-conapto-to-expand-ai-cloud-capacity-in-sweden-powered-by-renewable-energy</x:v>
      </x:c>
    </x:row>
    <x:row r="416">
      <x:c r="A416" s="51" t="str">
        <x:v>SRC-412</x:v>
      </x:c>
      <x:c r="B416" s="51" t="str">
        <x:v>Anthropic</x:v>
      </x:c>
      <x:c r="C416" s="51" t="str">
        <x:v>Amazon Collaboration for Up to 5GW</x:v>
      </x:c>
      <x:c r="D416" s="51" t="str">
        <x:v>2026-04-20</x:v>
      </x:c>
      <x:c r="E416" s="51" t="str">
        <x:v>Official partnership release</x:v>
      </x:c>
      <x:c r="F416" s="51" t="str">
        <x:v>A</x:v>
      </x:c>
      <x:c r="G416" s="51" t="str">
        <x:v>https://www.anthropic.com/news/anthropic-amazon-compute</x:v>
      </x:c>
    </x:row>
    <x:row r="417">
      <x:c r="A417" s="51" t="str">
        <x:v>SRC-413</x:v>
      </x:c>
      <x:c r="B417" s="51" t="str">
        <x:v>Anthropic</x:v>
      </x:c>
      <x:c r="C417" s="51" t="str">
        <x:v>Google and Broadcom TPU Collaboration</x:v>
      </x:c>
      <x:c r="D417" s="51" t="str">
        <x:v>2026-04-06</x:v>
      </x:c>
      <x:c r="E417" s="51" t="str">
        <x:v>Official partnership release</x:v>
      </x:c>
      <x:c r="F417" s="51" t="str">
        <x:v>A</x:v>
      </x:c>
      <x:c r="G417" s="51" t="str">
        <x:v>https://www.anthropic.com/news/google-broadcom-partnership-compute</x:v>
      </x:c>
    </x:row>
    <x:row r="418">
      <x:c r="A418" s="51" t="str">
        <x:v>SRC-414</x:v>
      </x:c>
      <x:c r="B418" s="51" t="str">
        <x:v>Anthropic</x:v>
      </x:c>
      <x:c r="C418" s="51" t="str">
        <x:v>Amazon Investment and Trainium Partnership</x:v>
      </x:c>
      <x:c r="D418" s="51" t="str">
        <x:v>2024-11-22</x:v>
      </x:c>
      <x:c r="E418" s="51" t="str">
        <x:v>Official partnership release</x:v>
      </x:c>
      <x:c r="F418" s="51" t="str">
        <x:v>A</x:v>
      </x:c>
      <x:c r="G418" s="51" t="str">
        <x:v>https://www.anthropic.com/news/anthropic-amazon-trainium</x:v>
      </x:c>
    </x:row>
    <x:row r="419">
      <x:c r="A419" s="51" t="str">
        <x:v>SRC-415</x:v>
      </x:c>
      <x:c r="B419" s="51" t="str">
        <x:v>Anthropic</x:v>
      </x:c>
      <x:c r="C419" s="51" t="str">
        <x:v>Expanded Use of Google Cloud TPUs</x:v>
      </x:c>
      <x:c r="D419" s="51" t="str">
        <x:v>2025-10-23</x:v>
      </x:c>
      <x:c r="E419" s="51" t="str">
        <x:v>Official partnership release</x:v>
      </x:c>
      <x:c r="F419" s="51" t="str">
        <x:v>A</x:v>
      </x:c>
      <x:c r="G419" s="51" t="str">
        <x:v>https://www.anthropic.com/news/expanding-our-use-of-google-cloud-tpus-and-services</x:v>
      </x:c>
    </x:row>
    <x:row r="420">
      <x:c r="A420" s="51" t="str">
        <x:v>SRC-416</x:v>
      </x:c>
      <x:c r="B420" s="51" t="str">
        <x:v>Meta</x:v>
      </x:c>
      <x:c r="C420" s="51" t="str">
        <x:v>US AI Infrastructure Investment Commitment</x:v>
      </x:c>
      <x:c r="D420" s="51" t="str">
        <x:v>2025-11-07</x:v>
      </x:c>
      <x:c r="E420" s="51" t="str">
        <x:v>Official company release</x:v>
      </x:c>
      <x:c r="F420" s="51" t="str">
        <x:v>A</x:v>
      </x:c>
      <x:c r="G420" s="51" t="str">
        <x:v>https://about.fb.com/news/2025/11/meta-data-centers-drive-economic-growth-across-us/</x:v>
      </x:c>
    </x:row>
    <x:row r="421">
      <x:c r="A421" s="51" t="str">
        <x:v>SRC-417</x:v>
      </x:c>
      <x:c r="B421" s="51" t="str">
        <x:v>Meta</x:v>
      </x:c>
      <x:c r="C421" s="51" t="str">
        <x:v>Constellation Nuclear Energy Agreement</x:v>
      </x:c>
      <x:c r="D421" s="51" t="str">
        <x:v>2025-06-03</x:v>
      </x:c>
      <x:c r="E421" s="51" t="str">
        <x:v>Official company release</x:v>
      </x:c>
      <x:c r="F421" s="51" t="str">
        <x:v>A</x:v>
      </x:c>
      <x:c r="G421" s="51" t="str">
        <x:v>https://about.fb.com/news/2025/06/meta-constellation-partner-clean-energy-project/</x:v>
      </x:c>
    </x:row>
    <x:row r="422">
      <x:c r="A422" s="51" t="str">
        <x:v>SRC-418</x:v>
      </x:c>
      <x:c r="B422" s="51" t="str">
        <x:v>BlackRock</x:v>
      </x:c>
      <x:c r="C422" s="51" t="str">
        <x:v>Launch of Global AI Infrastructure Investment Partnership</x:v>
      </x:c>
      <x:c r="D422" s="51" t="str">
        <x:v>2024-09-17</x:v>
      </x:c>
      <x:c r="E422" s="51" t="str">
        <x:v>Official partnership release</x:v>
      </x:c>
      <x:c r="F422" s="51" t="str">
        <x:v>A</x:v>
      </x:c>
      <x:c r="G422" s="51" t="str">
        <x:v>https://ir.blackrock.com/news-and-events/press-releases/press-releases-details/2024/BlackRock-Global-Infrastructure-Partners-Microsoft-and-MGX-Launch-New-AI-Partnership-to-Invest-in-Data-Centers-and-Supporting-Power-Infrastructure/default.aspx</x:v>
      </x:c>
    </x:row>
    <x:row r="423">
      <x:c r="A423" s="51" t="str">
        <x:v>SRC-419</x:v>
      </x:c>
      <x:c r="B423" s="51" t="str">
        <x:v>BlackRock</x:v>
      </x:c>
      <x:c r="C423" s="51" t="str">
        <x:v>NVIDIA and xAI Join AI Infrastructure Partnership</x:v>
      </x:c>
      <x:c r="D423" s="51" t="str">
        <x:v>2025-03-19</x:v>
      </x:c>
      <x:c r="E423" s="51" t="str">
        <x:v>Official partnership release</x:v>
      </x:c>
      <x:c r="F423" s="51" t="str">
        <x:v>A</x:v>
      </x:c>
      <x:c r="G423" s="51" t="str">
        <x:v>https://ir.blackrock.com/news-and-events/press-releases/press-releases-details/2025/BlackRock-Global-Infrastructure-Partners-Microsoft-and-MGX-Welcome-NVIDIA-and-xAI-to-the-AI-Infrastructure-Partnership-to-Drive-Investment-in-Data-Centers-and-Enabling-Infrastructure/default.aspx</x:v>
      </x:c>
    </x:row>
    <x:row r="424">
      <x:c r="A424" s="51" t="str">
        <x:v>SRC-420</x:v>
      </x:c>
      <x:c r="B424" s="51" t="str">
        <x:v>BlackRock</x:v>
      </x:c>
      <x:c r="C424" s="51" t="str">
        <x:v>Kuwait Investment Authority Joins AI Infrastructure Partnership</x:v>
      </x:c>
      <x:c r="D424" s="51" t="str">
        <x:v>2025-06-03</x:v>
      </x:c>
      <x:c r="E424" s="51" t="str">
        <x:v>Official partnership release</x:v>
      </x:c>
      <x:c r="F424" s="51" t="str">
        <x:v>A</x:v>
      </x:c>
      <x:c r="G424" s="51" t="str">
        <x:v>https://ir.blackrock.com/news-and-events/press-releases/press-releases-details/2025/MGX-BlackRock-Global-Infrastructure-Partners-and-Microsoft-Welcome-Kuwait-Investment-Authority-KIA-to-the-AI-Infrastructure-Partnership/default.aspx</x:v>
      </x:c>
    </x:row>
    <x:row r="425">
      <x:c r="A425" s="51" t="str">
        <x:v>SRC-421</x:v>
      </x:c>
      <x:c r="B425" s="51" t="str">
        <x:v>White House</x:v>
      </x:c>
      <x:c r="C425" s="51" t="str">
        <x:v>America's AI Action Plan</x:v>
      </x:c>
      <x:c r="D425" s="51" t="str">
        <x:v>2025-07</x:v>
      </x:c>
      <x:c r="E425" s="51" t="str">
        <x:v>Official policy plan</x:v>
      </x:c>
      <x:c r="F425" s="51" t="str">
        <x:v>A</x:v>
      </x:c>
      <x:c r="G425" s="51" t="str">
        <x:v>https://www.whitehouse.gov/wp-content/uploads/2025/07/Americas-AI-Action-Plan.pdf</x:v>
      </x:c>
    </x:row>
    <x:row r="426">
      <x:c r="A426" s="51" t="str">
        <x:v>SRC-422</x:v>
      </x:c>
      <x:c r="B426" s="51" t="str">
        <x:v>White House</x:v>
      </x:c>
      <x:c r="C426" s="51" t="str">
        <x:v>Accelerating Federal Permitting of Data Center Infrastructure</x:v>
      </x:c>
      <x:c r="D426" s="51" t="str">
        <x:v>2025-07-23</x:v>
      </x:c>
      <x:c r="E426" s="51" t="str">
        <x:v>Official presidential action</x:v>
      </x:c>
      <x:c r="F426" s="51" t="str">
        <x:v>A</x:v>
      </x:c>
      <x:c r="G426" s="51" t="str">
        <x:v>https://www.whitehouse.gov/presidential-actions/2025/07/accelerating-federal-permitting-of-data-center-infrastructure/</x:v>
      </x:c>
    </x:row>
    <x:row r="427">
      <x:c r="A427" s="51" t="str">
        <x:v>SRC-423</x:v>
      </x:c>
      <x:c r="B427" s="51" t="str">
        <x:v>White House</x:v>
      </x:c>
      <x:c r="C427" s="51" t="str">
        <x:v>President Donald J. Trump</x:v>
      </x:c>
      <x:c r="D427" s="51" t="str">
        <x:v>Current 2026</x:v>
      </x:c>
      <x:c r="E427" s="51" t="str">
        <x:v>Official biography</x:v>
      </x:c>
      <x:c r="F427" s="51" t="str">
        <x:v>A</x:v>
      </x:c>
      <x:c r="G427" s="51" t="str">
        <x:v>https://www.whitehouse.gov/administration/donald-j-trump/</x:v>
      </x:c>
    </x:row>
    <x:row r="428">
      <x:c r="A428" s="51" t="str">
        <x:v>SRC-424</x:v>
      </x:c>
      <x:c r="B428" s="51" t="str">
        <x:v>Bureau of Industry and Security</x:v>
      </x:c>
      <x:c r="C428" s="51" t="str">
        <x:v>Advanced Computing Entity Guidance</x:v>
      </x:c>
      <x:c r="D428" s="51" t="str">
        <x:v>2026-05-31</x:v>
      </x:c>
      <x:c r="E428" s="51" t="str">
        <x:v>Official export-control guidance</x:v>
      </x:c>
      <x:c r="F428" s="51" t="str">
        <x:v>A</x:v>
      </x:c>
      <x:c r="G428" s="51" t="str">
        <x:v>https://www.bis.gov/media/documents/bis-guidance-may-31-2026.pdf</x:v>
      </x:c>
    </x:row>
    <x:row r="429">
      <x:c r="A429" s="51" t="str">
        <x:v>SRC-425</x:v>
      </x:c>
      <x:c r="B429" s="51" t="str">
        <x:v>Bureau of Industry and Security</x:v>
      </x:c>
      <x:c r="C429" s="51" t="str">
        <x:v>Revised License Review Policy for H200 and Similar Chips to China</x:v>
      </x:c>
      <x:c r="D429" s="51" t="str">
        <x:v>2026-01-13</x:v>
      </x:c>
      <x:c r="E429" s="51" t="str">
        <x:v>Official export-control release</x:v>
      </x:c>
      <x:c r="F429" s="51" t="str">
        <x:v>A</x:v>
      </x:c>
      <x:c r="G429" s="51" t="str">
        <x:v>https://www.bis.gov/press-release/department-commerce-revises-license-review-policy-semiconductors-exported-china</x:v>
      </x:c>
    </x:row>
    <x:row r="430">
      <x:c r="A430" s="51" t="str">
        <x:v>SRC-426</x:v>
      </x:c>
      <x:c r="B430" s="51" t="str">
        <x:v>Bureau of Industry and Security</x:v>
      </x:c>
      <x:c r="C430" s="51" t="str">
        <x:v>Eased Advanced-Computing Controls for UAE</x:v>
      </x:c>
      <x:c r="D430" s="51" t="str">
        <x:v>2026-07-10</x:v>
      </x:c>
      <x:c r="E430" s="51" t="str">
        <x:v>Official export-control release</x:v>
      </x:c>
      <x:c r="F430" s="51" t="str">
        <x:v>A</x:v>
      </x:c>
      <x:c r="G430" s="51" t="str">
        <x:v>https://www.bis.gov/press-release/department-commerce-eases-export-controls-uae</x:v>
      </x:c>
    </x:row>
    <x:row r="431">
      <x:c r="A431" s="51" t="str">
        <x:v>SRC-427</x:v>
      </x:c>
      <x:c r="B431" s="51" t="str">
        <x:v>Department of Energy</x:v>
      </x:c>
      <x:c r="C431" s="51" t="str">
        <x:v>Large Data Centers and Grid Oscillations</x:v>
      </x:c>
      <x:c r="D431" s="51" t="str">
        <x:v>2026-05-28</x:v>
      </x:c>
      <x:c r="E431" s="51" t="str">
        <x:v>Official grid analysis</x:v>
      </x:c>
      <x:c r="F431" s="51" t="str">
        <x:v>A</x:v>
      </x:c>
      <x:c r="G431" s="51" t="str">
        <x:v>https://www.energy.gov/oe/articles/monitoring-oscillations-large-data-centers</x:v>
      </x:c>
    </x:row>
    <x:row r="432">
      <x:c r="A432" s="51" t="str">
        <x:v>SRC-428</x:v>
      </x:c>
      <x:c r="B432" s="51" t="str">
        <x:v>Department of Energy</x:v>
      </x:c>
      <x:c r="C432" s="51" t="str">
        <x:v>Microgrids and Large Electric Loads</x:v>
      </x:c>
      <x:c r="D432" s="51" t="str">
        <x:v>2026-07-16</x:v>
      </x:c>
      <x:c r="E432" s="51" t="str">
        <x:v>Official grid analysis</x:v>
      </x:c>
      <x:c r="F432" s="51" t="str">
        <x:v>A</x:v>
      </x:c>
      <x:c r="G432" s="51" t="str">
        <x:v>https://www.energy.gov/oe/articles/microgrids-large-electric-loads-grid-support-how-leverage-microgrids-support-utilities</x:v>
      </x:c>
    </x:row>
    <x:row r="433">
      <x:c r="A433" s="51" t="str">
        <x:v>SRC-429</x:v>
      </x:c>
      <x:c r="B433" s="51" t="str">
        <x:v>Department of Energy</x:v>
      </x:c>
      <x:c r="C433" s="51" t="str">
        <x:v>Powering America's AI Future Data Center Resource Hub</x:v>
      </x:c>
      <x:c r="D433" s="51" t="str">
        <x:v>Current 2026</x:v>
      </x:c>
      <x:c r="E433" s="51" t="str">
        <x:v>Official infrastructure portal</x:v>
      </x:c>
      <x:c r="F433" s="51" t="str">
        <x:v>A</x:v>
      </x:c>
      <x:c r="G433" s="51" t="str">
        <x:v>https://www.energy.gov/powering-americas-ai-future-data-center-resource-hub</x:v>
      </x:c>
    </x:row>
    <x:row r="434">
      <x:c r="A434" s="51" t="str">
        <x:v>SRC-430</x:v>
      </x:c>
      <x:c r="B434" s="51" t="str">
        <x:v>NVIDIA</x:v>
      </x:c>
      <x:c r="C434" s="51" t="str">
        <x:v>Jensen Huang Biography</x:v>
      </x:c>
      <x:c r="D434" s="51" t="str">
        <x:v>Current 2026</x:v>
      </x:c>
      <x:c r="E434" s="51" t="str">
        <x:v>Official executive biography</x:v>
      </x:c>
      <x:c r="F434" s="51" t="str">
        <x:v>A</x:v>
      </x:c>
      <x:c r="G434" s="51" t="str">
        <x:v>https://www.nvidia.com/en-us/about-nvidia/board-of-directors/jensen-huang/</x:v>
      </x:c>
    </x:row>
    <x:row r="435">
      <x:c r="A435" s="51" t="str">
        <x:v>SRC-431</x:v>
      </x:c>
      <x:c r="B435" s="51" t="str">
        <x:v>OpenAI</x:v>
      </x:c>
      <x:c r="C435" s="51" t="str">
        <x:v>Sam Altman on Building the Future of AI</x:v>
      </x:c>
      <x:c r="D435" s="51" t="str">
        <x:v>2026-04-06</x:v>
      </x:c>
      <x:c r="E435" s="51" t="str">
        <x:v>Official executive event page</x:v>
      </x:c>
      <x:c r="F435" s="51" t="str">
        <x:v>A</x:v>
      </x:c>
      <x:c r="G435" s="51" t="str">
        <x:v>https://forum.openai.com/public/videos/event-replay-sam-altman-on-building-the-future-of-ai-2026-04-06</x:v>
      </x:c>
    </x:row>
    <x:row r="436">
      <x:c r="A436" s="51" t="str">
        <x:v>SRC-432</x:v>
      </x:c>
      <x:c r="B436" s="51" t="str">
        <x:v>Microsoft</x:v>
      </x:c>
      <x:c r="C436" s="51" t="str">
        <x:v>Satya Nadella Biography</x:v>
      </x:c>
      <x:c r="D436" s="51" t="str">
        <x:v>Current 2026</x:v>
      </x:c>
      <x:c r="E436" s="51" t="str">
        <x:v>Official executive biography</x:v>
      </x:c>
      <x:c r="F436" s="51" t="str">
        <x:v>A</x:v>
      </x:c>
      <x:c r="G436" s="51" t="str">
        <x:v>https://news.microsoft.com/source/exec/satya-nadella/</x:v>
      </x:c>
    </x:row>
    <x:row r="437">
      <x:c r="A437" s="51" t="str">
        <x:v>SRC-433</x:v>
      </x:c>
      <x:c r="B437" s="51" t="str">
        <x:v>SoftBank Group</x:v>
      </x:c>
      <x:c r="C437" s="51" t="str">
        <x:v>Masayoshi Son Biography</x:v>
      </x:c>
      <x:c r="D437" s="51" t="str">
        <x:v>Current 2026</x:v>
      </x:c>
      <x:c r="E437" s="51" t="str">
        <x:v>Official executive biography</x:v>
      </x:c>
      <x:c r="F437" s="51" t="str">
        <x:v>A</x:v>
      </x:c>
      <x:c r="G437" s="51" t="str">
        <x:v>https://www.softbank.jp/en/corp/aboutus/profile/officer/son/</x:v>
      </x:c>
    </x:row>
    <x:row r="438">
      <x:c r="A438" s="51" t="str">
        <x:v>SRC-434</x:v>
      </x:c>
      <x:c r="B438" s="51" t="str">
        <x:v>TSMC</x:v>
      </x:c>
      <x:c r="C438" s="51" t="str">
        <x:v>C.C. Wei Executive Biography</x:v>
      </x:c>
      <x:c r="D438" s="51" t="str">
        <x:v>Current 2026</x:v>
      </x:c>
      <x:c r="E438" s="51" t="str">
        <x:v>Official executive biography</x:v>
      </x:c>
      <x:c r="F438" s="51" t="str">
        <x:v>A</x:v>
      </x:c>
      <x:c r="G438" s="51" t="str">
        <x:v>https://www.tsmc.com/english/aboutTSMC/executives</x:v>
      </x:c>
    </x:row>
    <x:row r="439">
      <x:c r="A439" s="51" t="str">
        <x:v>SRC-435</x:v>
      </x:c>
      <x:c r="B439" s="51" t="str">
        <x:v>ASML</x:v>
      </x:c>
      <x:c r="C439" s="51" t="str">
        <x:v>Board of Management</x:v>
      </x:c>
      <x:c r="D439" s="51" t="str">
        <x:v>Current 2026</x:v>
      </x:c>
      <x:c r="E439" s="51" t="str">
        <x:v>Official executive biography</x:v>
      </x:c>
      <x:c r="F439" s="51" t="str">
        <x:v>A</x:v>
      </x:c>
      <x:c r="G439" s="51" t="str">
        <x:v>https://www.asml.com/company/governance/board-of-management</x:v>
      </x:c>
    </x:row>
    <x:row r="440">
      <x:c r="A440" s="51" t="str">
        <x:v>SRC-436</x:v>
      </x:c>
      <x:c r="B440" s="51" t="str">
        <x:v>Anthropic</x:v>
      </x:c>
      <x:c r="C440" s="51" t="str">
        <x:v>Dario Amodei Statement on American AI Leadership</x:v>
      </x:c>
      <x:c r="D440" s="51" t="str">
        <x:v>2025-10-21</x:v>
      </x:c>
      <x:c r="E440" s="51" t="str">
        <x:v>Official executive statement</x:v>
      </x:c>
      <x:c r="F440" s="51" t="str">
        <x:v>A</x:v>
      </x:c>
      <x:c r="G440" s="51" t="str">
        <x:v>https://www.anthropic.com/news/statement-dario-amodei-american-ai-leadership</x:v>
      </x:c>
    </x:row>
    <x:row r="441">
      <x:c r="A441" s="51" t="str">
        <x:v>SRC-437</x:v>
      </x:c>
      <x:c r="B441" s="51" t="str">
        <x:v>CoreWeave</x:v>
      </x:c>
      <x:c r="C441" s="51" t="str">
        <x:v>Michael Intrator Executive Biography</x:v>
      </x:c>
      <x:c r="D441" s="51" t="str">
        <x:v>Current 2026</x:v>
      </x:c>
      <x:c r="E441" s="51" t="str">
        <x:v>Official executive biography</x:v>
      </x:c>
      <x:c r="F441" s="51" t="str">
        <x:v>A</x:v>
      </x:c>
      <x:c r="G441" s="51" t="str">
        <x:v>https://www.coreweave.com/leadership/mike-intrator</x:v>
      </x:c>
    </x:row>
    <x:row r="442">
      <x:c r="A442" s="51" t="str">
        <x:v>SRC-438</x:v>
      </x:c>
      <x:c r="B442" s="51" t="str">
        <x:v>Google</x:v>
      </x:c>
      <x:c r="C442" s="51" t="str">
        <x:v>Company Information and Sundar Pichai</x:v>
      </x:c>
      <x:c r="D442" s="51" t="str">
        <x:v>Current 2026</x:v>
      </x:c>
      <x:c r="E442" s="51" t="str">
        <x:v>Official company biography</x:v>
      </x:c>
      <x:c r="F442" s="51" t="str">
        <x:v>A</x:v>
      </x:c>
      <x:c r="G442" s="51" t="str">
        <x:v>https://about.google/company-info/</x:v>
      </x:c>
    </x:row>
    <x:row r="443">
      <x:c r="A443" s="51" t="str">
        <x:v>SRC-439</x:v>
      </x:c>
      <x:c r="B443" s="51" t="str">
        <x:v>Synopsys</x:v>
      </x:c>
      <x:c r="C443" s="51" t="str">
        <x:v>Sassine Ghazi Executive Biography</x:v>
      </x:c>
      <x:c r="D443" s="51" t="str">
        <x:v>Current 2026</x:v>
      </x:c>
      <x:c r="E443" s="51" t="str">
        <x:v>Official executive biography</x:v>
      </x:c>
      <x:c r="F443" s="51" t="str">
        <x:v>A</x:v>
      </x:c>
      <x:c r="G443" s="51" t="str">
        <x:v>https://www.synopsys.com/company/management-team/sassine-ghazi-bio.html</x:v>
      </x:c>
    </x:row>
    <x:row r="444">
      <x:c r="A444" s="51" t="str">
        <x:v>SRC-440</x:v>
      </x:c>
      <x:c r="B444" s="51" t="str">
        <x:v>Cadence</x:v>
      </x:c>
      <x:c r="C444" s="51" t="str">
        <x:v>Anirudh Devgan Leadership Biography</x:v>
      </x:c>
      <x:c r="D444" s="51" t="str">
        <x:v>Current 2026</x:v>
      </x:c>
      <x:c r="E444" s="51" t="str">
        <x:v>Official executive biography</x:v>
      </x:c>
      <x:c r="F444" s="51" t="str">
        <x:v>A</x:v>
      </x:c>
      <x:c r="G444" s="51" t="str">
        <x:v>https://www.cadence.com/en_US/home/company/leadership-team.html</x:v>
      </x:c>
    </x:row>
    <x:row r="445">
      <x:c r="A445" s="51" t="str">
        <x:v>SRC-441</x:v>
      </x:c>
      <x:c r="B445" s="51" t="str">
        <x:v>Gates Foundation</x:v>
      </x:c>
      <x:c r="C445" s="51" t="str">
        <x:v>Bill Gates Leadership Biography</x:v>
      </x:c>
      <x:c r="D445" s="51" t="str">
        <x:v>Current 2026</x:v>
      </x:c>
      <x:c r="E445" s="51" t="str">
        <x:v>Official biography</x:v>
      </x:c>
      <x:c r="F445" s="51" t="str">
        <x:v>A</x:v>
      </x:c>
      <x:c r="G445" s="51" t="str">
        <x:v>https://www.gatesfoundation.org/about/leadership/bill-gates</x:v>
      </x:c>
    </x:row>
    <x:row r="446">
      <x:c r="A446" s="51" t="str">
        <x:v>SRC-442</x:v>
      </x:c>
      <x:c r="B446" s="51" t="str">
        <x:v>International Telecommunication Union</x:v>
      </x:c>
      <x:c r="C446" s="51" t="str">
        <x:v>Facts and Figures 2025</x:v>
      </x:c>
      <x:c r="D446" s="51" t="str">
        <x:v>2025-11-17</x:v>
      </x:c>
      <x:c r="E446" s="51" t="str">
        <x:v>Official global statistics</x:v>
      </x:c>
      <x:c r="F446" s="51" t="str">
        <x:v>A</x:v>
      </x:c>
      <x:c r="G446" s="51" t="str">
        <x:v>https://www.itu.int/en/mediacentre/Pages/PR-2025-11-17-Facts-and-Figures.aspx</x:v>
      </x:c>
    </x:row>
    <x:row r="447">
      <x:c r="A447" s="51" t="str">
        <x:v>SRC-443</x:v>
      </x:c>
      <x:c r="B447" s="51" t="str">
        <x:v>International Telecommunication Union</x:v>
      </x:c>
      <x:c r="C447" s="51" t="str">
        <x:v>Global Connectivity Report 2025</x:v>
      </x:c>
      <x:c r="D447" s="51" t="str">
        <x:v>2025</x:v>
      </x:c>
      <x:c r="E447" s="51" t="str">
        <x:v>Official global report</x:v>
      </x:c>
      <x:c r="F447" s="51" t="str">
        <x:v>A</x:v>
      </x:c>
      <x:c r="G447" s="51" t="str">
        <x:v>https://www.itu.int/itu-d/reports/statistics/global-connectivity-report-2025/</x:v>
      </x:c>
    </x:row>
    <x:row r="448">
      <x:c r="A448" s="51" t="str">
        <x:v>SRC-444</x:v>
      </x:c>
      <x:c r="B448" s="51" t="str">
        <x:v>ICANN</x:v>
      </x:c>
      <x:c r="C448" s="51" t="str">
        <x:v>Fiscal Year 2025 Annual Report</x:v>
      </x:c>
      <x:c r="D448" s="51" t="str">
        <x:v>2025-06-30</x:v>
      </x:c>
      <x:c r="E448" s="51" t="str">
        <x:v>Official annual report</x:v>
      </x:c>
      <x:c r="F448" s="51" t="str">
        <x:v>A</x:v>
      </x:c>
      <x:c r="G448" s="51" t="str">
        <x:v>https://www.icann.org/en/system/files/files/annual-report-2025-en.pdf</x:v>
      </x:c>
    </x:row>
    <x:row r="449">
      <x:c r="A449" s="51" t="str">
        <x:v>SRC-445</x:v>
      </x:c>
      <x:c r="B449" s="51" t="str">
        <x:v>ICANN</x:v>
      </x:c>
      <x:c r="C449" s="51" t="str">
        <x:v>ICANN Announces Next Major Internet Security Update</x:v>
      </x:c>
      <x:c r="D449" s="51" t="str">
        <x:v>2026-05-20</x:v>
      </x:c>
      <x:c r="E449" s="51" t="str">
        <x:v>Official security release</x:v>
      </x:c>
      <x:c r="F449" s="51" t="str">
        <x:v>A</x:v>
      </x:c>
      <x:c r="G449" s="51" t="str">
        <x:v>https://www.icann.org/resources/press-material/release-2026-05-20-en</x:v>
      </x:c>
    </x:row>
    <x:row r="450">
      <x:c r="A450" s="51" t="str">
        <x:v>SRC-446</x:v>
      </x:c>
      <x:c r="B450" s="51" t="str">
        <x:v>IANA</x:v>
      </x:c>
      <x:c r="C450" s="51" t="str">
        <x:v>Root Servers</x:v>
      </x:c>
      <x:c r="D450" s="51" t="str">
        <x:v>Current 2026</x:v>
      </x:c>
      <x:c r="E450" s="51" t="str">
        <x:v>Official root-zone resource</x:v>
      </x:c>
      <x:c r="F450" s="51" t="str">
        <x:v>A</x:v>
      </x:c>
      <x:c r="G450" s="51" t="str">
        <x:v>https://www.iana.org/domains/root/servers</x:v>
      </x:c>
    </x:row>
    <x:row r="451">
      <x:c r="A451" s="51" t="str">
        <x:v>SRC-447</x:v>
      </x:c>
      <x:c r="B451" s="51" t="str">
        <x:v>IANA</x:v>
      </x:c>
      <x:c r="C451" s="51" t="str">
        <x:v>DNSSEC Trust Anchors and Rollovers</x:v>
      </x:c>
      <x:c r="D451" s="51" t="str">
        <x:v>Current 2026</x:v>
      </x:c>
      <x:c r="E451" s="51" t="str">
        <x:v>Official DNSSEC resource</x:v>
      </x:c>
      <x:c r="F451" s="51" t="str">
        <x:v>A</x:v>
      </x:c>
      <x:c r="G451" s="51" t="str">
        <x:v>https://www.iana.org/dnssec/files</x:v>
      </x:c>
    </x:row>
    <x:row r="452">
      <x:c r="A452" s="51" t="str">
        <x:v>SRC-448</x:v>
      </x:c>
      <x:c r="B452" s="51" t="str">
        <x:v>IANA</x:v>
      </x:c>
      <x:c r="C452" s="51" t="str">
        <x:v>Top-Level Domain List</x:v>
      </x:c>
      <x:c r="D452" s="51" t="str">
        <x:v>2026-07-27</x:v>
      </x:c>
      <x:c r="E452" s="51" t="str">
        <x:v>Official root-zone data</x:v>
      </x:c>
      <x:c r="F452" s="51" t="str">
        <x:v>A</x:v>
      </x:c>
      <x:c r="G452" s="51" t="str">
        <x:v>https://data.iana.org/TLD/tlds-alpha-by-domain.txt</x:v>
      </x:c>
    </x:row>
    <x:row r="453">
      <x:c r="A453" s="51" t="str">
        <x:v>SRC-449</x:v>
      </x:c>
      <x:c r="B453" s="51" t="str">
        <x:v>Verisign</x:v>
      </x:c>
      <x:c r="C453" s="51" t="str">
        <x:v>Fourth Quarter and Full Year 2025 Results</x:v>
      </x:c>
      <x:c r="D453" s="51" t="str">
        <x:v>2026-02-05</x:v>
      </x:c>
      <x:c r="E453" s="51" t="str">
        <x:v>Official financial release</x:v>
      </x:c>
      <x:c r="F453" s="51" t="str">
        <x:v>A</x:v>
      </x:c>
      <x:c r="G453" s="51" t="str">
        <x:v>https://investor.verisign.com/news-releases/news-release-details/verisign-reports-fourth-quarter-and-full-year-2025-results/</x:v>
      </x:c>
    </x:row>
    <x:row r="454">
      <x:c r="A454" s="51" t="str">
        <x:v>SRC-450</x:v>
      </x:c>
      <x:c r="B454" s="51" t="str">
        <x:v>Verisign</x:v>
      </x:c>
      <x:c r="C454" s="51" t="str">
        <x:v>Second Quarter 2026 Results</x:v>
      </x:c>
      <x:c r="D454" s="51" t="str">
        <x:v>2026-07-23</x:v>
      </x:c>
      <x:c r="E454" s="51" t="str">
        <x:v>Official financial release</x:v>
      </x:c>
      <x:c r="F454" s="51" t="str">
        <x:v>A</x:v>
      </x:c>
      <x:c r="G454" s="51" t="str">
        <x:v>https://investor.verisign.com/news-releases/news-release-details/verisign-reports-second-quarter-2026-results</x:v>
      </x:c>
    </x:row>
    <x:row r="455">
      <x:c r="A455" s="51" t="str">
        <x:v>SRC-451</x:v>
      </x:c>
      <x:c r="B455" s="51" t="str">
        <x:v>Meta Engineering</x:v>
      </x:c>
      <x:c r="C455" s="51" t="str">
        <x:v>Project Waterworth</x:v>
      </x:c>
      <x:c r="D455" s="51" t="str">
        <x:v>2025-02-14</x:v>
      </x:c>
      <x:c r="E455" s="51" t="str">
        <x:v>Official infrastructure announcement</x:v>
      </x:c>
      <x:c r="F455" s="51" t="str">
        <x:v>A</x:v>
      </x:c>
      <x:c r="G455" s="51" t="str">
        <x:v>https://engineering.fb.com/2025/02/14/connectivity/project-waterworth-ai-subsea-infrastructure/</x:v>
      </x:c>
    </x:row>
    <x:row r="456">
      <x:c r="A456" s="51" t="str">
        <x:v>SRC-452</x:v>
      </x:c>
      <x:c r="B456" s="51" t="str">
        <x:v>Google Cloud</x:v>
      </x:c>
      <x:c r="C456" s="51" t="str">
        <x:v>America-India Connect Infrastructure</x:v>
      </x:c>
      <x:c r="D456" s="51" t="str">
        <x:v>2026-02-18</x:v>
      </x:c>
      <x:c r="E456" s="51" t="str">
        <x:v>Official infrastructure announcement</x:v>
      </x:c>
      <x:c r="F456" s="51" t="str">
        <x:v>A</x:v>
      </x:c>
      <x:c r="G456" s="51" t="str">
        <x:v>https://cloud.google.com/blog/products/infrastructure/america-india-connect-infrastructure-connects-four-continents</x:v>
      </x:c>
    </x:row>
    <x:row r="457">
      <x:c r="A457" s="51" t="str">
        <x:v>SRC-453</x:v>
      </x:c>
      <x:c r="B457" s="51" t="str">
        <x:v>Google</x:v>
      </x:c>
      <x:c r="C457" s="51" t="str">
        <x:v>Honomoana and New Zealand Connectivity Investment</x:v>
      </x:c>
      <x:c r="D457" s="51" t="str">
        <x:v>2025-10-08</x:v>
      </x:c>
      <x:c r="E457" s="51" t="str">
        <x:v>Official infrastructure announcement</x:v>
      </x:c>
      <x:c r="F457" s="51" t="str">
        <x:v>A</x:v>
      </x:c>
      <x:c r="G457" s="51" t="str">
        <x:v>https://blog.google/intl/en-nz/company-news/were-investing-in-connectivity-products-and-skills-for-new-zealands-ai-future/</x:v>
      </x:c>
    </x:row>
    <x:row r="458">
      <x:c r="A458" s="51" t="str">
        <x:v>SRC-454</x:v>
      </x:c>
      <x:c r="B458" s="51" t="str">
        <x:v>Google Cloud</x:v>
      </x:c>
      <x:c r="C458" s="51" t="str">
        <x:v>Honomoana and Tabua South Pacific Cables</x:v>
      </x:c>
      <x:c r="D458" s="51" t="str">
        <x:v>2023-10-25</x:v>
      </x:c>
      <x:c r="E458" s="51" t="str">
        <x:v>Official infrastructure announcement</x:v>
      </x:c>
      <x:c r="F458" s="51" t="str">
        <x:v>A</x:v>
      </x:c>
      <x:c r="G458" s="51" t="str">
        <x:v>https://cloud.google.com/blog/products/infrastructure/honomoana-and-tabua-subsea-cables-connect-south-pacific</x:v>
      </x:c>
    </x:row>
    <x:row r="459">
      <x:c r="A459" s="51" t="str">
        <x:v>SRC-455</x:v>
      </x:c>
      <x:c r="B459" s="51" t="str">
        <x:v>DE-CIX</x:v>
      </x:c>
      <x:c r="C459" s="51" t="str">
        <x:v>Annual Report 2025</x:v>
      </x:c>
      <x:c r="D459" s="51" t="str">
        <x:v>2026-05</x:v>
      </x:c>
      <x:c r="E459" s="51" t="str">
        <x:v>Official annual report</x:v>
      </x:c>
      <x:c r="F459" s="51" t="str">
        <x:v>A</x:v>
      </x:c>
      <x:c r="G459" s="51" t="str">
        <x:v>https://www.de-cix.net/en/about-de-cix/annual-report</x:v>
      </x:c>
    </x:row>
    <x:row r="460">
      <x:c r="A460" s="51" t="str">
        <x:v>SRC-456</x:v>
      </x:c>
      <x:c r="B460" s="51" t="str">
        <x:v>DE-CIX</x:v>
      </x:c>
      <x:c r="C460" s="51" t="str">
        <x:v>Global Data Traffic Reaches 79 Exabytes in 2025</x:v>
      </x:c>
      <x:c r="D460" s="51" t="str">
        <x:v>2026-01-20</x:v>
      </x:c>
      <x:c r="E460" s="51" t="str">
        <x:v>Official traffic statistics</x:v>
      </x:c>
      <x:c r="F460" s="51" t="str">
        <x:v>A</x:v>
      </x:c>
      <x:c r="G460" s="51" t="str">
        <x:v>https://www.de-cix.net/en/about-de-cix/media/press-releases/de-cix-global-data-traffic-volume-hits-record-breaking-79-exabytes-at-internet-exchanges-in-2025</x:v>
      </x:c>
    </x:row>
    <x:row r="461">
      <x:c r="A461" s="51" t="str">
        <x:v>SRC-457</x:v>
      </x:c>
      <x:c r="B461" s="51" t="str">
        <x:v>AMS-IX</x:v>
      </x:c>
      <x:c r="C461" s="51" t="str">
        <x:v>2025 Facts and Figures</x:v>
      </x:c>
      <x:c r="D461" s="51" t="str">
        <x:v>2026-02-02</x:v>
      </x:c>
      <x:c r="E461" s="51" t="str">
        <x:v>Official traffic statistics</x:v>
      </x:c>
      <x:c r="F461" s="51" t="str">
        <x:v>A</x:v>
      </x:c>
      <x:c r="G461" s="51" t="str">
        <x:v>https://www.ams-ix.net/ams/news/2025-facts-figures-capacity-and-traffic-growth-2</x:v>
      </x:c>
    </x:row>
    <x:row r="462">
      <x:c r="A462" s="51" t="str">
        <x:v>SRC-458</x:v>
      </x:c>
      <x:c r="B462" s="51" t="str">
        <x:v>Cloudflare</x:v>
      </x:c>
      <x:c r="C462" s="51" t="str">
        <x:v>2025 Form 10-K</x:v>
      </x:c>
      <x:c r="D462" s="51" t="str">
        <x:v>2026</x:v>
      </x:c>
      <x:c r="E462" s="51" t="str">
        <x:v>Official SEC filing</x:v>
      </x:c>
      <x:c r="F462" s="51" t="str">
        <x:v>A</x:v>
      </x:c>
      <x:c r="G462" s="51" t="str">
        <x:v>https://www.sec.gov/Archives/edgar/data/1477333/000147733326000016/cloud-20251231.htm</x:v>
      </x:c>
    </x:row>
    <x:row r="463">
      <x:c r="A463" s="51" t="str">
        <x:v>SRC-459</x:v>
      </x:c>
      <x:c r="B463" s="51" t="str">
        <x:v>Cloudflare</x:v>
      </x:c>
      <x:c r="C463" s="51" t="str">
        <x:v>Fiscal Year 2025 Financial Results</x:v>
      </x:c>
      <x:c r="D463" s="51" t="str">
        <x:v>2026-02-10</x:v>
      </x:c>
      <x:c r="E463" s="51" t="str">
        <x:v>Official financial release</x:v>
      </x:c>
      <x:c r="F463" s="51" t="str">
        <x:v>A</x:v>
      </x:c>
      <x:c r="G463" s="51" t="str">
        <x:v>https://www.cloudflare.com/press/press-releases/2026/cloudflare-announces-fourth-quarter-and-fiscal-year-2025-financial-results/</x:v>
      </x:c>
    </x:row>
    <x:row r="464">
      <x:c r="A464" s="51" t="str">
        <x:v>SRC-460</x:v>
      </x:c>
      <x:c r="B464" s="51" t="str">
        <x:v>Cloudflare</x:v>
      </x:c>
      <x:c r="C464" s="51" t="str">
        <x:v>November 18, 2025 Outage Report</x:v>
      </x:c>
      <x:c r="D464" s="51" t="str">
        <x:v>2025-11-18</x:v>
      </x:c>
      <x:c r="E464" s="51" t="str">
        <x:v>Official incident report</x:v>
      </x:c>
      <x:c r="F464" s="51" t="str">
        <x:v>A</x:v>
      </x:c>
      <x:c r="G464" s="51" t="str">
        <x:v>https://blog.cloudflare.com/18-november-2025-outage/</x:v>
      </x:c>
    </x:row>
    <x:row r="465">
      <x:c r="A465" s="51" t="str">
        <x:v>SRC-461</x:v>
      </x:c>
      <x:c r="B465" s="51" t="str">
        <x:v>Akamai</x:v>
      </x:c>
      <x:c r="C465" s="51" t="str">
        <x:v>2025 Form 10-K</x:v>
      </x:c>
      <x:c r="D465" s="51" t="str">
        <x:v>2026</x:v>
      </x:c>
      <x:c r="E465" s="51" t="str">
        <x:v>Official SEC filing</x:v>
      </x:c>
      <x:c r="F465" s="51" t="str">
        <x:v>A</x:v>
      </x:c>
      <x:c r="G465" s="51" t="str">
        <x:v>https://www.sec.gov/Archives/edgar/data/1086222/000108622226000022/akam-20251231.htm</x:v>
      </x:c>
    </x:row>
    <x:row r="466">
      <x:c r="A466" s="51" t="str">
        <x:v>SRC-462</x:v>
      </x:c>
      <x:c r="B466" s="51" t="str">
        <x:v>Akamai</x:v>
      </x:c>
      <x:c r="C466" s="51" t="str">
        <x:v>First Quarter 2026 Results</x:v>
      </x:c>
      <x:c r="D466" s="51" t="str">
        <x:v>2026-05-07</x:v>
      </x:c>
      <x:c r="E466" s="51" t="str">
        <x:v>Official financial release</x:v>
      </x:c>
      <x:c r="F466" s="51" t="str">
        <x:v>A</x:v>
      </x:c>
      <x:c r="G466" s="51" t="str">
        <x:v>https://www.ir.akamai.com/news-releases/news-release-details/akamai-reports-first-quarter-2026-financial-results</x:v>
      </x:c>
    </x:row>
    <x:row r="467">
      <x:c r="A467" s="51" t="str">
        <x:v>SRC-463</x:v>
      </x:c>
      <x:c r="B467" s="51" t="str">
        <x:v>Starlink</x:v>
      </x:c>
      <x:c r="C467" s="51" t="str">
        <x:v>2025 Progress Report</x:v>
      </x:c>
      <x:c r="D467" s="51" t="str">
        <x:v>2026-01-27</x:v>
      </x:c>
      <x:c r="E467" s="51" t="str">
        <x:v>Official company report</x:v>
      </x:c>
      <x:c r="F467" s="51" t="str">
        <x:v>A</x:v>
      </x:c>
      <x:c r="G467" s="51" t="str">
        <x:v>https://starlink.com/public-files/starlinkProgressReport_2025.pdf</x:v>
      </x:c>
    </x:row>
    <x:row r="468">
      <x:c r="A468" s="51" t="str">
        <x:v>SRC-464</x:v>
      </x:c>
      <x:c r="B468" s="51" t="str">
        <x:v>Starlink</x:v>
      </x:c>
      <x:c r="C468" s="51" t="str">
        <x:v>Network Update</x:v>
      </x:c>
      <x:c r="D468" s="51" t="str">
        <x:v>Current 2026</x:v>
      </x:c>
      <x:c r="E468" s="51" t="str">
        <x:v>Official network update</x:v>
      </x:c>
      <x:c r="F468" s="51" t="str">
        <x:v>A</x:v>
      </x:c>
      <x:c r="G468" s="51" t="str">
        <x:v>https://starlink.com/updates/network-update</x:v>
      </x:c>
    </x:row>
    <x:row r="469">
      <x:c r="A469" s="51" t="str">
        <x:v>SRC-465</x:v>
      </x:c>
      <x:c r="B469" s="51" t="str">
        <x:v>Starlink</x:v>
      </x:c>
      <x:c r="C469" s="51" t="str">
        <x:v>Version 3 Satellites</x:v>
      </x:c>
      <x:c r="D469" s="51" t="str">
        <x:v>Current 2026</x:v>
      </x:c>
      <x:c r="E469" s="51" t="str">
        <x:v>Official technical update</x:v>
      </x:c>
      <x:c r="F469" s="51" t="str">
        <x:v>A</x:v>
      </x:c>
      <x:c r="G469" s="51" t="str">
        <x:v>https://starlink.com/updates/starlink-version-3-satellites</x:v>
      </x:c>
    </x:row>
    <x:row r="470">
      <x:c r="A470" s="51" t="str">
        <x:v>SRC-466</x:v>
      </x:c>
      <x:c r="B470" s="51" t="str">
        <x:v>SpaceX</x:v>
      </x:c>
      <x:c r="C470" s="51" t="str">
        <x:v>Leadership</x:v>
      </x:c>
      <x:c r="D470" s="51" t="str">
        <x:v>Current 2026</x:v>
      </x:c>
      <x:c r="E470" s="51" t="str">
        <x:v>Official governance page</x:v>
      </x:c>
      <x:c r="F470" s="51" t="str">
        <x:v>A</x:v>
      </x:c>
      <x:c r="G470" s="51" t="str">
        <x:v>https://ir.spacex.com/leadership/default.aspx</x:v>
      </x:c>
    </x:row>
    <x:row r="471">
      <x:c r="A471" s="51" t="str">
        <x:v>SRC-467</x:v>
      </x:c>
      <x:c r="B471" s="51" t="str">
        <x:v>SpaceX</x:v>
      </x:c>
      <x:c r="C471" s="51" t="str">
        <x:v>EU Prospectus 2026</x:v>
      </x:c>
      <x:c r="D471" s="51" t="str">
        <x:v>2026-06-05</x:v>
      </x:c>
      <x:c r="E471" s="51" t="str">
        <x:v>Official offering prospectus</x:v>
      </x:c>
      <x:c r="F471" s="51" t="str">
        <x:v>A</x:v>
      </x:c>
      <x:c r="G471" s="51" t="str">
        <x:v>https://content.spacex.com/cms-assets/FINAL_Documents%20and%20Updates/SpaceX%20-%20EU%20Prospectus%20%28Approved%20by%20Bafin%29%20-%20June%205%2C%202026.pdf</x:v>
      </x:c>
    </x:row>
    <x:row r="472">
      <x:c r="A472" s="51" t="str">
        <x:v>SRC-468</x:v>
      </x:c>
      <x:c r="B472" s="51" t="str">
        <x:v>Amazon</x:v>
      </x:c>
      <x:c r="C472" s="51" t="str">
        <x:v>Amazon Leo Overview</x:v>
      </x:c>
      <x:c r="D472" s="51" t="str">
        <x:v>Current 2026</x:v>
      </x:c>
      <x:c r="E472" s="51" t="str">
        <x:v>Official product page</x:v>
      </x:c>
      <x:c r="F472" s="51" t="str">
        <x:v>A</x:v>
      </x:c>
      <x:c r="G472" s="51" t="str">
        <x:v>https://www.aboutamazon.com/what-we-do/devices-services/amazon-leo</x:v>
      </x:c>
    </x:row>
    <x:row r="473">
      <x:c r="A473" s="51" t="str">
        <x:v>SRC-469</x:v>
      </x:c>
      <x:c r="B473" s="51" t="str">
        <x:v>Amazon</x:v>
      </x:c>
      <x:c r="C473" s="51" t="str">
        <x:v>Amazon Leo Explained</x:v>
      </x:c>
      <x:c r="D473" s="51" t="str">
        <x:v>2025-11-13</x:v>
      </x:c>
      <x:c r="E473" s="51" t="str">
        <x:v>Official product explainer</x:v>
      </x:c>
      <x:c r="F473" s="51" t="str">
        <x:v>A</x:v>
      </x:c>
      <x:c r="G473" s="51" t="str">
        <x:v>https://www.aboutamazon.com/news/innovation-at-amazon/what-is-amazon-project-kuiper</x:v>
      </x:c>
    </x:row>
    <x:row r="474">
      <x:c r="A474" s="51" t="str">
        <x:v>SRC-470</x:v>
      </x:c>
      <x:c r="B474" s="51" t="str">
        <x:v>Amazon</x:v>
      </x:c>
      <x:c r="C474" s="51" t="str">
        <x:v>Amazon Leo Mission Updates</x:v>
      </x:c>
      <x:c r="D474" s="51" t="str">
        <x:v>Current 2026</x:v>
      </x:c>
      <x:c r="E474" s="51" t="str">
        <x:v>Official deployment updates</x:v>
      </x:c>
      <x:c r="F474" s="51" t="str">
        <x:v>A</x:v>
      </x:c>
      <x:c r="G474" s="51" t="str">
        <x:v>https://www.aboutamazon.com/news/innovation-at-amazon/project-kuiper-satellite-rocket-launch-progress-updates</x:v>
      </x:c>
    </x:row>
    <x:row r="475">
      <x:c r="A475" s="51" t="str">
        <x:v>SRC-471</x:v>
      </x:c>
      <x:c r="B475" s="51" t="str">
        <x:v>Amazon</x:v>
      </x:c>
      <x:c r="C475" s="51" t="str">
        <x:v>Amazon Leo Enterprise Preview and Ultra Terminal</x:v>
      </x:c>
      <x:c r="D475" s="51" t="str">
        <x:v>2025-11-21</x:v>
      </x:c>
      <x:c r="E475" s="51" t="str">
        <x:v>Official product release</x:v>
      </x:c>
      <x:c r="F475" s="51" t="str">
        <x:v>A</x:v>
      </x:c>
      <x:c r="G475" s="51" t="str">
        <x:v>https://www.aboutamazon.com/news/amazon-leo/amazon-leo-satellite-internet-ultra-pro</x:v>
      </x:c>
    </x:row>
    <x:row r="476">
      <x:c r="A476" s="51" t="str">
        <x:v>SRC-472</x:v>
      </x:c>
      <x:c r="B476" s="51" t="str">
        <x:v>Eutelsat</x:v>
      </x:c>
      <x:c r="C476" s="51" t="str">
        <x:v>Universal Registration Document 2024-25</x:v>
      </x:c>
      <x:c r="D476" s="51" t="str">
        <x:v>2025-11-20</x:v>
      </x:c>
      <x:c r="E476" s="51" t="str">
        <x:v>Official annual report</x:v>
      </x:c>
      <x:c r="F476" s="51" t="str">
        <x:v>A</x:v>
      </x:c>
      <x:c r="G476" s="51" t="str">
        <x:v>https://www.eutelsat.com/system/files/2025-10/DOC_Group_URD-Eutelsat-2024-25_EN_301025.pdf</x:v>
      </x:c>
    </x:row>
    <x:row r="477">
      <x:c r="A477" s="51" t="str">
        <x:v>SRC-473</x:v>
      </x:c>
      <x:c r="B477" s="51" t="str">
        <x:v>Eutelsat</x:v>
      </x:c>
      <x:c r="C477" s="51" t="str">
        <x:v>Capital Increase and LEO Strategy</x:v>
      </x:c>
      <x:c r="D477" s="51" t="str">
        <x:v>2025-06-19</x:v>
      </x:c>
      <x:c r="E477" s="51" t="str">
        <x:v>Official financing release</x:v>
      </x:c>
      <x:c r="F477" s="51" t="str">
        <x:v>A</x:v>
      </x:c>
      <x:c r="G477" s="51" t="str">
        <x:v>https://www.eutelsat.com/system/files/2025-08/DOC_Investors_Press-Release__EN_190625.pdf</x:v>
      </x:c>
    </x:row>
    <x:row r="478">
      <x:c r="A478" s="51" t="str">
        <x:v>SRC-474</x:v>
      </x:c>
      <x:c r="B478" s="51" t="str">
        <x:v>Eutelsat</x:v>
      </x:c>
      <x:c r="C478" s="51" t="str">
        <x:v>Corporate Governance</x:v>
      </x:c>
      <x:c r="D478" s="51" t="str">
        <x:v>Current 2026</x:v>
      </x:c>
      <x:c r="E478" s="51" t="str">
        <x:v>Official governance page</x:v>
      </x:c>
      <x:c r="F478" s="51" t="str">
        <x:v>A</x:v>
      </x:c>
      <x:c r="G478" s="51" t="str">
        <x:v>https://www.eutelsat.com/group/corporate-governance</x:v>
      </x:c>
    </x:row>
    <x:row r="479">
      <x:c r="A479" s="51" t="str">
        <x:v>SRC-475</x:v>
      </x:c>
      <x:c r="B479" s="51" t="str">
        <x:v>Federal Communications Commission</x:v>
      </x:c>
      <x:c r="C479" s="51" t="str">
        <x:v>Modernizing Spectrum Sharing for Satellite Broadband</x:v>
      </x:c>
      <x:c r="D479" s="51" t="str">
        <x:v>2025-04-07</x:v>
      </x:c>
      <x:c r="E479" s="51" t="str">
        <x:v>Official regulatory document</x:v>
      </x:c>
      <x:c r="F479" s="51" t="str">
        <x:v>A</x:v>
      </x:c>
      <x:c r="G479" s="51" t="str">
        <x:v>https://docs.fcc.gov/public/attachments/DOC-410642A1.pdf</x:v>
      </x:c>
    </x:row>
    <x:row r="480">
      <x:c r="A480" s="51" t="str">
        <x:v>SRC-476</x:v>
      </x:c>
      <x:c r="B480" s="51" t="str">
        <x:v>Federal Communications Commission</x:v>
      </x:c>
      <x:c r="C480" s="51" t="str">
        <x:v>Build America Agenda Progress</x:v>
      </x:c>
      <x:c r="D480" s="51" t="str">
        <x:v>2026-07-14</x:v>
      </x:c>
      <x:c r="E480" s="51" t="str">
        <x:v>Official policy release</x:v>
      </x:c>
      <x:c r="F480" s="51" t="str">
        <x:v>A</x:v>
      </x:c>
      <x:c r="G480" s="51" t="str">
        <x:v>https://www.fcc.gov/fccs-build-america-agenda-makes-great-progress-first-year</x:v>
      </x:c>
    </x:row>
    <x:row r="481">
      <x:c r="A481" s="51" t="str">
        <x:v>SRC-477</x:v>
      </x:c>
      <x:c r="B481" s="51" t="str">
        <x:v>Apple</x:v>
      </x:c>
      <x:c r="C481" s="51" t="str">
        <x:v>App Store Ecosystem Reaches $1.4 Trillion</x:v>
      </x:c>
      <x:c r="D481" s="51" t="str">
        <x:v>2026-06-04</x:v>
      </x:c>
      <x:c r="E481" s="51" t="str">
        <x:v>Official ecosystem release</x:v>
      </x:c>
      <x:c r="F481" s="51" t="str">
        <x:v>A</x:v>
      </x:c>
      <x:c r="G481" s="51" t="str">
        <x:v>https://www.apple.com/bg/newsroom/2026/06/app-store-ecosystem-reaches-1-point-4-trillion-usd-as-developers-thrive-globally/</x:v>
      </x:c>
    </x:row>
    <x:row r="482">
      <x:c r="A482" s="51" t="str">
        <x:v>SRC-478</x:v>
      </x:c>
      <x:c r="B482" s="51" t="str">
        <x:v>Apple Developer</x:v>
      </x:c>
      <x:c r="C482" s="51" t="str">
        <x:v>App Review Guidelines</x:v>
      </x:c>
      <x:c r="D482" s="51" t="str">
        <x:v>Current 2026</x:v>
      </x:c>
      <x:c r="E482" s="51" t="str">
        <x:v>Official platform rules</x:v>
      </x:c>
      <x:c r="F482" s="51" t="str">
        <x:v>A</x:v>
      </x:c>
      <x:c r="G482" s="51" t="str">
        <x:v>https://developer.apple.com/app-store/review/guidelines/</x:v>
      </x:c>
    </x:row>
    <x:row r="483">
      <x:c r="A483" s="51" t="str">
        <x:v>SRC-479</x:v>
      </x:c>
      <x:c r="B483" s="51" t="str">
        <x:v>Apple Developer</x:v>
      </x:c>
      <x:c r="C483" s="51" t="str">
        <x:v>App Review Process</x:v>
      </x:c>
      <x:c r="D483" s="51" t="str">
        <x:v>Current 2026</x:v>
      </x:c>
      <x:c r="E483" s="51" t="str">
        <x:v>Official platform process</x:v>
      </x:c>
      <x:c r="F483" s="51" t="str">
        <x:v>A</x:v>
      </x:c>
      <x:c r="G483" s="51" t="str">
        <x:v>https://developer.apple.com/distribute/app-review/</x:v>
      </x:c>
    </x:row>
    <x:row r="484">
      <x:c r="A484" s="51" t="str">
        <x:v>SRC-480</x:v>
      </x:c>
      <x:c r="B484" s="51" t="str">
        <x:v>Apple</x:v>
      </x:c>
      <x:c r="C484" s="51" t="str">
        <x:v>Leadership — Tim Cook</x:v>
      </x:c>
      <x:c r="D484" s="51" t="str">
        <x:v>Current through 2026-08-31</x:v>
      </x:c>
      <x:c r="E484" s="51" t="str">
        <x:v>Official executive biography</x:v>
      </x:c>
      <x:c r="F484" s="51" t="str">
        <x:v>A</x:v>
      </x:c>
      <x:c r="G484" s="51" t="str">
        <x:v>https://www.apple.com/uk/leadership/tim-cook/</x:v>
      </x:c>
    </x:row>
    <x:row r="485">
      <x:c r="A485" s="51" t="str">
        <x:v>SRC-481</x:v>
      </x:c>
      <x:c r="B485" s="51" t="str">
        <x:v>Apple</x:v>
      </x:c>
      <x:c r="C485" s="51" t="str">
        <x:v>Tim Cook to Become Executive Chairman; John Ternus to Become CEO</x:v>
      </x:c>
      <x:c r="D485" s="51" t="str">
        <x:v>2026-04-20</x:v>
      </x:c>
      <x:c r="E485" s="51" t="str">
        <x:v>Official succession release</x:v>
      </x:c>
      <x:c r="F485" s="51" t="str">
        <x:v>A</x:v>
      </x:c>
      <x:c r="G485" s="51" t="str">
        <x:v>https://www.apple.com/uk/newsroom/2026/04/tim-cook-to-become-apple-executive-chairman-john-ternus-to-become-apple-ceo/</x:v>
      </x:c>
    </x:row>
    <x:row r="486">
      <x:c r="A486" s="51" t="str">
        <x:v>SRC-482</x:v>
      </x:c>
      <x:c r="B486" s="51" t="str">
        <x:v>Google</x:v>
      </x:c>
      <x:c r="C486" s="51" t="str">
        <x:v>Google Play Developer Year in Review 2025</x:v>
      </x:c>
      <x:c r="D486" s="51" t="str">
        <x:v>2025-12-16</x:v>
      </x:c>
      <x:c r="E486" s="51" t="str">
        <x:v>Official developer update</x:v>
      </x:c>
      <x:c r="F486" s="51" t="str">
        <x:v>A</x:v>
      </x:c>
      <x:c r="G486" s="51" t="str">
        <x:v>https://blog.google/feed/year-in-review-developers-2025/</x:v>
      </x:c>
    </x:row>
    <x:row r="487">
      <x:c r="A487" s="51" t="str">
        <x:v>SRC-483</x:v>
      </x:c>
      <x:c r="B487" s="51" t="str">
        <x:v>Google</x:v>
      </x:c>
      <x:c r="C487" s="51" t="str">
        <x:v>Google Play Policies and Guidelines</x:v>
      </x:c>
      <x:c r="D487" s="51" t="str">
        <x:v>Current 2026</x:v>
      </x:c>
      <x:c r="E487" s="51" t="str">
        <x:v>Official policy portal</x:v>
      </x:c>
      <x:c r="F487" s="51" t="str">
        <x:v>A</x:v>
      </x:c>
      <x:c r="G487" s="51" t="str">
        <x:v>https://transparency.google/intl/en/our-policies/product-terms/google-play</x:v>
      </x:c>
    </x:row>
    <x:row r="488">
      <x:c r="A488" s="51" t="str">
        <x:v>SRC-484</x:v>
      </x:c>
      <x:c r="B488" s="51" t="str">
        <x:v>Google Play</x:v>
      </x:c>
      <x:c r="C488" s="51" t="str">
        <x:v>Developer Distribution Agreement Summary</x:v>
      </x:c>
      <x:c r="D488" s="51" t="str">
        <x:v>2025-09-15 / current</x:v>
      </x:c>
      <x:c r="E488" s="51" t="str">
        <x:v>Official contract summary</x:v>
      </x:c>
      <x:c r="F488" s="51" t="str">
        <x:v>A</x:v>
      </x:c>
      <x:c r="G488" s="51" t="str">
        <x:v>https://play.google/developer-distribution-agreement/summary.html</x:v>
      </x:c>
    </x:row>
    <x:row r="489">
      <x:c r="A489" s="51" t="str">
        <x:v>SRC-485</x:v>
      </x:c>
      <x:c r="B489" s="51" t="str">
        <x:v>Meta</x:v>
      </x:c>
      <x:c r="C489" s="51" t="str">
        <x:v>Leadership and Governance — Mark Zuckerberg</x:v>
      </x:c>
      <x:c r="D489" s="51" t="str">
        <x:v>Current 2026</x:v>
      </x:c>
      <x:c r="E489" s="51" t="str">
        <x:v>Official governance page</x:v>
      </x:c>
      <x:c r="F489" s="51" t="str">
        <x:v>A</x:v>
      </x:c>
      <x:c r="G489" s="51" t="str">
        <x:v>https://investor.atmeta.com/leadership-and-governance/</x:v>
      </x:c>
    </x:row>
    <x:row r="490">
      <x:c r="A490" s="51" t="str">
        <x:v>SRC-486</x:v>
      </x:c>
      <x:c r="B490" s="51" t="str">
        <x:v>Amazon</x:v>
      </x:c>
      <x:c r="C490" s="51" t="str">
        <x:v>Officers and Directors — Andy Jassy</x:v>
      </x:c>
      <x:c r="D490" s="51" t="str">
        <x:v>Current 2026</x:v>
      </x:c>
      <x:c r="E490" s="51" t="str">
        <x:v>Official governance page</x:v>
      </x:c>
      <x:c r="F490" s="51" t="str">
        <x:v>A</x:v>
      </x:c>
      <x:c r="G490" s="51" t="str">
        <x:v>https://ir.aboutamazon.com/officers-and-directors/default.aspx</x:v>
      </x:c>
    </x:row>
    <x:row r="491">
      <x:c r="A491" s="51" t="str">
        <x:v>SRC-487</x:v>
      </x:c>
      <x:c r="B491" s="51" t="str">
        <x:v>Cloudflare</x:v>
      </x:c>
      <x:c r="C491" s="51" t="str">
        <x:v>2025 Impact Report</x:v>
      </x:c>
      <x:c r="D491" s="51" t="str">
        <x:v>2026-01-28</x:v>
      </x:c>
      <x:c r="E491" s="51" t="str">
        <x:v>Official company report</x:v>
      </x:c>
      <x:c r="F491" s="51" t="str">
        <x:v>A</x:v>
      </x:c>
      <x:c r="G491" s="51" t="str">
        <x:v>https://cf-assets.www.cloudflare.com/slt3lc6tev37/7koyyovVxIqK8zdG1pqo6O/232476d0cc224d793025546295e68b20/Impact-Report-2025_01282026.pdf</x:v>
      </x:c>
    </x:row>
    <x:row r="492">
      <x:c r="A492" s="51" t="str">
        <x:v>SRC-488</x:v>
      </x:c>
      <x:c r="B492" s="51" t="str">
        <x:v>Akamai</x:v>
      </x:c>
      <x:c r="C492" s="51" t="str">
        <x:v>Tom Leighton Executive Biography</x:v>
      </x:c>
      <x:c r="D492" s="51" t="str">
        <x:v>Current 2026</x:v>
      </x:c>
      <x:c r="E492" s="51" t="str">
        <x:v>Official executive biography</x:v>
      </x:c>
      <x:c r="F492" s="51" t="str">
        <x:v>A</x:v>
      </x:c>
      <x:c r="G492" s="51" t="str">
        <x:v>https://www.akamai.com/company/leadership/board-of-directors/tom-leighton</x:v>
      </x:c>
    </x:row>
    <x:row r="493">
      <x:c r="A493" s="51" t="str">
        <x:v>SRC-489</x:v>
      </x:c>
      <x:c r="B493" s="51" t="str">
        <x:v>Eutelsat</x:v>
      </x:c>
      <x:c r="C493" s="51" t="str">
        <x:v>Jean-François Fallacher Executive Biography</x:v>
      </x:c>
      <x:c r="D493" s="51" t="str">
        <x:v>Current 2026</x:v>
      </x:c>
      <x:c r="E493" s="51" t="str">
        <x:v>Official executive biography</x:v>
      </x:c>
      <x:c r="F493" s="51" t="str">
        <x:v>A</x:v>
      </x:c>
      <x:c r="G493" s="51" t="str">
        <x:v>https://www.eutelsat.com/group/corporate-governance</x:v>
      </x:c>
    </x:row>
    <x:row r="494">
      <x:c r="A494" s="51" t="str">
        <x:v>SRC-490</x:v>
      </x:c>
      <x:c r="B494" s="51" t="str">
        <x:v>International Telecommunication Union</x:v>
      </x:c>
      <x:c r="C494" s="51" t="str">
        <x:v>Internet Use in Urban and Rural Areas</x:v>
      </x:c>
      <x:c r="D494" s="51" t="str">
        <x:v>2025-10-15</x:v>
      </x:c>
      <x:c r="E494" s="51" t="str">
        <x:v>Official global statistics</x:v>
      </x:c>
      <x:c r="F494" s="51" t="str">
        <x:v>A</x:v>
      </x:c>
      <x:c r="G494" s="51" t="str">
        <x:v>https://www.itu.int/itu-d/reports/statistics/2025/10/15/ff25-internet-use-in-urban-and-rural-areas/</x:v>
      </x:c>
    </x:row>
    <x:row r="495">
      <x:c r="A495" s="51" t="str">
        <x:v>SRC-491</x:v>
      </x:c>
      <x:c r="B495" s="51" t="str">
        <x:v>Visa</x:v>
      </x:c>
      <x:c r="C495" s="51" t="str">
        <x:v>Fiscal 2025 Annual Report</x:v>
      </x:c>
      <x:c r="D495" s="51" t="str">
        <x:v>2025-11-06</x:v>
      </x:c>
      <x:c r="E495" s="51" t="str">
        <x:v>Official SEC annual report</x:v>
      </x:c>
      <x:c r="F495" s="51" t="str">
        <x:v>A</x:v>
      </x:c>
      <x:c r="G495" s="51" t="str">
        <x:v>https://www.sec.gov/Archives/edgar/data/1403161/000130817925000637/v014524-ars.pdf</x:v>
      </x:c>
    </x:row>
    <x:row r="496">
      <x:c r="A496" s="51" t="str">
        <x:v>SRC-492</x:v>
      </x:c>
      <x:c r="B496" s="51" t="str">
        <x:v>Visa</x:v>
      </x:c>
      <x:c r="C496" s="51" t="str">
        <x:v>Fiscal Fourth Quarter and Full-Year 2025 Results</x:v>
      </x:c>
      <x:c r="D496" s="51" t="str">
        <x:v>2025-10-28</x:v>
      </x:c>
      <x:c r="E496" s="51" t="str">
        <x:v>Official SEC earnings release</x:v>
      </x:c>
      <x:c r="F496" s="51" t="str">
        <x:v>A</x:v>
      </x:c>
      <x:c r="G496" s="51" t="str">
        <x:v>https://www.sec.gov/Archives/edgar/data/1403161/000140316125000077/q42025earningsrelease.htm</x:v>
      </x:c>
    </x:row>
    <x:row r="497">
      <x:c r="A497" s="51" t="str">
        <x:v>SRC-493</x:v>
      </x:c>
      <x:c r="B497" s="51" t="str">
        <x:v>Mastercard</x:v>
      </x:c>
      <x:c r="C497" s="51" t="str">
        <x:v>2025 Form 10-K</x:v>
      </x:c>
      <x:c r="D497" s="51" t="str">
        <x:v>2026-02-11</x:v>
      </x:c>
      <x:c r="E497" s="51" t="str">
        <x:v>Official SEC annual report</x:v>
      </x:c>
      <x:c r="F497" s="51" t="str">
        <x:v>A</x:v>
      </x:c>
      <x:c r="G497" s="51" t="str">
        <x:v>https://www.sec.gov/Archives/edgar/data/1141391/000114139126000013/ma-20251231.htm</x:v>
      </x:c>
    </x:row>
    <x:row r="498">
      <x:c r="A498" s="51" t="str">
        <x:v>SRC-494</x:v>
      </x:c>
      <x:c r="B498" s="51" t="str">
        <x:v>Mastercard</x:v>
      </x:c>
      <x:c r="C498" s="51" t="str">
        <x:v>Full-Year 2025 Results</x:v>
      </x:c>
      <x:c r="D498" s="51" t="str">
        <x:v>2026-01-29</x:v>
      </x:c>
      <x:c r="E498" s="51" t="str">
        <x:v>Official SEC earnings release</x:v>
      </x:c>
      <x:c r="F498" s="51" t="str">
        <x:v>A</x:v>
      </x:c>
      <x:c r="G498" s="51" t="str">
        <x:v>https://www.sec.gov/Archives/edgar/data/1141391/000114139126000003/ma12312025-exx991xearnings.htm</x:v>
      </x:c>
    </x:row>
    <x:row r="499">
      <x:c r="A499" s="51" t="str">
        <x:v>SRC-495</x:v>
      </x:c>
      <x:c r="B499" s="51" t="str">
        <x:v>Stripe</x:v>
      </x:c>
      <x:c r="C499" s="51" t="str">
        <x:v>Stripe's 2025 Annual Letter</x:v>
      </x:c>
      <x:c r="D499" s="51" t="str">
        <x:v>2026-02-24</x:v>
      </x:c>
      <x:c r="E499" s="51" t="str">
        <x:v>Official company annual update</x:v>
      </x:c>
      <x:c r="F499" s="51" t="str">
        <x:v>A</x:v>
      </x:c>
      <x:c r="G499" s="51" t="str">
        <x:v>https://stripe.com/annual-updates/2025</x:v>
      </x:c>
    </x:row>
    <x:row r="500">
      <x:c r="A500" s="51" t="str">
        <x:v>SRC-496</x:v>
      </x:c>
      <x:c r="B500" s="51" t="str">
        <x:v>Stripe</x:v>
      </x:c>
      <x:c r="C500" s="51" t="str">
        <x:v>Stripe Newsroom Information and Leadership</x:v>
      </x:c>
      <x:c r="D500" s="51" t="str">
        <x:v>Current 2026</x:v>
      </x:c>
      <x:c r="E500" s="51" t="str">
        <x:v>Official company governance page</x:v>
      </x:c>
      <x:c r="F500" s="51" t="str">
        <x:v>A</x:v>
      </x:c>
      <x:c r="G500" s="51" t="str">
        <x:v>https://stripe.com/newsroom/information</x:v>
      </x:c>
    </x:row>
    <x:row r="501">
      <x:c r="A501" s="51" t="str">
        <x:v>SRC-497</x:v>
      </x:c>
      <x:c r="B501" s="51" t="str">
        <x:v>Federal Reserve Financial Services</x:v>
      </x:c>
      <x:c r="C501" s="51" t="str">
        <x:v>FedNow Service Volume and Value Statistics</x:v>
      </x:c>
      <x:c r="D501" s="51" t="str">
        <x:v>2026-07-06</x:v>
      </x:c>
      <x:c r="E501" s="51" t="str">
        <x:v>Official payment-system statistics</x:v>
      </x:c>
      <x:c r="F501" s="51" t="str">
        <x:v>A</x:v>
      </x:c>
      <x:c r="G501" s="51" t="str">
        <x:v>https://www.frbservices.org/resources/financial-services/fednow/volume-value-stats</x:v>
      </x:c>
    </x:row>
    <x:row r="502">
      <x:c r="A502" s="51" t="str">
        <x:v>SRC-498</x:v>
      </x:c>
      <x:c r="B502" s="51" t="str">
        <x:v>Federal Reserve Financial Services</x:v>
      </x:c>
      <x:c r="C502" s="51" t="str">
        <x:v>FedNow Service Participants and Service Providers</x:v>
      </x:c>
      <x:c r="D502" s="51" t="str">
        <x:v>Current 2026</x:v>
      </x:c>
      <x:c r="E502" s="51" t="str">
        <x:v>Official participant registry</x:v>
      </x:c>
      <x:c r="F502" s="51" t="str">
        <x:v>A</x:v>
      </x:c>
      <x:c r="G502" s="51" t="str">
        <x:v>https://www.frbservices.org/financial-services/fednow/organizations</x:v>
      </x:c>
    </x:row>
    <x:row r="503">
      <x:c r="A503" s="51" t="str">
        <x:v>SRC-499</x:v>
      </x:c>
      <x:c r="B503" s="51" t="str">
        <x:v>The Clearing House</x:v>
      </x:c>
      <x:c r="C503" s="51" t="str">
        <x:v>RTP Network Overview and Q2 2026 Statistics</x:v>
      </x:c>
      <x:c r="D503" s="51" t="str">
        <x:v>Current 2026</x:v>
      </x:c>
      <x:c r="E503" s="51" t="str">
        <x:v>Official payment-system page</x:v>
      </x:c>
      <x:c r="F503" s="51" t="str">
        <x:v>A</x:v>
      </x:c>
      <x:c r="G503" s="51" t="str">
        <x:v>https://www.theclearinghouse.org/payment-systems/rtp</x:v>
      </x:c>
    </x:row>
    <x:row r="504">
      <x:c r="A504" s="51" t="str">
        <x:v>SRC-500</x:v>
      </x:c>
      <x:c r="B504" s="51" t="str">
        <x:v>The Clearing House</x:v>
      </x:c>
      <x:c r="C504" s="51" t="str">
        <x:v>RTP Operating and Participation Rules</x:v>
      </x:c>
      <x:c r="D504" s="51" t="str">
        <x:v>2026</x:v>
      </x:c>
      <x:c r="E504" s="51" t="str">
        <x:v>Official operating rules portal</x:v>
      </x:c>
      <x:c r="F504" s="51" t="str">
        <x:v>A</x:v>
      </x:c>
      <x:c r="G504" s="51" t="str">
        <x:v>https://www.theclearinghouse.org/payment-systems/rtp/document-library</x:v>
      </x:c>
    </x:row>
    <x:row r="505">
      <x:c r="A505" s="51" t="str">
        <x:v>SRC-501</x:v>
      </x:c>
      <x:c r="B505" s="51" t="str">
        <x:v>European Central Bank</x:v>
      </x:c>
      <x:c r="C505" s="51" t="str">
        <x:v>TARGET Instant Payment Settlement Overview</x:v>
      </x:c>
      <x:c r="D505" s="51" t="str">
        <x:v>2026</x:v>
      </x:c>
      <x:c r="E505" s="51" t="str">
        <x:v>Official payment-system page</x:v>
      </x:c>
      <x:c r="F505" s="51" t="str">
        <x:v>A</x:v>
      </x:c>
      <x:c r="G505" s="51" t="str">
        <x:v>https://www.ecb.europa.eu/paym/target/tips/html/index.en.html</x:v>
      </x:c>
    </x:row>
    <x:row r="506">
      <x:c r="A506" s="51" t="str">
        <x:v>SRC-502</x:v>
      </x:c>
      <x:c r="B506" s="51" t="str">
        <x:v>UIDAI</x:v>
      </x:c>
      <x:c r="C506" s="51" t="str">
        <x:v>Aadhaar Authentication Transactions — August 2025</x:v>
      </x:c>
      <x:c r="D506" s="51" t="str">
        <x:v>2025-09-08</x:v>
      </x:c>
      <x:c r="E506" s="51" t="str">
        <x:v>Official statistics release</x:v>
      </x:c>
      <x:c r="F506" s="51" t="str">
        <x:v>A</x:v>
      </x:c>
      <x:c r="G506" s="51" t="str">
        <x:v>https://www.uidai.gov.in/en/media-resources/media/press-releases/19390-uidai-records-221-crore-aadhaar-authentication-transactions-in-august-2025-10-increase-over-august-2024.html</x:v>
      </x:c>
    </x:row>
    <x:row r="507">
      <x:c r="A507" s="51" t="str">
        <x:v>SRC-503</x:v>
      </x:c>
      <x:c r="B507" s="51" t="str">
        <x:v>UIDAI</x:v>
      </x:c>
      <x:c r="C507" s="51" t="str">
        <x:v>Circular 1 of 2026 — Unique Identifiers for Aadhaar Authentication Transactions</x:v>
      </x:c>
      <x:c r="D507" s="51" t="str">
        <x:v>2026-01-12</x:v>
      </x:c>
      <x:c r="E507" s="51" t="str">
        <x:v>Official operational circular</x:v>
      </x:c>
      <x:c r="F507" s="51" t="str">
        <x:v>A</x:v>
      </x:c>
      <x:c r="G507" s="51" t="str">
        <x:v>https://www.uidai.gov.in/images/Circular_1_of_2026_regarding_Implementation_of_Unique_Identifiers_for_Aadhaar-based_Authentication_Transactions.pdf</x:v>
      </x:c>
    </x:row>
    <x:row r="508">
      <x:c r="A508" s="51" t="str">
        <x:v>SRC-504</x:v>
      </x:c>
      <x:c r="B508" s="51" t="str">
        <x:v>UIDAI</x:v>
      </x:c>
      <x:c r="C508" s="51" t="str">
        <x:v>Aadhaar Authentication History</x:v>
      </x:c>
      <x:c r="D508" s="51" t="str">
        <x:v>Current 2026</x:v>
      </x:c>
      <x:c r="E508" s="51" t="str">
        <x:v>Official user-service documentation</x:v>
      </x:c>
      <x:c r="F508" s="51" t="str">
        <x:v>A</x:v>
      </x:c>
      <x:c r="G508" s="51" t="str">
        <x:v>https://uidai.gov.in/en/contact-support/have-any-question/305-english-uk/faqs/aadhaar-online-services/aadhaar-authentication-history.html</x:v>
      </x:c>
    </x:row>
    <x:row r="509">
      <x:c r="A509" s="51" t="str">
        <x:v>SRC-505</x:v>
      </x:c>
      <x:c r="B509" s="51" t="str">
        <x:v>European Commission</x:v>
      </x:c>
      <x:c r="C509" s="51" t="str">
        <x:v>European Digital Identity Regulation</x:v>
      </x:c>
      <x:c r="D509" s="51" t="str">
        <x:v>2026-06-22</x:v>
      </x:c>
      <x:c r="E509" s="51" t="str">
        <x:v>Official policy page</x:v>
      </x:c>
      <x:c r="F509" s="51" t="str">
        <x:v>A</x:v>
      </x:c>
      <x:c r="G509" s="51" t="str">
        <x:v>https://digital-strategy.ec.europa.eu/en/policies/eudi-regulation</x:v>
      </x:c>
    </x:row>
    <x:row r="510">
      <x:c r="A510" s="51" t="str">
        <x:v>SRC-506</x:v>
      </x:c>
      <x:c r="B510" s="51" t="str">
        <x:v>European Commission</x:v>
      </x:c>
      <x:c r="C510" s="51" t="str">
        <x:v>EU Digital Identity Wallet Pilot Implementation</x:v>
      </x:c>
      <x:c r="D510" s="51" t="str">
        <x:v>2026-06-22</x:v>
      </x:c>
      <x:c r="E510" s="51" t="str">
        <x:v>Official implementation page</x:v>
      </x:c>
      <x:c r="F510" s="51" t="str">
        <x:v>A</x:v>
      </x:c>
      <x:c r="G510" s="51" t="str">
        <x:v>https://digital-strategy.ec.europa.eu/en/policies/eudi-wallet-implementation</x:v>
      </x:c>
    </x:row>
    <x:row r="511">
      <x:c r="A511" s="51" t="str">
        <x:v>SRC-507</x:v>
      </x:c>
      <x:c r="B511" s="51" t="str">
        <x:v>European Commission</x:v>
      </x:c>
      <x:c r="C511" s="51" t="str">
        <x:v>EU Digital Identity Wallet Toolbox</x:v>
      </x:c>
      <x:c r="D511" s="51" t="str">
        <x:v>Current 2026</x:v>
      </x:c>
      <x:c r="E511" s="51" t="str">
        <x:v>Official architecture and reference framework</x:v>
      </x:c>
      <x:c r="F511" s="51" t="str">
        <x:v>A</x:v>
      </x:c>
      <x:c r="G511" s="51" t="str">
        <x:v>https://digital-strategy.ec.europa.eu/en/policies/eudi-wallet-toolbox</x:v>
      </x:c>
    </x:row>
    <x:row r="512">
      <x:c r="A512" s="51" t="str">
        <x:v>SRC-508</x:v>
      </x:c>
      <x:c r="B512" s="51" t="str">
        <x:v>Meta Platforms</x:v>
      </x:c>
      <x:c r="C512" s="51" t="str">
        <x:v>2025 Form 10-K</x:v>
      </x:c>
      <x:c r="D512" s="51" t="str">
        <x:v>2026-01-29</x:v>
      </x:c>
      <x:c r="E512" s="51" t="str">
        <x:v>Official SEC annual report</x:v>
      </x:c>
      <x:c r="F512" s="51" t="str">
        <x:v>A</x:v>
      </x:c>
      <x:c r="G512" s="51" t="str">
        <x:v>https://www.sec.gov/Archives/edgar/data/1326801/000162828026003942/meta-20251231.htm</x:v>
      </x:c>
    </x:row>
    <x:row r="513">
      <x:c r="A513" s="51" t="str">
        <x:v>SRC-509</x:v>
      </x:c>
      <x:c r="B513" s="51" t="str">
        <x:v>Meta Platforms</x:v>
      </x:c>
      <x:c r="C513" s="51" t="str">
        <x:v>Fourth Quarter and Full-Year 2025 Results</x:v>
      </x:c>
      <x:c r="D513" s="51" t="str">
        <x:v>2026-01-28</x:v>
      </x:c>
      <x:c r="E513" s="51" t="str">
        <x:v>Official SEC earnings release</x:v>
      </x:c>
      <x:c r="F513" s="51" t="str">
        <x:v>A</x:v>
      </x:c>
      <x:c r="G513" s="51" t="str">
        <x:v>https://www.sec.gov/Archives/edgar/data/1326801/000162828026003832/meta-12312025xexhibit991.htm</x:v>
      </x:c>
    </x:row>
    <x:row r="514">
      <x:c r="A514" s="51" t="str">
        <x:v>SRC-510</x:v>
      </x:c>
      <x:c r="B514" s="51" t="str">
        <x:v>Alphabet</x:v>
      </x:c>
      <x:c r="C514" s="51" t="str">
        <x:v>2025 Fourth-Quarter and Full-Year Earnings Call</x:v>
      </x:c>
      <x:c r="D514" s="51" t="str">
        <x:v>2026-02-04</x:v>
      </x:c>
      <x:c r="E514" s="51" t="str">
        <x:v>Official investor transcript</x:v>
      </x:c>
      <x:c r="F514" s="51" t="str">
        <x:v>A</x:v>
      </x:c>
      <x:c r="G514" s="51" t="str">
        <x:v>https://abc.xyz/investor/events/event-details/2026/2025-Q4-Earnings-Call-2026-Dr_C033hS6/default.aspx</x:v>
      </x:c>
    </x:row>
    <x:row r="515">
      <x:c r="A515" s="51" t="str">
        <x:v>SRC-511</x:v>
      </x:c>
      <x:c r="B515" s="51" t="str">
        <x:v>Google Ads</x:v>
      </x:c>
      <x:c r="C515" s="51" t="str">
        <x:v>How the Google Ads Auction Works</x:v>
      </x:c>
      <x:c r="D515" s="51" t="str">
        <x:v>Current 2026</x:v>
      </x:c>
      <x:c r="E515" s="51" t="str">
        <x:v>Official platform documentation</x:v>
      </x:c>
      <x:c r="F515" s="51" t="str">
        <x:v>A</x:v>
      </x:c>
      <x:c r="G515" s="51" t="str">
        <x:v>https://support.google.com/google-ads/answer/6366577</x:v>
      </x:c>
    </x:row>
    <x:row r="516">
      <x:c r="A516" s="51" t="str">
        <x:v>SRC-512</x:v>
      </x:c>
      <x:c r="B516" s="51" t="str">
        <x:v>Meta for Business</x:v>
      </x:c>
      <x:c r="C516" s="51" t="str">
        <x:v>About Ad Auctions</x:v>
      </x:c>
      <x:c r="D516" s="51" t="str">
        <x:v>Current 2026</x:v>
      </x:c>
      <x:c r="E516" s="51" t="str">
        <x:v>Official platform documentation</x:v>
      </x:c>
      <x:c r="F516" s="51" t="str">
        <x:v>A</x:v>
      </x:c>
      <x:c r="G516" s="51" t="str">
        <x:v>https://www.facebook.com/business/help/430291176997542</x:v>
      </x:c>
    </x:row>
    <x:row r="517">
      <x:c r="A517" s="51" t="str">
        <x:v>SRC-513</x:v>
      </x:c>
      <x:c r="B517" s="51" t="str">
        <x:v>Apple Developer</x:v>
      </x:c>
      <x:c r="C517" s="51" t="str">
        <x:v>App Tracking Transparency Framework</x:v>
      </x:c>
      <x:c r="D517" s="51" t="str">
        <x:v>Current 2026</x:v>
      </x:c>
      <x:c r="E517" s="51" t="str">
        <x:v>Official developer documentation</x:v>
      </x:c>
      <x:c r="F517" s="51" t="str">
        <x:v>A</x:v>
      </x:c>
      <x:c r="G517" s="51" t="str">
        <x:v>https://developer.apple.com/documentation/apptrackingtransparency</x:v>
      </x:c>
    </x:row>
    <x:row r="518">
      <x:c r="A518" s="51" t="str">
        <x:v>SRC-514</x:v>
      </x:c>
      <x:c r="B518" s="51" t="str">
        <x:v>Apple Developer</x:v>
      </x:c>
      <x:c r="C518" s="51" t="str">
        <x:v>User Privacy and Data Use</x:v>
      </x:c>
      <x:c r="D518" s="51" t="str">
        <x:v>Current 2026</x:v>
      </x:c>
      <x:c r="E518" s="51" t="str">
        <x:v>Official platform policy</x:v>
      </x:c>
      <x:c r="F518" s="51" t="str">
        <x:v>A</x:v>
      </x:c>
      <x:c r="G518" s="51" t="str">
        <x:v>https://developer.apple.com/app-store/user-privacy-and-data-use/</x:v>
      </x:c>
    </x:row>
    <x:row r="519">
      <x:c r="A519" s="51" t="str">
        <x:v>SRC-515</x:v>
      </x:c>
      <x:c r="B519" s="51" t="str">
        <x:v>Google Privacy Sandbox</x:v>
      </x:c>
      <x:c r="C519" s="51" t="str">
        <x:v>Privacy Sandbox Overview</x:v>
      </x:c>
      <x:c r="D519" s="51" t="str">
        <x:v>2025-10-17</x:v>
      </x:c>
      <x:c r="E519" s="51" t="str">
        <x:v>Official platform documentation</x:v>
      </x:c>
      <x:c r="F519" s="51" t="str">
        <x:v>A</x:v>
      </x:c>
      <x:c r="G519" s="51" t="str">
        <x:v>https://privacysandbox.com/</x:v>
      </x:c>
    </x:row>
    <x:row r="520">
      <x:c r="A520" s="51" t="str">
        <x:v>SRC-516</x:v>
      </x:c>
      <x:c r="B520" s="51" t="str">
        <x:v>LiveRamp</x:v>
      </x:c>
      <x:c r="C520" s="51" t="str">
        <x:v>Fiscal 2026 Form 10-K</x:v>
      </x:c>
      <x:c r="D520" s="51" t="str">
        <x:v>2026-05-21</x:v>
      </x:c>
      <x:c r="E520" s="51" t="str">
        <x:v>Official SEC annual report</x:v>
      </x:c>
      <x:c r="F520" s="51" t="str">
        <x:v>A</x:v>
      </x:c>
      <x:c r="G520" s="51" t="str">
        <x:v>https://investors.liveramp.com/static-files/5b776330-9509-498a-80ca-bae42d37dd21</x:v>
      </x:c>
    </x:row>
    <x:row r="521">
      <x:c r="A521" s="51" t="str">
        <x:v>SRC-517</x:v>
      </x:c>
      <x:c r="B521" s="51" t="str">
        <x:v>LiveRamp</x:v>
      </x:c>
      <x:c r="C521" s="51" t="str">
        <x:v>Fiscal 2026 Results and Publicis Acquisition Agreement</x:v>
      </x:c>
      <x:c r="D521" s="51" t="str">
        <x:v>2026-05-17</x:v>
      </x:c>
      <x:c r="E521" s="51" t="str">
        <x:v>Official company release</x:v>
      </x:c>
      <x:c r="F521" s="51" t="str">
        <x:v>A</x:v>
      </x:c>
      <x:c r="G521" s="51" t="str">
        <x:v>https://investors.liveramp.com/news-releases/news-release-details/liveramp-announces-fourth-quarter-and-fiscal-year-2026-results</x:v>
      </x:c>
    </x:row>
    <x:row r="522">
      <x:c r="A522" s="51" t="str">
        <x:v>SRC-518</x:v>
      </x:c>
      <x:c r="B522" s="51" t="str">
        <x:v>RELX</x:v>
      </x:c>
      <x:c r="C522" s="51" t="str">
        <x:v>2025 Form 20-F</x:v>
      </x:c>
      <x:c r="D522" s="51" t="str">
        <x:v>2026-02-19</x:v>
      </x:c>
      <x:c r="E522" s="51" t="str">
        <x:v>Official annual report</x:v>
      </x:c>
      <x:c r="F522" s="51" t="str">
        <x:v>A</x:v>
      </x:c>
      <x:c r="G522" s="51" t="str">
        <x:v>https://www.relx.com/~/media/Files/R/RELX-Group/documents/reports/20f/relx-form-20f-2025.pdf</x:v>
      </x:c>
    </x:row>
    <x:row r="523">
      <x:c r="A523" s="51" t="str">
        <x:v>SRC-519</x:v>
      </x:c>
      <x:c r="B523" s="51" t="str">
        <x:v>RELX</x:v>
      </x:c>
      <x:c r="C523" s="51" t="str">
        <x:v>Risk Market Segment — Fraud, Identity and Government Analytics</x:v>
      </x:c>
      <x:c r="D523" s="51" t="str">
        <x:v>2026</x:v>
      </x:c>
      <x:c r="E523" s="51" t="str">
        <x:v>Official annual-report section</x:v>
      </x:c>
      <x:c r="F523" s="51" t="str">
        <x:v>A</x:v>
      </x:c>
      <x:c r="G523" s="51" t="str">
        <x:v>https://www.relx.com/~/media/Files/R/RELX-Group/documents/reports/annual-reports/2025-ar-sections/relx-2025-market-segments.pdf</x:v>
      </x:c>
    </x:row>
    <x:row r="524">
      <x:c r="A524" s="51" t="str">
        <x:v>SRC-520</x:v>
      </x:c>
      <x:c r="B524" s="51" t="str">
        <x:v>Palantir</x:v>
      </x:c>
      <x:c r="C524" s="51" t="str">
        <x:v>Q1 2026 Business Update</x:v>
      </x:c>
      <x:c r="D524" s="51" t="str">
        <x:v>2026-05-04</x:v>
      </x:c>
      <x:c r="E524" s="51" t="str">
        <x:v>Official investor presentation</x:v>
      </x:c>
      <x:c r="F524" s="51" t="str">
        <x:v>A</x:v>
      </x:c>
      <x:c r="G524" s="51" t="str">
        <x:v>https://investors.palantir.com/files/Palantir%20-%20Q1%202026%20Business%20Update.pdf</x:v>
      </x:c>
    </x:row>
    <x:row r="525">
      <x:c r="A525" s="51" t="str">
        <x:v>SRC-521</x:v>
      </x:c>
      <x:c r="B525" s="51" t="str">
        <x:v>Palantir</x:v>
      </x:c>
      <x:c r="C525" s="51" t="str">
        <x:v>Executive Management</x:v>
      </x:c>
      <x:c r="D525" s="51" t="str">
        <x:v>Current 2026</x:v>
      </x:c>
      <x:c r="E525" s="51" t="str">
        <x:v>Official governance page</x:v>
      </x:c>
      <x:c r="F525" s="51" t="str">
        <x:v>A</x:v>
      </x:c>
      <x:c r="G525" s="51" t="str">
        <x:v>https://investors.palantir.com/governance/executive-management</x:v>
      </x:c>
    </x:row>
    <x:row r="526">
      <x:c r="A526" s="51" t="str">
        <x:v>SRC-522</x:v>
      </x:c>
      <x:c r="B526" s="51" t="str">
        <x:v>Axon</x:v>
      </x:c>
      <x:c r="C526" s="51" t="str">
        <x:v>Q1 2026 Results</x:v>
      </x:c>
      <x:c r="D526" s="51" t="str">
        <x:v>2026-05-06</x:v>
      </x:c>
      <x:c r="E526" s="51" t="str">
        <x:v>Official investor release</x:v>
      </x:c>
      <x:c r="F526" s="51" t="str">
        <x:v>A</x:v>
      </x:c>
      <x:c r="G526" s="51" t="str">
        <x:v>https://investor.axon.com/2026-05-06-Axon-reports-Q1-2026-revenue-of-807-million%2C-up-34-year-over-year</x:v>
      </x:c>
    </x:row>
    <x:row r="527">
      <x:c r="A527" s="51" t="str">
        <x:v>SRC-523</x:v>
      </x:c>
      <x:c r="B527" s="51" t="str">
        <x:v>Axon</x:v>
      </x:c>
      <x:c r="C527" s="51" t="str">
        <x:v>Connected Public Safety Platform</x:v>
      </x:c>
      <x:c r="D527" s="51" t="str">
        <x:v>2026</x:v>
      </x:c>
      <x:c r="E527" s="51" t="str">
        <x:v>Official investor description</x:v>
      </x:c>
      <x:c r="F527" s="51" t="str">
        <x:v>A</x:v>
      </x:c>
      <x:c r="G527" s="51" t="str">
        <x:v>https://investor.axon.com/2026-02-10-Axon-to-Release-Fourth-Quarter-2025-Earnings-on-February-24%2C-2026</x:v>
      </x:c>
    </x:row>
    <x:row r="528">
      <x:c r="A528" s="51" t="str">
        <x:v>SRC-524</x:v>
      </x:c>
      <x:c r="B528" s="51" t="str">
        <x:v>Axon</x:v>
      </x:c>
      <x:c r="C528" s="51" t="str">
        <x:v>Rick Smith Executive Biography</x:v>
      </x:c>
      <x:c r="D528" s="51" t="str">
        <x:v>Current 2026</x:v>
      </x:c>
      <x:c r="E528" s="51" t="str">
        <x:v>Official governance page</x:v>
      </x:c>
      <x:c r="F528" s="51" t="str">
        <x:v>A</x:v>
      </x:c>
      <x:c r="G528" s="51" t="str">
        <x:v>https://investor.axon.com/management-team?item=126</x:v>
      </x:c>
    </x:row>
    <x:row r="529">
      <x:c r="A529" s="51" t="str">
        <x:v>SRC-525</x:v>
      </x:c>
      <x:c r="B529" s="51" t="str">
        <x:v>Flock Safety</x:v>
      </x:c>
      <x:c r="C529" s="51" t="str">
        <x:v>Connected Detection, Investigation and Response Platform</x:v>
      </x:c>
      <x:c r="D529" s="51" t="str">
        <x:v>Current 2026</x:v>
      </x:c>
      <x:c r="E529" s="51" t="str">
        <x:v>Official company page</x:v>
      </x:c>
      <x:c r="F529" s="51" t="str">
        <x:v>A</x:v>
      </x:c>
      <x:c r="G529" s="51" t="str">
        <x:v>https://www.flocksafety.com/</x:v>
      </x:c>
    </x:row>
    <x:row r="530">
      <x:c r="A530" s="51" t="str">
        <x:v>SRC-526</x:v>
      </x:c>
      <x:c r="B530" s="51" t="str">
        <x:v>Flock Safety</x:v>
      </x:c>
      <x:c r="C530" s="51" t="str">
        <x:v>Network Sharing and Federal Cooperation Statement</x:v>
      </x:c>
      <x:c r="D530" s="51" t="str">
        <x:v>2025-06-19</x:v>
      </x:c>
      <x:c r="E530" s="51" t="str">
        <x:v>Official company statement</x:v>
      </x:c>
      <x:c r="F530" s="51" t="str">
        <x:v>A</x:v>
      </x:c>
      <x:c r="G530" s="51" t="str">
        <x:v>https://www.flocksafety.com/blog/statement-network-sharing-use-cases-federal-cooperation</x:v>
      </x:c>
    </x:row>
    <x:row r="531">
      <x:c r="A531" s="51" t="str">
        <x:v>SRC-527</x:v>
      </x:c>
      <x:c r="B531" s="51" t="str">
        <x:v>Flock Safety</x:v>
      </x:c>
      <x:c r="C531" s="51" t="str">
        <x:v>California Network-Sharing Guardrails</x:v>
      </x:c>
      <x:c r="D531" s="51" t="str">
        <x:v>2026-03-02</x:v>
      </x:c>
      <x:c r="E531" s="51" t="str">
        <x:v>Official company statement</x:v>
      </x:c>
      <x:c r="F531" s="51" t="str">
        <x:v>A</x:v>
      </x:c>
      <x:c r="G531" s="51" t="str">
        <x:v>https://www.flocksafety.com/blog/flock-implements-enhanced-guardrails-across-california-to-ensure-lawful-and-responsible-use-of-lprs</x:v>
      </x:c>
    </x:row>
    <x:row r="532">
      <x:c r="A532" s="51" t="str">
        <x:v>SRC-528</x:v>
      </x:c>
      <x:c r="B532" s="51" t="str">
        <x:v>Visa</x:v>
      </x:c>
      <x:c r="C532" s="51" t="str">
        <x:v>Ryan McInerney Management Biography</x:v>
      </x:c>
      <x:c r="D532" s="51" t="str">
        <x:v>Current 2026</x:v>
      </x:c>
      <x:c r="E532" s="51" t="str">
        <x:v>Official governance page</x:v>
      </x:c>
      <x:c r="F532" s="51" t="str">
        <x:v>A</x:v>
      </x:c>
      <x:c r="G532" s="51" t="str">
        <x:v>https://investor.visa.com/corporate-governance/management-team/default.aspx</x:v>
      </x:c>
    </x:row>
    <x:row r="533">
      <x:c r="A533" s="51" t="str">
        <x:v>SRC-529</x:v>
      </x:c>
      <x:c r="B533" s="51" t="str">
        <x:v>Mastercard</x:v>
      </x:c>
      <x:c r="C533" s="51" t="str">
        <x:v>Michael Miebach Board and Executive Biography</x:v>
      </x:c>
      <x:c r="D533" s="51" t="str">
        <x:v>Current 2026</x:v>
      </x:c>
      <x:c r="E533" s="51" t="str">
        <x:v>Official governance page</x:v>
      </x:c>
      <x:c r="F533" s="51" t="str">
        <x:v>A</x:v>
      </x:c>
      <x:c r="G533" s="51" t="str">
        <x:v>https://investor.mastercard.com/corporate-governance/board-of-directors/default.aspx</x:v>
      </x:c>
    </x:row>
    <x:row r="534">
      <x:c r="A534" s="51" t="str">
        <x:v>SRC-530</x:v>
      </x:c>
      <x:c r="B534" s="51" t="str">
        <x:v>Stripe</x:v>
      </x:c>
      <x:c r="C534" s="51" t="str">
        <x:v>Patrick and John Collison Roles</x:v>
      </x:c>
      <x:c r="D534" s="51" t="str">
        <x:v>2025-05-07 / current</x:v>
      </x:c>
      <x:c r="E534" s="51" t="str">
        <x:v>Official company event page</x:v>
      </x:c>
      <x:c r="F534" s="51" t="str">
        <x:v>A</x:v>
      </x:c>
      <x:c r="G534" s="51" t="str">
        <x:v>https://stripe.com/sessions/2025/ama-with-patrick-and-john-collison</x:v>
      </x:c>
    </x:row>
    <x:row r="535">
      <x:c r="A535" s="51" t="str">
        <x:v>SRC-531</x:v>
      </x:c>
      <x:c r="B535" s="51" t="str">
        <x:v>Google Ads</x:v>
      </x:c>
      <x:c r="C535" s="51" t="str">
        <x:v>Ad Rank and Auction Eligibility</x:v>
      </x:c>
      <x:c r="D535" s="51" t="str">
        <x:v>Current 2026</x:v>
      </x:c>
      <x:c r="E535" s="51" t="str">
        <x:v>Official platform documentation</x:v>
      </x:c>
      <x:c r="F535" s="51" t="str">
        <x:v>A</x:v>
      </x:c>
      <x:c r="G535" s="51" t="str">
        <x:v>https://support.google.com/google-ads/answer/1722122</x:v>
      </x:c>
    </x:row>
    <x:row r="536">
      <x:c r="A536" s="51" t="str">
        <x:v>SRC-532</x:v>
      </x:c>
      <x:c r="B536" s="51" t="str">
        <x:v>Meta for Business</x:v>
      </x:c>
      <x:c r="C536" s="51" t="str">
        <x:v>Ad Delivery and Machine Learning</x:v>
      </x:c>
      <x:c r="D536" s="51" t="str">
        <x:v>Current 2026</x:v>
      </x:c>
      <x:c r="E536" s="51" t="str">
        <x:v>Official platform documentation</x:v>
      </x:c>
      <x:c r="F536" s="51" t="str">
        <x:v>A</x:v>
      </x:c>
      <x:c r="G536" s="51" t="str">
        <x:v>https://www.facebook.com/business/help/1000688343301256</x:v>
      </x:c>
    </x:row>
    <x:row r="537">
      <x:c r="A537" s="51" t="str">
        <x:v>SRC-533</x:v>
      </x:c>
      <x:c r="B537" s="51" t="str">
        <x:v>Palantir</x:v>
      </x:c>
      <x:c r="C537" s="51" t="str">
        <x:v>Q1 2026 Results</x:v>
      </x:c>
      <x:c r="D537" s="51" t="str">
        <x:v>2026-05-04</x:v>
      </x:c>
      <x:c r="E537" s="51" t="str">
        <x:v>Official investor release</x:v>
      </x:c>
      <x:c r="F537" s="51" t="str">
        <x:v>A</x:v>
      </x:c>
      <x:c r="G537" s="51" t="str">
        <x:v>https://investors.palantir.com/news-details/2026/Palantir-Reports-Q1-2026-U-S--Revenue-Growth-of-104-YY-and-Revenue-Growth-of-85-YY-Raises-FY-2026-Revenue-Guidance-to-71-YY-Growth-and-U-S--Comm-Revenue-Guidance-to-120-YY-Crushing-Consensus-Expectations/</x:v>
      </x:c>
    </x:row>
    <x:row r="538">
      <x:c r="A538" s="51" t="str">
        <x:v>SRC-534</x:v>
      </x:c>
      <x:c r="B538" s="51" t="str">
        <x:v>Axon</x:v>
      </x:c>
      <x:c r="C538" s="51" t="str">
        <x:v>AI Tools for Public Safety Data</x:v>
      </x:c>
      <x:c r="D538" s="51" t="str">
        <x:v>2026-04-07</x:v>
      </x:c>
      <x:c r="E538" s="51" t="str">
        <x:v>Official product release</x:v>
      </x:c>
      <x:c r="F538" s="51" t="str">
        <x:v>A</x:v>
      </x:c>
      <x:c r="G538" s="51" t="str">
        <x:v>https://investor.axon.com/2026-04-07-Axon-Tackles-Public-Safetys-Data-Overload-With-Three-New-AI-Tools</x:v>
      </x:c>
    </x:row>
    <x:row r="539">
      <x:c r="A539" s="51" t="str">
        <x:v>SRC-535</x:v>
      </x:c>
      <x:c r="B539" s="51" t="str">
        <x:v>Federal Reserve Financial Services</x:v>
      </x:c>
      <x:c r="C539" s="51" t="str">
        <x:v>FedNow 2025 Year-in-Review</x:v>
      </x:c>
      <x:c r="D539" s="51" t="str">
        <x:v>2026-01-15</x:v>
      </x:c>
      <x:c r="E539" s="51" t="str">
        <x:v>Official service update</x:v>
      </x:c>
      <x:c r="F539" s="51" t="str">
        <x:v>A</x:v>
      </x:c>
      <x:c r="G539" s="51" t="str">
        <x:v>https://www.frbservices.org/news/fed360/issues/011526/fednow-service-2025-year-in-review</x:v>
      </x:c>
    </x:row>
    <x:row r="540">
      <x:c r="A540" s="51" t="str">
        <x:v>SRC-536</x:v>
      </x:c>
      <x:c r="B540" s="51" t="str">
        <x:v>Financial Action Task Force</x:v>
      </x:c>
      <x:c r="C540" s="51" t="str">
        <x:v>The FATF Recommendations</x:v>
      </x:c>
      <x:c r="D540" s="51" t="str">
        <x:v>Current through 2026</x:v>
      </x:c>
      <x:c r="E540" s="51" t="str">
        <x:v>Official international standards</x:v>
      </x:c>
      <x:c r="F540" s="51" t="str">
        <x:v>A</x:v>
      </x:c>
      <x:c r="G540" s="51" t="str">
        <x:v>https://www.fatf-gafi.org/en/publications/Fatfrecommendations/Fatf-recommendations.html</x:v>
      </x:c>
    </x:row>
    <x:row r="541">
      <x:c r="A541" s="51" t="str">
        <x:v>SRC-537</x:v>
      </x:c>
      <x:c r="B541" s="51" t="str">
        <x:v>Financial Action Task Force</x:v>
      </x:c>
      <x:c r="C541" s="51" t="str">
        <x:v>Guidance on Beneficial Ownership of Legal Persons</x:v>
      </x:c>
      <x:c r="D541" s="51" t="str">
        <x:v>2023-03-10</x:v>
      </x:c>
      <x:c r="E541" s="51" t="str">
        <x:v>Official international guidance</x:v>
      </x:c>
      <x:c r="F541" s="51" t="str">
        <x:v>A</x:v>
      </x:c>
      <x:c r="G541" s="51" t="str">
        <x:v>https://www.fatf-gafi.org/en/publications/Fatfrecommendations/Guidance-Beneficial-Ownership-Legal-Persons.html</x:v>
      </x:c>
    </x:row>
    <x:row r="542">
      <x:c r="A542" s="51" t="str">
        <x:v>SRC-538</x:v>
      </x:c>
      <x:c r="B542" s="51" t="str">
        <x:v>Financial Action Task Force</x:v>
      </x:c>
      <x:c r="C542" s="51" t="str">
        <x:v>Guidance on Beneficial Ownership and Transparency of Legal Arrangements</x:v>
      </x:c>
      <x:c r="D542" s="51" t="str">
        <x:v>2024-03-11</x:v>
      </x:c>
      <x:c r="E542" s="51" t="str">
        <x:v>Official international guidance</x:v>
      </x:c>
      <x:c r="F542" s="51" t="str">
        <x:v>A</x:v>
      </x:c>
      <x:c r="G542" s="51" t="str">
        <x:v>https://www.fatf-gafi.org/en/publications/Fatfrecommendations/Guidance-Beneficial-Ownership-Transparency-Legal-Arrangements.html</x:v>
      </x:c>
    </x:row>
    <x:row r="543">
      <x:c r="A543" s="51" t="str">
        <x:v>SRC-539</x:v>
      </x:c>
      <x:c r="B543" s="51" t="str">
        <x:v>Financial Action Task Force</x:v>
      </x:c>
      <x:c r="C543" s="51" t="str">
        <x:v>FATF Updates Recommendation 16 on Payment Transparency</x:v>
      </x:c>
      <x:c r="D543" s="51" t="str">
        <x:v>2025-06-18</x:v>
      </x:c>
      <x:c r="E543" s="51" t="str">
        <x:v>Official standards update</x:v>
      </x:c>
      <x:c r="F543" s="51" t="str">
        <x:v>A</x:v>
      </x:c>
      <x:c r="G543" s="51" t="str">
        <x:v>https://www.fatf-gafi.org/en/publications/Fatfrecommendations/update-Recommendation-16-payment-transparency-june-2025.html</x:v>
      </x:c>
    </x:row>
    <x:row r="544">
      <x:c r="A544" s="51" t="str">
        <x:v>SRC-540</x:v>
      </x:c>
      <x:c r="B544" s="51" t="str">
        <x:v>Financial Action Task Force</x:v>
      </x:c>
      <x:c r="C544" s="51" t="str">
        <x:v>FATF President Giles Thomson</x:v>
      </x:c>
      <x:c r="D544" s="51" t="str">
        <x:v>2026-07-01</x:v>
      </x:c>
      <x:c r="E544" s="51" t="str">
        <x:v>Official governance page</x:v>
      </x:c>
      <x:c r="F544" s="51" t="str">
        <x:v>A</x:v>
      </x:c>
      <x:c r="G544" s="51" t="str">
        <x:v>https://www.fatf-gafi.org/en/the-fatf/fatf-presidency.html</x:v>
      </x:c>
    </x:row>
    <x:row r="545">
      <x:c r="A545" s="51" t="str">
        <x:v>SRC-541</x:v>
      </x:c>
      <x:c r="B545" s="51" t="str">
        <x:v>Financial Action Task Force</x:v>
      </x:c>
      <x:c r="C545" s="51" t="str">
        <x:v>Outcomes of the FATF Plenary, June 2026</x:v>
      </x:c>
      <x:c r="D545" s="51" t="str">
        <x:v>2026-06-19</x:v>
      </x:c>
      <x:c r="E545" s="51" t="str">
        <x:v>Official plenary outcome</x:v>
      </x:c>
      <x:c r="F545" s="51" t="str">
        <x:v>A</x:v>
      </x:c>
      <x:c r="G545" s="51" t="str">
        <x:v>https://www.fatf-gafi.org/en/publications/Fatfgeneral/outcomes-fatf-plenary-june-2026.html</x:v>
      </x:c>
    </x:row>
    <x:row r="546">
      <x:c r="A546" s="51" t="str">
        <x:v>SRC-542</x:v>
      </x:c>
      <x:c r="B546" s="51" t="str">
        <x:v>Financial Action Task Force</x:v>
      </x:c>
      <x:c r="C546" s="51" t="str">
        <x:v>Jurisdictions under Increased Monitoring — February 2026</x:v>
      </x:c>
      <x:c r="D546" s="51" t="str">
        <x:v>2026-02-13</x:v>
      </x:c>
      <x:c r="E546" s="51" t="str">
        <x:v>Official monitoring list</x:v>
      </x:c>
      <x:c r="F546" s="51" t="str">
        <x:v>A</x:v>
      </x:c>
      <x:c r="G546" s="51" t="str">
        <x:v>https://www.fatf-gafi.org/en/publications/High-risk-and-other-monitored-jurisdictions/increased-monitoring-february-2026.html</x:v>
      </x:c>
    </x:row>
    <x:row r="547">
      <x:c r="A547" s="51" t="str">
        <x:v>SRC-543</x:v>
      </x:c>
      <x:c r="B547" s="51" t="str">
        <x:v>FinCEN</x:v>
      </x:c>
      <x:c r="C547" s="51" t="str">
        <x:v>Year in Review for Fiscal Year 2025</x:v>
      </x:c>
      <x:c r="D547" s="51" t="str">
        <x:v>2026-05</x:v>
      </x:c>
      <x:c r="E547" s="51" t="str">
        <x:v>Official annual report</x:v>
      </x:c>
      <x:c r="F547" s="51" t="str">
        <x:v>A</x:v>
      </x:c>
      <x:c r="G547" s="51" t="str">
        <x:v>https://www.fincen.gov/system/files/2026-05/FinCEN-Year-in-Review-2025.pdf</x:v>
      </x:c>
    </x:row>
    <x:row r="548">
      <x:c r="A548" s="51" t="str">
        <x:v>SRC-544</x:v>
      </x:c>
      <x:c r="B548" s="51" t="str">
        <x:v>FinCEN</x:v>
      </x:c>
      <x:c r="C548" s="51" t="str">
        <x:v>Suspicious Activity Reporting FAQs</x:v>
      </x:c>
      <x:c r="D548" s="51" t="str">
        <x:v>2025-10-09 / current</x:v>
      </x:c>
      <x:c r="E548" s="51" t="str">
        <x:v>Official regulatory guidance</x:v>
      </x:c>
      <x:c r="F548" s="51" t="str">
        <x:v>A</x:v>
      </x:c>
      <x:c r="G548" s="51" t="str">
        <x:v>https://www.fincen.gov/resources/frequently-asked-questions-regarding-fincen-suspicious-activity-report-sar</x:v>
      </x:c>
    </x:row>
    <x:row r="549">
      <x:c r="A549" s="51" t="str">
        <x:v>SRC-545</x:v>
      </x:c>
      <x:c r="B549" s="51" t="str">
        <x:v>FinCEN</x:v>
      </x:c>
      <x:c r="C549" s="51" t="str">
        <x:v>Beneficial Ownership Information Reporting</x:v>
      </x:c>
      <x:c r="D549" s="51" t="str">
        <x:v>Current 2026</x:v>
      </x:c>
      <x:c r="E549" s="51" t="str">
        <x:v>Official regulatory portal</x:v>
      </x:c>
      <x:c r="F549" s="51" t="str">
        <x:v>A</x:v>
      </x:c>
      <x:c r="G549" s="51" t="str">
        <x:v>https://www.fincen.gov/boi</x:v>
      </x:c>
    </x:row>
    <x:row r="550">
      <x:c r="A550" s="51" t="str">
        <x:v>SRC-546</x:v>
      </x:c>
      <x:c r="B550" s="51" t="str">
        <x:v>FinCEN</x:v>
      </x:c>
      <x:c r="C550" s="51" t="str">
        <x:v>Interim Final Rule Questions and Answers</x:v>
      </x:c>
      <x:c r="D550" s="51" t="str">
        <x:v>Current 2026</x:v>
      </x:c>
      <x:c r="E550" s="51" t="str">
        <x:v>Official regulatory guidance</x:v>
      </x:c>
      <x:c r="F550" s="51" t="str">
        <x:v>A</x:v>
      </x:c>
      <x:c r="G550" s="51" t="str">
        <x:v>https://www.fincen.gov/boi/ifr-qa</x:v>
      </x:c>
    </x:row>
    <x:row r="551">
      <x:c r="A551" s="51" t="str">
        <x:v>SRC-547</x:v>
      </x:c>
      <x:c r="B551" s="51" t="str">
        <x:v>FinCEN</x:v>
      </x:c>
      <x:c r="C551" s="51" t="str">
        <x:v>Corporate Transparency Act Interim Final Rule</x:v>
      </x:c>
      <x:c r="D551" s="51" t="str">
        <x:v>2025-03-21</x:v>
      </x:c>
      <x:c r="E551" s="51" t="str">
        <x:v>Official rule text</x:v>
      </x:c>
      <x:c r="F551" s="51" t="str">
        <x:v>A</x:v>
      </x:c>
      <x:c r="G551" s="51" t="str">
        <x:v>https://www.fincen.gov/system/files/federal_register_notices/2025-03-21/CTAIFR3-21-25-FINAL508.pdf</x:v>
      </x:c>
    </x:row>
    <x:row r="552">
      <x:c r="A552" s="51" t="str">
        <x:v>SRC-548</x:v>
      </x:c>
      <x:c r="B552" s="51" t="str">
        <x:v>FinCEN</x:v>
      </x:c>
      <x:c r="C552" s="51" t="str">
        <x:v>FinCEN Mission and BSA Framework</x:v>
      </x:c>
      <x:c r="D552" s="51" t="str">
        <x:v>Current 2026</x:v>
      </x:c>
      <x:c r="E552" s="51" t="str">
        <x:v>Official agency page</x:v>
      </x:c>
      <x:c r="F552" s="51" t="str">
        <x:v>A</x:v>
      </x:c>
      <x:c r="G552" s="51" t="str">
        <x:v>https://www.fincen.gov/</x:v>
      </x:c>
    </x:row>
    <x:row r="553">
      <x:c r="A553" s="51" t="str">
        <x:v>SRC-549</x:v>
      </x:c>
      <x:c r="B553" s="51" t="str">
        <x:v>AMLA</x:v>
      </x:c>
      <x:c r="C553" s="51" t="str">
        <x:v>About AMLA and Implementation Timeline</x:v>
      </x:c>
      <x:c r="D553" s="51" t="str">
        <x:v>Current 2026</x:v>
      </x:c>
      <x:c r="E553" s="51" t="str">
        <x:v>Official institutional page</x:v>
      </x:c>
      <x:c r="F553" s="51" t="str">
        <x:v>A</x:v>
      </x:c>
      <x:c r="G553" s="51" t="str">
        <x:v>https://www.amla.europa.eu/about-amla_en</x:v>
      </x:c>
    </x:row>
    <x:row r="554">
      <x:c r="A554" s="51" t="str">
        <x:v>SRC-550</x:v>
      </x:c>
      <x:c r="B554" s="51" t="str">
        <x:v>AMLA</x:v>
      </x:c>
      <x:c r="C554" s="51" t="str">
        <x:v>Towards AMLA Direct Supervision</x:v>
      </x:c>
      <x:c r="D554" s="51" t="str">
        <x:v>2026-01-26</x:v>
      </x:c>
      <x:c r="E554" s="51" t="str">
        <x:v>Official supervisory explainer</x:v>
      </x:c>
      <x:c r="F554" s="51" t="str">
        <x:v>A</x:v>
      </x:c>
      <x:c r="G554" s="51" t="str">
        <x:v>https://www.amla.europa.eu/document/download/5aa923cc-eece-4cff-a9dd-4f687e88962b_en?filename=Explainer+-+Direct+Supervision+by+AMLA.pdf</x:v>
      </x:c>
    </x:row>
    <x:row r="555">
      <x:c r="A555" s="51" t="str">
        <x:v>SRC-551</x:v>
      </x:c>
      <x:c r="B555" s="51" t="str">
        <x:v>AMLA</x:v>
      </x:c>
      <x:c r="C555" s="51" t="str">
        <x:v>Risk-Assessment Data Collection for Direct Supervision</x:v>
      </x:c>
      <x:c r="D555" s="51" t="str">
        <x:v>2026-01-26</x:v>
      </x:c>
      <x:c r="E555" s="51" t="str">
        <x:v>Official supervisory release</x:v>
      </x:c>
      <x:c r="F555" s="51" t="str">
        <x:v>A</x:v>
      </x:c>
      <x:c r="G555" s="51" t="str">
        <x:v>https://www.amla.europa.eu/amla-launch-data-collection-exercise-test-risk-assessment-models-financial-sector_en</x:v>
      </x:c>
    </x:row>
    <x:row r="556">
      <x:c r="A556" s="51" t="str">
        <x:v>SRC-552</x:v>
      </x:c>
      <x:c r="B556" s="51" t="str">
        <x:v>AMLA</x:v>
      </x:c>
      <x:c r="C556" s="51" t="str">
        <x:v>Bruna Szego — Chair</x:v>
      </x:c>
      <x:c r="D556" s="51" t="str">
        <x:v>Current 2026</x:v>
      </x:c>
      <x:c r="E556" s="51" t="str">
        <x:v>Official governance page</x:v>
      </x:c>
      <x:c r="F556" s="51" t="str">
        <x:v>A</x:v>
      </x:c>
      <x:c r="G556" s="51" t="str">
        <x:v>https://www.amla.europa.eu/bruna-szego_en</x:v>
      </x:c>
    </x:row>
    <x:row r="557">
      <x:c r="A557" s="51" t="str">
        <x:v>SRC-553</x:v>
      </x:c>
      <x:c r="B557" s="51" t="str">
        <x:v>Office of Foreign Assets Control</x:v>
      </x:c>
      <x:c r="C557" s="51" t="str">
        <x:v>Sanctions Programs and Country Information</x:v>
      </x:c>
      <x:c r="D557" s="51" t="str">
        <x:v>Current 2026</x:v>
      </x:c>
      <x:c r="E557" s="51" t="str">
        <x:v>Official sanctions portal</x:v>
      </x:c>
      <x:c r="F557" s="51" t="str">
        <x:v>A</x:v>
      </x:c>
      <x:c r="G557" s="51" t="str">
        <x:v>https://ofac.treasury.gov/sanctions-programs-and-country-information</x:v>
      </x:c>
    </x:row>
    <x:row r="558">
      <x:c r="A558" s="51" t="str">
        <x:v>SRC-554</x:v>
      </x:c>
      <x:c r="B558" s="51" t="str">
        <x:v>Office of Foreign Assets Control</x:v>
      </x:c>
      <x:c r="C558" s="51" t="str">
        <x:v>Sanctions List Service</x:v>
      </x:c>
      <x:c r="D558" s="51" t="str">
        <x:v>Current 2026</x:v>
      </x:c>
      <x:c r="E558" s="51" t="str">
        <x:v>Official sanctions-list data service</x:v>
      </x:c>
      <x:c r="F558" s="51" t="str">
        <x:v>A</x:v>
      </x:c>
      <x:c r="G558" s="51" t="str">
        <x:v>https://ofac.treasury.gov/sanctions-list-service</x:v>
      </x:c>
    </x:row>
    <x:row r="559">
      <x:c r="A559" s="51" t="str">
        <x:v>SRC-555</x:v>
      </x:c>
      <x:c r="B559" s="51" t="str">
        <x:v>Office of Foreign Assets Control</x:v>
      </x:c>
      <x:c r="C559" s="51" t="str">
        <x:v>Entities Owned by Blocked Persons — 50 Percent Rule</x:v>
      </x:c>
      <x:c r="D559" s="51" t="str">
        <x:v>Current 2026</x:v>
      </x:c>
      <x:c r="E559" s="51" t="str">
        <x:v>Official sanctions guidance</x:v>
      </x:c>
      <x:c r="F559" s="51" t="str">
        <x:v>A</x:v>
      </x:c>
      <x:c r="G559" s="51" t="str">
        <x:v>https://ofac.treasury.gov/faqs/topic/1521</x:v>
      </x:c>
    </x:row>
    <x:row r="560">
      <x:c r="A560" s="51" t="str">
        <x:v>SRC-556</x:v>
      </x:c>
      <x:c r="B560" s="51" t="str">
        <x:v>Office of Foreign Assets Control</x:v>
      </x:c>
      <x:c r="C560" s="51" t="str">
        <x:v>Filing Reports with OFAC and Annual Report of Blocked Property</x:v>
      </x:c>
      <x:c r="D560" s="51" t="str">
        <x:v>Current 2026</x:v>
      </x:c>
      <x:c r="E560" s="51" t="str">
        <x:v>Official reporting guidance</x:v>
      </x:c>
      <x:c r="F560" s="51" t="str">
        <x:v>A</x:v>
      </x:c>
      <x:c r="G560" s="51" t="str">
        <x:v>https://ofac.treasury.gov/faqs/topic/1606</x:v>
      </x:c>
    </x:row>
    <x:row r="561">
      <x:c r="A561" s="51" t="str">
        <x:v>SRC-557</x:v>
      </x:c>
      <x:c r="B561" s="51" t="str">
        <x:v>Office of Foreign Assets Control</x:v>
      </x:c>
      <x:c r="C561" s="51" t="str">
        <x:v>2025 Civil Penalties and Enforcement Information</x:v>
      </x:c>
      <x:c r="D561" s="51" t="str">
        <x:v>2025</x:v>
      </x:c>
      <x:c r="E561" s="51" t="str">
        <x:v>Official enforcement registry</x:v>
      </x:c>
      <x:c r="F561" s="51" t="str">
        <x:v>A</x:v>
      </x:c>
      <x:c r="G561" s="51" t="str">
        <x:v>https://ofac.treasury.gov/civil-penalties-and-enforcement-information/2025-enforcement-information</x:v>
      </x:c>
    </x:row>
    <x:row r="562">
      <x:c r="A562" s="51" t="str">
        <x:v>SRC-558</x:v>
      </x:c>
      <x:c r="B562" s="51" t="str">
        <x:v>Office of Foreign Assets Control</x:v>
      </x:c>
      <x:c r="C562" s="51" t="str">
        <x:v>Civil Penalties and Enforcement Information</x:v>
      </x:c>
      <x:c r="D562" s="51" t="str">
        <x:v>Current 2026</x:v>
      </x:c>
      <x:c r="E562" s="51" t="str">
        <x:v>Official enforcement registry</x:v>
      </x:c>
      <x:c r="F562" s="51" t="str">
        <x:v>A</x:v>
      </x:c>
      <x:c r="G562" s="51" t="str">
        <x:v>https://ofac.treasury.gov/civil-penalties-and-enforcement-information</x:v>
      </x:c>
    </x:row>
    <x:row r="563">
      <x:c r="A563" s="51" t="str">
        <x:v>SRC-559</x:v>
      </x:c>
      <x:c r="B563" s="51" t="str">
        <x:v>SWIFT</x:v>
      </x:c>
      <x:c r="C563" s="51" t="str">
        <x:v>Who We Are</x:v>
      </x:c>
      <x:c r="D563" s="51" t="str">
        <x:v>Current 2026</x:v>
      </x:c>
      <x:c r="E563" s="51" t="str">
        <x:v>Official infrastructure page</x:v>
      </x:c>
      <x:c r="F563" s="51" t="str">
        <x:v>A</x:v>
      </x:c>
      <x:c r="G563" s="51" t="str">
        <x:v>https://www.swift.com/about-us/who-we-are</x:v>
      </x:c>
    </x:row>
    <x:row r="564">
      <x:c r="A564" s="51" t="str">
        <x:v>SRC-560</x:v>
      </x:c>
      <x:c r="B564" s="51" t="str">
        <x:v>SWIFT</x:v>
      </x:c>
      <x:c r="C564" s="51" t="str">
        <x:v>Compliance and Data Protection</x:v>
      </x:c>
      <x:c r="D564" s="51" t="str">
        <x:v>Current 2026</x:v>
      </x:c>
      <x:c r="E564" s="51" t="str">
        <x:v>Official compliance page</x:v>
      </x:c>
      <x:c r="F564" s="51" t="str">
        <x:v>A</x:v>
      </x:c>
      <x:c r="G564" s="51" t="str">
        <x:v>https://www.swift.com/about-us/legal/compliance</x:v>
      </x:c>
    </x:row>
    <x:row r="565">
      <x:c r="A565" s="51" t="str">
        <x:v>SRC-561</x:v>
      </x:c>
      <x:c r="B565" s="51" t="str">
        <x:v>SWIFT</x:v>
      </x:c>
      <x:c r="C565" s="51" t="str">
        <x:v>Transaction Screening</x:v>
      </x:c>
      <x:c r="D565" s="51" t="str">
        <x:v>Current 2026</x:v>
      </x:c>
      <x:c r="E565" s="51" t="str">
        <x:v>Official compliance product page</x:v>
      </x:c>
      <x:c r="F565" s="51" t="str">
        <x:v>A</x:v>
      </x:c>
      <x:c r="G565" s="51" t="str">
        <x:v>https://www.swift.com/products/transaction-screening</x:v>
      </x:c>
    </x:row>
    <x:row r="566">
      <x:c r="A566" s="51" t="str">
        <x:v>SRC-562</x:v>
      </x:c>
      <x:c r="B566" s="51" t="str">
        <x:v>SWIFT</x:v>
      </x:c>
      <x:c r="C566" s="51" t="str">
        <x:v>Blockchain Ledger Ready for Cross-Border Payments</x:v>
      </x:c>
      <x:c r="D566" s="51" t="str">
        <x:v>2026-07-09</x:v>
      </x:c>
      <x:c r="E566" s="51" t="str">
        <x:v>Official infrastructure release</x:v>
      </x:c>
      <x:c r="F566" s="51" t="str">
        <x:v>A</x:v>
      </x:c>
      <x:c r="G566" s="51" t="str">
        <x:v>https://www.swift.com/news-events/press-releases/swifts-blockchain-ledger-ready-use-17-banks-set-pioneer-tokenised-cross-border-payments-trusted-global-infrastructure</x:v>
      </x:c>
    </x:row>
    <x:row r="567">
      <x:c r="A567" s="51" t="str">
        <x:v>SRC-563</x:v>
      </x:c>
      <x:c r="B567" s="51" t="str">
        <x:v>OECD</x:v>
      </x:c>
      <x:c r="C567" s="51" t="str">
        <x:v>Consolidated Text of the Common Reporting Standard 2025</x:v>
      </x:c>
      <x:c r="D567" s="51" t="str">
        <x:v>2025</x:v>
      </x:c>
      <x:c r="E567" s="51" t="str">
        <x:v>Official tax standard</x:v>
      </x:c>
      <x:c r="F567" s="51" t="str">
        <x:v>A</x:v>
      </x:c>
      <x:c r="G567" s="51" t="str">
        <x:v>https://www.oecd.org/en/publications/consolidated-text-of-the-common-reporting-standard-2025_055664b1-en.html</x:v>
      </x:c>
    </x:row>
    <x:row r="568">
      <x:c r="A568" s="51" t="str">
        <x:v>SRC-564</x:v>
      </x:c>
      <x:c r="B568" s="51" t="str">
        <x:v>OECD</x:v>
      </x:c>
      <x:c r="C568" s="51" t="str">
        <x:v>Tax Transparency Resource Centre</x:v>
      </x:c>
      <x:c r="D568" s="51" t="str">
        <x:v>Current 2026</x:v>
      </x:c>
      <x:c r="E568" s="51" t="str">
        <x:v>Official standards portal</x:v>
      </x:c>
      <x:c r="F568" s="51" t="str">
        <x:v>A</x:v>
      </x:c>
      <x:c r="G568" s="51" t="str">
        <x:v>https://www.oecd.org/en/topics/sub-issues/international-standards-on-tax-transparency/tax-transparency-resource-centre.html</x:v>
      </x:c>
    </x:row>
    <x:row r="569">
      <x:c r="A569" s="51" t="str">
        <x:v>SRC-565</x:v>
      </x:c>
      <x:c r="B569" s="51" t="str">
        <x:v>OECD</x:v>
      </x:c>
      <x:c r="C569" s="51" t="str">
        <x:v>CARF Multilateral Competent Authority Agreement Signatories</x:v>
      </x:c>
      <x:c r="D569" s="51" t="str">
        <x:v>2026-03-03</x:v>
      </x:c>
      <x:c r="E569" s="51" t="str">
        <x:v>Official signatory list</x:v>
      </x:c>
      <x:c r="F569" s="51" t="str">
        <x:v>A</x:v>
      </x:c>
      <x:c r="G569" s="51" t="str">
        <x:v>https://www.oecd.org/content/dam/oecd/en/topics/policy-issues/tax-transparency-and-international-co-operation/carf-mcaa-signatories.pdf</x:v>
      </x:c>
    </x:row>
    <x:row r="570">
      <x:c r="A570" s="51" t="str">
        <x:v>SRC-566</x:v>
      </x:c>
      <x:c r="B570" s="51" t="str">
        <x:v>OECD</x:v>
      </x:c>
      <x:c r="C570" s="51" t="str">
        <x:v>Tax Transparency and International Co-operation</x:v>
      </x:c>
      <x:c r="D570" s="51" t="str">
        <x:v>Current 2026</x:v>
      </x:c>
      <x:c r="E570" s="51" t="str">
        <x:v>Official policy page</x:v>
      </x:c>
      <x:c r="F570" s="51" t="str">
        <x:v>A</x:v>
      </x:c>
      <x:c r="G570" s="51" t="str">
        <x:v>https://www.oecd.org/en/topics/tax-transparency-and-international-co-operation.html</x:v>
      </x:c>
    </x:row>
    <x:row r="571">
      <x:c r="A571" s="51" t="str">
        <x:v>SRC-567</x:v>
      </x:c>
      <x:c r="B571" s="51" t="str">
        <x:v>Internal Revenue Service</x:v>
      </x:c>
      <x:c r="C571" s="51" t="str">
        <x:v>Foreign Account Tax Compliance Act</x:v>
      </x:c>
      <x:c r="D571" s="51" t="str">
        <x:v>2025-09-23 / current</x:v>
      </x:c>
      <x:c r="E571" s="51" t="str">
        <x:v>Official tax compliance page</x:v>
      </x:c>
      <x:c r="F571" s="51" t="str">
        <x:v>A</x:v>
      </x:c>
      <x:c r="G571" s="51" t="str">
        <x:v>https://www.irs.gov/businesses/corporations/foreign-account-tax-compliance-act-fatca</x:v>
      </x:c>
    </x:row>
    <x:row r="572">
      <x:c r="A572" s="51" t="str">
        <x:v>SRC-568</x:v>
      </x:c>
      <x:c r="B572" s="51" t="str">
        <x:v>Internal Revenue Service</x:v>
      </x:c>
      <x:c r="C572" s="51" t="str">
        <x:v>FATCA Foreign Financial Institution Registration</x:v>
      </x:c>
      <x:c r="D572" s="51" t="str">
        <x:v>Current 2026</x:v>
      </x:c>
      <x:c r="E572" s="51" t="str">
        <x:v>Official registration system</x:v>
      </x:c>
      <x:c r="F572" s="51" t="str">
        <x:v>A</x:v>
      </x:c>
      <x:c r="G572" s="51" t="str">
        <x:v>https://www.irs.gov/businesses/corporations/fatca-foreign-financial-institution-registration</x:v>
      </x:c>
    </x:row>
    <x:row r="573">
      <x:c r="A573" s="51" t="str">
        <x:v>SRC-569</x:v>
      </x:c>
      <x:c r="B573" s="51" t="str">
        <x:v>Internal Revenue Service</x:v>
      </x:c>
      <x:c r="C573" s="51" t="str">
        <x:v>FATCA FFI List Search and Download Tool</x:v>
      </x:c>
      <x:c r="D573" s="51" t="str">
        <x:v>2026-05-15</x:v>
      </x:c>
      <x:c r="E573" s="51" t="str">
        <x:v>Official registration list</x:v>
      </x:c>
      <x:c r="F573" s="51" t="str">
        <x:v>A</x:v>
      </x:c>
      <x:c r="G573" s="51" t="str">
        <x:v>https://www.irs.gov/businesses/corporations/fatca-foreign-financial-institution-list-search-and-download-tool</x:v>
      </x:c>
    </x:row>
    <x:row r="574">
      <x:c r="A574" s="51" t="str">
        <x:v>SRC-570</x:v>
      </x:c>
      <x:c r="B574" s="51" t="str">
        <x:v>Internal Revenue Service</x:v>
      </x:c>
      <x:c r="C574" s="51" t="str">
        <x:v>FATCA Information for Governments</x:v>
      </x:c>
      <x:c r="D574" s="51" t="str">
        <x:v>2026-02-05</x:v>
      </x:c>
      <x:c r="E574" s="51" t="str">
        <x:v>Official intergovernmental guidance</x:v>
      </x:c>
      <x:c r="F574" s="51" t="str">
        <x:v>A</x:v>
      </x:c>
      <x:c r="G574" s="51" t="str">
        <x:v>https://www.irs.gov/businesses/corporations/fatca-governments</x:v>
      </x:c>
    </x:row>
    <x:row r="575">
      <x:c r="A575" s="51" t="str">
        <x:v>SRC-571</x:v>
      </x:c>
      <x:c r="B575" s="51" t="str">
        <x:v>World Bank</x:v>
      </x:c>
      <x:c r="C575" s="51" t="str">
        <x:v>Sanctions System Annual Report FY2025</x:v>
      </x:c>
      <x:c r="D575" s="51" t="str">
        <x:v>2025-12</x:v>
      </x:c>
      <x:c r="E575" s="51" t="str">
        <x:v>Official annual report</x:v>
      </x:c>
      <x:c r="F575" s="51" t="str">
        <x:v>A</x:v>
      </x:c>
      <x:c r="G575" s="51" t="str">
        <x:v>https://documents1.worldbank.org/curated/en/099809112172525309/pdf/IDU-a06fa903-03d5-490e-9246-e63e70028a37.pdf</x:v>
      </x:c>
    </x:row>
    <x:row r="576">
      <x:c r="A576" s="51" t="str">
        <x:v>SRC-572</x:v>
      </x:c>
      <x:c r="B576" s="51" t="str">
        <x:v>World Bank</x:v>
      </x:c>
      <x:c r="C576" s="51" t="str">
        <x:v>Sanctions System Data Companion FY2025</x:v>
      </x:c>
      <x:c r="D576" s="51" t="str">
        <x:v>2025</x:v>
      </x:c>
      <x:c r="E576" s="51" t="str">
        <x:v>Official sanctions data report</x:v>
      </x:c>
      <x:c r="F576" s="51" t="str">
        <x:v>A</x:v>
      </x:c>
      <x:c r="G576" s="51" t="str">
        <x:v>https://documents1.worldbank.org/curated/en/099853101132638166/pdf/IDU-347b6905-536a-4aa1-8117-d5674df0b117.pdf</x:v>
      </x:c>
    </x:row>
    <x:row r="577">
      <x:c r="A577" s="51" t="str">
        <x:v>SRC-573</x:v>
      </x:c>
      <x:c r="B577" s="51" t="str">
        <x:v>World Bank</x:v>
      </x:c>
      <x:c r="C577" s="51" t="str">
        <x:v>Listing of Ineligible Firms and Individuals</x:v>
      </x:c>
      <x:c r="D577" s="51" t="str">
        <x:v>Current 2026</x:v>
      </x:c>
      <x:c r="E577" s="51" t="str">
        <x:v>Official debarment registry</x:v>
      </x:c>
      <x:c r="F577" s="51" t="str">
        <x:v>A</x:v>
      </x:c>
      <x:c r="G577" s="51" t="str">
        <x:v>https://projects.worldbank.org/en/projects-operations/procurement/debarred-firms</x:v>
      </x:c>
    </x:row>
    <x:row r="578">
      <x:c r="A578" s="51" t="str">
        <x:v>SRC-574</x:v>
      </x:c>
      <x:c r="B578" s="51" t="str">
        <x:v>World Bank</x:v>
      </x:c>
      <x:c r="C578" s="51" t="str">
        <x:v>Global Suspension and Debarment Directory 2025</x:v>
      </x:c>
      <x:c r="D578" s="51" t="str">
        <x:v>2025-12</x:v>
      </x:c>
      <x:c r="E578" s="51" t="str">
        <x:v>Official comparative directory</x:v>
      </x:c>
      <x:c r="F578" s="51" t="str">
        <x:v>A</x:v>
      </x:c>
      <x:c r="G578" s="51" t="str">
        <x:v>https://www.worldbank.org/content/dam/documents/sanctions/other-documents/2025/dec/Global%20SD%20Directory%20v05.pdf</x:v>
      </x:c>
    </x:row>
    <x:row r="579">
      <x:c r="A579" s="51" t="str">
        <x:v>SRC-575</x:v>
      </x:c>
      <x:c r="B579" s="51" t="str">
        <x:v>World Bank</x:v>
      </x:c>
      <x:c r="C579" s="51" t="str">
        <x:v>Office of Suspension and Debarment Knowledge Portal</x:v>
      </x:c>
      <x:c r="D579" s="51" t="str">
        <x:v>Current 2026</x:v>
      </x:c>
      <x:c r="E579" s="51" t="str">
        <x:v>Official institutional page</x:v>
      </x:c>
      <x:c r="F579" s="51" t="str">
        <x:v>A</x:v>
      </x:c>
      <x:c r="G579" s="51" t="str">
        <x:v>https://www.worldbank.org/en/about/unit/sanctions-system/osd/knowledge</x:v>
      </x:c>
    </x:row>
    <x:row r="580">
      <x:c r="A580" s="51" t="str">
        <x:v>SRC-576</x:v>
      </x:c>
      <x:c r="B580" s="51" t="str">
        <x:v>World Bank</x:v>
      </x:c>
      <x:c r="C580" s="51" t="str">
        <x:v>Bank Procedure — Procurement in IPF and Other Operational Procurement Matters</x:v>
      </x:c>
      <x:c r="D580" s="51" t="str">
        <x:v>2026-06-30</x:v>
      </x:c>
      <x:c r="E580" s="51" t="str">
        <x:v>Official procurement procedure</x:v>
      </x:c>
      <x:c r="F580" s="51" t="str">
        <x:v>A</x:v>
      </x:c>
      <x:c r="G580" s="51" t="str">
        <x:v>https://thedocs.worldbank.org/en/doc/a854bbb395c08a1b7a3d24b652f5d949-0290012026/original/Bank-Procedure-Procurement-in-IPF-and-other-Operational-Procurement-Matters-2026.pdf</x:v>
      </x:c>
    </x:row>
    <x:row r="581">
      <x:c r="A581" s="51" t="str">
        <x:v>SRC-577</x:v>
      </x:c>
      <x:c r="B581" s="51" t="str">
        <x:v>U.S. Department of Justice</x:v>
      </x:c>
      <x:c r="C581" s="51" t="str">
        <x:v>Asset Forfeiture Program Reports</x:v>
      </x:c>
      <x:c r="D581" s="51" t="str">
        <x:v>Current 2026</x:v>
      </x:c>
      <x:c r="E581" s="51" t="str">
        <x:v>Official reporting portal</x:v>
      </x:c>
      <x:c r="F581" s="51" t="str">
        <x:v>A</x:v>
      </x:c>
      <x:c r="G581" s="51" t="str">
        <x:v>https://www.justice.gov/afp/reports</x:v>
      </x:c>
    </x:row>
    <x:row r="582">
      <x:c r="A582" s="51" t="str">
        <x:v>SRC-578</x:v>
      </x:c>
      <x:c r="B582" s="51" t="str">
        <x:v>U.S. Department of Justice</x:v>
      </x:c>
      <x:c r="C582" s="51" t="str">
        <x:v>Asset Forfeiture Policy Manual 2025</x:v>
      </x:c>
      <x:c r="D582" s="51" t="str">
        <x:v>2025</x:v>
      </x:c>
      <x:c r="E582" s="51" t="str">
        <x:v>Official policy manual</x:v>
      </x:c>
      <x:c r="F582" s="51" t="str">
        <x:v>A</x:v>
      </x:c>
      <x:c r="G582" s="51" t="str">
        <x:v>https://www.justice.gov/criminal/criminal-afmls/file/839521/dl?inline=</x:v>
      </x:c>
    </x:row>
    <x:row r="583">
      <x:c r="A583" s="51" t="str">
        <x:v>SRC-579</x:v>
      </x:c>
      <x:c r="B583" s="51" t="str">
        <x:v>U.S. Department of Justice OIG</x:v>
      </x:c>
      <x:c r="C583" s="51" t="str">
        <x:v>Audit of Assets Forfeiture Fund and Seized Asset Deposit Fund FY2025</x:v>
      </x:c>
      <x:c r="D583" s="51" t="str">
        <x:v>2026-02-04</x:v>
      </x:c>
      <x:c r="E583" s="51" t="str">
        <x:v>Official audit report</x:v>
      </x:c>
      <x:c r="F583" s="51" t="str">
        <x:v>A</x:v>
      </x:c>
      <x:c r="G583" s="51" t="str">
        <x:v>https://oig.justice.gov/reports/audit-assets-forfeiture-fund-and-seized-asset-deposit-fund-annual-financial-statements-11</x:v>
      </x:c>
    </x:row>
    <x:row r="584">
      <x:c r="A584" s="51" t="str">
        <x:v>SRC-580</x:v>
      </x:c>
      <x:c r="B584" s="51" t="str">
        <x:v>U.S. Department of Justice</x:v>
      </x:c>
      <x:c r="C584" s="51" t="str">
        <x:v>FY2025 Asset Forfeiture Fund Reports to Congress</x:v>
      </x:c>
      <x:c r="D584" s="51" t="str">
        <x:v>2026-01-26</x:v>
      </x:c>
      <x:c r="E584" s="51" t="str">
        <x:v>Official congressional reports</x:v>
      </x:c>
      <x:c r="F584" s="51" t="str">
        <x:v>A</x:v>
      </x:c>
      <x:c r="G584" s="51" t="str">
        <x:v>https://www.justice.gov/afp/fy2025-asset-forfeiture-fund-reports-congress</x:v>
      </x:c>
    </x:row>
    <x:row r="585">
      <x:c r="A585" s="51" t="str">
        <x:v>SRC-581</x:v>
      </x:c>
      <x:c r="B585" s="51" t="str">
        <x:v>U.S. Treasury</x:v>
      </x:c>
      <x:c r="C585" s="51" t="str">
        <x:v>REPO Task Force Joint Statement</x:v>
      </x:c>
      <x:c r="D585" s="51" t="str">
        <x:v>2023-03-09</x:v>
      </x:c>
      <x:c r="E585" s="51" t="str">
        <x:v>Official multilateral asset-freeze statement</x:v>
      </x:c>
      <x:c r="F585" s="51" t="str">
        <x:v>A</x:v>
      </x:c>
      <x:c r="G585" s="51" t="str">
        <x:v>https://home.treasury.gov/news/press-releases/jy1329</x:v>
      </x:c>
    </x:row>
    <x:row r="586">
      <x:c r="A586" s="51" t="str">
        <x:v>SRC-582</x:v>
      </x:c>
      <x:c r="B586" s="51" t="str">
        <x:v>United Nations Security Council</x:v>
      </x:c>
      <x:c r="C586" s="51" t="str">
        <x:v>Sanctions Information</x:v>
      </x:c>
      <x:c r="D586" s="51" t="str">
        <x:v>Current 2026</x:v>
      </x:c>
      <x:c r="E586" s="51" t="str">
        <x:v>Official international sanctions portal</x:v>
      </x:c>
      <x:c r="F586" s="51" t="str">
        <x:v>A</x:v>
      </x:c>
      <x:c r="G586" s="51" t="str">
        <x:v>https://main.un.org/securitycouncil/en/sanctions/information</x:v>
      </x:c>
    </x:row>
    <x:row r="587">
      <x:c r="A587" s="51" t="str">
        <x:v>SRC-583</x:v>
      </x:c>
      <x:c r="B587" s="51" t="str">
        <x:v>U.S. Treasury</x:v>
      </x:c>
      <x:c r="C587" s="51" t="str">
        <x:v>Scott Bessent — Secretary of the Treasury</x:v>
      </x:c>
      <x:c r="D587" s="51" t="str">
        <x:v>Current 2026</x:v>
      </x:c>
      <x:c r="E587" s="51" t="str">
        <x:v>Official governance page</x:v>
      </x:c>
      <x:c r="F587" s="51" t="str">
        <x:v>A</x:v>
      </x:c>
      <x:c r="G587" s="51" t="str">
        <x:v>https://home.treasury.gov/about/general-information/officials/scott-bessent</x:v>
      </x:c>
    </x:row>
    <x:row r="588">
      <x:c r="A588" s="51" t="str">
        <x:v>SRC-584</x:v>
      </x:c>
      <x:c r="B588" s="51" t="str">
        <x:v>SWIFT</x:v>
      </x:c>
      <x:c r="C588" s="51" t="str">
        <x:v>SWIFT Management</x:v>
      </x:c>
      <x:c r="D588" s="51" t="str">
        <x:v>Current 2026</x:v>
      </x:c>
      <x:c r="E588" s="51" t="str">
        <x:v>Official governance page</x:v>
      </x:c>
      <x:c r="F588" s="51" t="str">
        <x:v>A</x:v>
      </x:c>
      <x:c r="G588" s="51" t="str">
        <x:v>https://www.swift.com/about-us/organisation-governance/swift-management</x:v>
      </x:c>
    </x:row>
    <x:row r="589">
      <x:c r="A589" s="51" t="str">
        <x:v>SRC-585</x:v>
      </x:c>
      <x:c r="B589" s="51" t="str">
        <x:v>OECD</x:v>
      </x:c>
      <x:c r="C589" s="51" t="str">
        <x:v>Mathias Cormann — Secretary-General</x:v>
      </x:c>
      <x:c r="D589" s="51" t="str">
        <x:v>Current 2026</x:v>
      </x:c>
      <x:c r="E589" s="51" t="str">
        <x:v>Official governance page</x:v>
      </x:c>
      <x:c r="F589" s="51" t="str">
        <x:v>A</x:v>
      </x:c>
      <x:c r="G589" s="51" t="str">
        <x:v>https://www.oecd.org/en/about/secretary-general.html</x:v>
      </x:c>
    </x:row>
    <x:row r="590">
      <x:c r="A590" s="51" t="str">
        <x:v>SRC-586</x:v>
      </x:c>
      <x:c r="B590" s="51" t="str">
        <x:v>The White House</x:v>
      </x:c>
      <x:c r="C590" s="51" t="str">
        <x:v>President Trump Announces Appointments to the President's Council of Advisors on Science and Technology</x:v>
      </x:c>
      <x:c r="D590" s="51" t="str">
        <x:v>2026-03-25</x:v>
      </x:c>
      <x:c r="E590" s="51" t="str">
        <x:v>Official appointment release</x:v>
      </x:c>
      <x:c r="F590" s="51" t="str">
        <x:v>A</x:v>
      </x:c>
      <x:c r="G590" s="51" t="str">
        <x:v>https://www.whitehouse.gov/releases/2026/03/president-trump-announces-appointments-to-presidents-council-of-advisors-on-science-and-technology/</x:v>
      </x:c>
    </x:row>
    <x:row r="591">
      <x:c r="A591" s="51" t="str">
        <x:v>SRC-587</x:v>
      </x:c>
      <x:c r="B591" s="51" t="str">
        <x:v>The White House</x:v>
      </x:c>
      <x:c r="C591" s="51" t="str">
        <x:v>America's AI Action Plan</x:v>
      </x:c>
      <x:c r="D591" s="51" t="str">
        <x:v>2025-07</x:v>
      </x:c>
      <x:c r="E591" s="51" t="str">
        <x:v>Official policy plan</x:v>
      </x:c>
      <x:c r="F591" s="51" t="str">
        <x:v>A</x:v>
      </x:c>
      <x:c r="G591" s="51" t="str">
        <x:v>https://www.whitehouse.gov/wp-content/uploads/2025/07/Americas-AI-Action-Plan.pdf</x:v>
      </x:c>
    </x:row>
    <x:row r="592">
      <x:c r="A592" s="51" t="str">
        <x:v>SRC-588</x:v>
      </x:c>
      <x:c r="B592" s="51" t="str">
        <x:v>The White House</x:v>
      </x:c>
      <x:c r="C592" s="51" t="str">
        <x:v>White House Unveils America's AI Action Plan</x:v>
      </x:c>
      <x:c r="D592" s="51" t="str">
        <x:v>2025-07</x:v>
      </x:c>
      <x:c r="E592" s="51" t="str">
        <x:v>Official policy release</x:v>
      </x:c>
      <x:c r="F592" s="51" t="str">
        <x:v>A</x:v>
      </x:c>
      <x:c r="G592" s="51" t="str">
        <x:v>https://www.whitehouse.gov/releases/2025/07/white-house-unveils-americas-ai-action-plan/</x:v>
      </x:c>
    </x:row>
    <x:row r="593">
      <x:c r="A593" s="51" t="str">
        <x:v>SRC-589</x:v>
      </x:c>
      <x:c r="B593" s="51" t="str">
        <x:v>The White House</x:v>
      </x:c>
      <x:c r="C593" s="51" t="str">
        <x:v>David Sacks Special Government Employee Letter</x:v>
      </x:c>
      <x:c r="D593" s="51" t="str">
        <x:v>2025-06</x:v>
      </x:c>
      <x:c r="E593" s="51" t="str">
        <x:v>Official ethics and appointment record</x:v>
      </x:c>
      <x:c r="F593" s="51" t="str">
        <x:v>A</x:v>
      </x:c>
      <x:c r="G593" s="51" t="str">
        <x:v>https://www.whitehouse.gov/wp-content/uploads/2025/06/David-Sacks.pdf</x:v>
      </x:c>
    </x:row>
    <x:row r="594">
      <x:c r="A594" s="51" t="str">
        <x:v>SRC-590</x:v>
      </x:c>
      <x:c r="B594" s="51" t="str">
        <x:v>OpenAI</x:v>
      </x:c>
      <x:c r="C594" s="51" t="str">
        <x:v>Announcing the Stargate Project</x:v>
      </x:c>
      <x:c r="D594" s="51" t="str">
        <x:v>2025-01-21</x:v>
      </x:c>
      <x:c r="E594" s="51" t="str">
        <x:v>Official corporate announcement</x:v>
      </x:c>
      <x:c r="F594" s="51" t="str">
        <x:v>A</x:v>
      </x:c>
      <x:c r="G594" s="51" t="str">
        <x:v>https://openai.com/index/announcing-the-stargate-project/</x:v>
      </x:c>
    </x:row>
    <x:row r="595">
      <x:c r="A595" s="51" t="str">
        <x:v>SRC-591</x:v>
      </x:c>
      <x:c r="B595" s="51" t="str">
        <x:v>U.S. Senate Lobbying Disclosure Act Database</x:v>
      </x:c>
      <x:c r="C595" s="51" t="str">
        <x:v>OpenAI OpCo Client Filings</x:v>
      </x:c>
      <x:c r="D595" s="51" t="str">
        <x:v>2025–2026</x:v>
      </x:c>
      <x:c r="E595" s="51" t="str">
        <x:v>Official lobbying filings</x:v>
      </x:c>
      <x:c r="F595" s="51" t="str">
        <x:v>A</x:v>
      </x:c>
      <x:c r="G595" s="51" t="str">
        <x:v>https://lda.senate.gov/filings/public/filing/search/?client=openai&amp;search=search</x:v>
      </x:c>
    </x:row>
    <x:row r="596">
      <x:c r="A596" s="51" t="str">
        <x:v>SRC-592</x:v>
      </x:c>
      <x:c r="B596" s="51" t="str">
        <x:v>U.S. Senate Lobbying Disclosure Act Database</x:v>
      </x:c>
      <x:c r="C596" s="51" t="str">
        <x:v>Microsoft Corporation Registrant Filings</x:v>
      </x:c>
      <x:c r="D596" s="51" t="str">
        <x:v>2025–2026</x:v>
      </x:c>
      <x:c r="E596" s="51" t="str">
        <x:v>Official lobbying filings</x:v>
      </x:c>
      <x:c r="F596" s="51" t="str">
        <x:v>A</x:v>
      </x:c>
      <x:c r="G596" s="51" t="str">
        <x:v>https://lda.senate.gov/filings/public/filing/search/?registrant=microsoft&amp;search=search</x:v>
      </x:c>
    </x:row>
    <x:row r="597">
      <x:c r="A597" s="51" t="str">
        <x:v>SRC-593</x:v>
      </x:c>
      <x:c r="B597" s="51" t="str">
        <x:v>U.S. Senate Lobbying Disclosure Act Database</x:v>
      </x:c>
      <x:c r="C597" s="51" t="str">
        <x:v>Meta Platforms Lobbying Filings</x:v>
      </x:c>
      <x:c r="D597" s="51" t="str">
        <x:v>2025–2026</x:v>
      </x:c>
      <x:c r="E597" s="51" t="str">
        <x:v>Official lobbying filings</x:v>
      </x:c>
      <x:c r="F597" s="51" t="str">
        <x:v>A</x:v>
      </x:c>
      <x:c r="G597" s="51" t="str">
        <x:v>https://lda.senate.gov/filings/public/filing/search/?registrant=meta+platforms&amp;search=search</x:v>
      </x:c>
    </x:row>
    <x:row r="598">
      <x:c r="A598" s="51" t="str">
        <x:v>SRC-594</x:v>
      </x:c>
      <x:c r="B598" s="51" t="str">
        <x:v>U.S. Senate Lobbying Disclosure Act Database</x:v>
      </x:c>
      <x:c r="C598" s="51" t="str">
        <x:v>Palantir Technologies Lobbying Filings</x:v>
      </x:c>
      <x:c r="D598" s="51" t="str">
        <x:v>2025–2026</x:v>
      </x:c>
      <x:c r="E598" s="51" t="str">
        <x:v>Official lobbying filings</x:v>
      </x:c>
      <x:c r="F598" s="51" t="str">
        <x:v>A</x:v>
      </x:c>
      <x:c r="G598" s="51" t="str">
        <x:v>https://lda.senate.gov/filings/public/filing/search/?registrant=palantir&amp;search=search</x:v>
      </x:c>
    </x:row>
    <x:row r="599">
      <x:c r="A599" s="51" t="str">
        <x:v>SRC-595</x:v>
      </x:c>
      <x:c r="B599" s="51" t="str">
        <x:v>U.S. Senate Lobbying Disclosure Act Database</x:v>
      </x:c>
      <x:c r="C599" s="51" t="str">
        <x:v>Public Lobbying Registration and Reporting Search</x:v>
      </x:c>
      <x:c r="D599" s="51" t="str">
        <x:v>Current 2026</x:v>
      </x:c>
      <x:c r="E599" s="51" t="str">
        <x:v>Official disclosure database</x:v>
      </x:c>
      <x:c r="F599" s="51" t="str">
        <x:v>A</x:v>
      </x:c>
      <x:c r="G599" s="51" t="str">
        <x:v>https://lda.senate.gov/filings/public/filing/search/</x:v>
      </x:c>
    </x:row>
    <x:row r="600">
      <x:c r="A600" s="51" t="str">
        <x:v>SRC-596</x:v>
      </x:c>
      <x:c r="B600" s="51" t="str">
        <x:v>Federal Election Commission</x:v>
      </x:c>
      <x:c r="C600" s="51" t="str">
        <x:v>MAGA INC. Committee Overview</x:v>
      </x:c>
      <x:c r="D600" s="51" t="str">
        <x:v>Current 2026</x:v>
      </x:c>
      <x:c r="E600" s="51" t="str">
        <x:v>Official campaign-finance record</x:v>
      </x:c>
      <x:c r="F600" s="51" t="str">
        <x:v>A</x:v>
      </x:c>
      <x:c r="G600" s="51" t="str">
        <x:v>https://www.fec.gov/data/committee/C00892471/</x:v>
      </x:c>
    </x:row>
    <x:row r="601">
      <x:c r="A601" s="51" t="str">
        <x:v>SRC-597</x:v>
      </x:c>
      <x:c r="B601" s="51" t="str">
        <x:v>Federal Election Commission</x:v>
      </x:c>
      <x:c r="C601" s="51" t="str">
        <x:v>America PAC Committee Overview</x:v>
      </x:c>
      <x:c r="D601" s="51" t="str">
        <x:v>Current 2026</x:v>
      </x:c>
      <x:c r="E601" s="51" t="str">
        <x:v>Official campaign-finance record</x:v>
      </x:c>
      <x:c r="F601" s="51" t="str">
        <x:v>A</x:v>
      </x:c>
      <x:c r="G601" s="51" t="str">
        <x:v>https://www.fec.gov/data/committee/C00879510/</x:v>
      </x:c>
    </x:row>
    <x:row r="602">
      <x:c r="A602" s="51" t="str">
        <x:v>SRC-598</x:v>
      </x:c>
      <x:c r="B602" s="51" t="str">
        <x:v>Federal Election Commission</x:v>
      </x:c>
      <x:c r="C602" s="51" t="str">
        <x:v>Fairshake Committee Overview</x:v>
      </x:c>
      <x:c r="D602" s="51" t="str">
        <x:v>Current 2026</x:v>
      </x:c>
      <x:c r="E602" s="51" t="str">
        <x:v>Official campaign-finance record</x:v>
      </x:c>
      <x:c r="F602" s="51" t="str">
        <x:v>A</x:v>
      </x:c>
      <x:c r="G602" s="51" t="str">
        <x:v>https://www.fec.gov/data/committee/C00835959/</x:v>
      </x:c>
    </x:row>
    <x:row r="603">
      <x:c r="A603" s="51" t="str">
        <x:v>SRC-599</x:v>
      </x:c>
      <x:c r="B603" s="51" t="str">
        <x:v>Federal Election Commission</x:v>
      </x:c>
      <x:c r="C603" s="51" t="str">
        <x:v>United Democracy Project Committee Overview</x:v>
      </x:c>
      <x:c r="D603" s="51" t="str">
        <x:v>Current 2026</x:v>
      </x:c>
      <x:c r="E603" s="51" t="str">
        <x:v>Official campaign-finance record</x:v>
      </x:c>
      <x:c r="F603" s="51" t="str">
        <x:v>A</x:v>
      </x:c>
      <x:c r="G603" s="51" t="str">
        <x:v>https://www.fec.gov/data/committee/C00799031/</x:v>
      </x:c>
    </x:row>
    <x:row r="604">
      <x:c r="A604" s="51" t="str">
        <x:v>SRC-600</x:v>
      </x:c>
      <x:c r="B604" s="51" t="str">
        <x:v>Federal Election Commission</x:v>
      </x:c>
      <x:c r="C604" s="51" t="str">
        <x:v>PAC and Party Summary Tables — 2025 Twelve-Month Activity</x:v>
      </x:c>
      <x:c r="D604" s="51" t="str">
        <x:v>2026</x:v>
      </x:c>
      <x:c r="E604" s="51" t="str">
        <x:v>Official campaign-finance statistics</x:v>
      </x:c>
      <x:c r="F604" s="51" t="str">
        <x:v>A</x:v>
      </x:c>
      <x:c r="G604" s="51" t="str">
        <x:v>https://www.fec.gov/resources/campaign-finance-statistics/2026/tables/pac/PAC3b_2025_12m.pdf</x:v>
      </x:c>
    </x:row>
    <x:row r="605">
      <x:c r="A605" s="51" t="str">
        <x:v>SRC-601</x:v>
      </x:c>
      <x:c r="B605" s="51" t="str">
        <x:v>Federal Election Commission</x:v>
      </x:c>
      <x:c r="C605" s="51" t="str">
        <x:v>America PAC Independent Expenditure Filing</x:v>
      </x:c>
      <x:c r="D605" s="51" t="str">
        <x:v>2024-10-30</x:v>
      </x:c>
      <x:c r="E605" s="51" t="str">
        <x:v>Official campaign-finance filing</x:v>
      </x:c>
      <x:c r="F605" s="51" t="str">
        <x:v>A</x:v>
      </x:c>
      <x:c r="G605" s="51" t="str">
        <x:v>https://docquery.fec.gov/pdf/389/202410309719849389/202410309719849389.pdf</x:v>
      </x:c>
    </x:row>
    <x:row r="606">
      <x:c r="A606" s="51" t="str">
        <x:v>SRC-602</x:v>
      </x:c>
      <x:c r="B606" s="51" t="str">
        <x:v>Federal Election Commission</x:v>
      </x:c>
      <x:c r="C606" s="51" t="str">
        <x:v>America PAC Receipts Filing with Elon Musk Contributions</x:v>
      </x:c>
      <x:c r="D606" s="51" t="str">
        <x:v>2024-10-24</x:v>
      </x:c>
      <x:c r="E606" s="51" t="str">
        <x:v>Official campaign-finance filing</x:v>
      </x:c>
      <x:c r="F606" s="51" t="str">
        <x:v>A</x:v>
      </x:c>
      <x:c r="G606" s="51" t="str">
        <x:v>https://docquery.fec.gov/pdf/537/202410249719229537/202410249719229537.pdf</x:v>
      </x:c>
    </x:row>
    <x:row r="607">
      <x:c r="A607" s="51" t="str">
        <x:v>SRC-603</x:v>
      </x:c>
      <x:c r="B607" s="51" t="str">
        <x:v>Federal Election Commission</x:v>
      </x:c>
      <x:c r="C607" s="51" t="str">
        <x:v>Who Can and Cannot Contribute</x:v>
      </x:c>
      <x:c r="D607" s="51" t="str">
        <x:v>Current 2026</x:v>
      </x:c>
      <x:c r="E607" s="51" t="str">
        <x:v>Official compliance guidance</x:v>
      </x:c>
      <x:c r="F607" s="51" t="str">
        <x:v>A</x:v>
      </x:c>
      <x:c r="G607" s="51" t="str">
        <x:v>https://www.fec.gov/help-candidates-and-committees/candidate-taking-receipts/who-can-and-cant-contribute/</x:v>
      </x:c>
    </x:row>
    <x:row r="608">
      <x:c r="A608" s="51" t="str">
        <x:v>SRC-604</x:v>
      </x:c>
      <x:c r="B608" s="51" t="str">
        <x:v>Gates Foundation</x:v>
      </x:c>
      <x:c r="C608" s="51" t="str">
        <x:v>Leadership and Governance</x:v>
      </x:c>
      <x:c r="D608" s="51" t="str">
        <x:v>Current 2026</x:v>
      </x:c>
      <x:c r="E608" s="51" t="str">
        <x:v>Official governance page</x:v>
      </x:c>
      <x:c r="F608" s="51" t="str">
        <x:v>A</x:v>
      </x:c>
      <x:c r="G608" s="51" t="str">
        <x:v>https://www.gatesfoundation.org/about/leadership</x:v>
      </x:c>
    </x:row>
    <x:row r="609">
      <x:c r="A609" s="51" t="str">
        <x:v>SRC-605</x:v>
      </x:c>
      <x:c r="B609" s="51" t="str">
        <x:v>Gates Foundation</x:v>
      </x:c>
      <x:c r="C609" s="51" t="str">
        <x:v>Historic Annual Budget to Accelerate Mission</x:v>
      </x:c>
      <x:c r="D609" s="51" t="str">
        <x:v>2026-01</x:v>
      </x:c>
      <x:c r="E609" s="51" t="str">
        <x:v>Official budget release</x:v>
      </x:c>
      <x:c r="F609" s="51" t="str">
        <x:v>A</x:v>
      </x:c>
      <x:c r="G609" s="51" t="str">
        <x:v>https://www.gatesfoundation.org/ideas/media-center/press-releases/2026/01/historic-annual-budget-to-accelerate-mission</x:v>
      </x:c>
    </x:row>
    <x:row r="610">
      <x:c r="A610" s="51" t="str">
        <x:v>SRC-606</x:v>
      </x:c>
      <x:c r="B610" s="51" t="str">
        <x:v>Gates Foundation</x:v>
      </x:c>
      <x:c r="C610" s="51" t="str">
        <x:v>Committed Grants Database</x:v>
      </x:c>
      <x:c r="D610" s="51" t="str">
        <x:v>Current 2026</x:v>
      </x:c>
      <x:c r="E610" s="51" t="str">
        <x:v>Official grant database</x:v>
      </x:c>
      <x:c r="F610" s="51" t="str">
        <x:v>A</x:v>
      </x:c>
      <x:c r="G610" s="51" t="str">
        <x:v>https://www.gatesfoundation.org/about/committed-grants</x:v>
      </x:c>
    </x:row>
    <x:row r="611">
      <x:c r="A611" s="51" t="str">
        <x:v>SRC-607</x:v>
      </x:c>
      <x:c r="B611" s="51" t="str">
        <x:v>Gates Foundation</x:v>
      </x:c>
      <x:c r="C611" s="51" t="str">
        <x:v>Gates Foundation Concludes External Review</x:v>
      </x:c>
      <x:c r="D611" s="51" t="str">
        <x:v>2026-07-21</x:v>
      </x:c>
      <x:c r="E611" s="51" t="str">
        <x:v>Official review release</x:v>
      </x:c>
      <x:c r="F611" s="51" t="str">
        <x:v>A</x:v>
      </x:c>
      <x:c r="G611" s="51" t="str">
        <x:v>https://www.gatesfoundation.org/ideas/media-center/press-releases/2026/07/external-review</x:v>
      </x:c>
    </x:row>
    <x:row r="612">
      <x:c r="A612" s="51" t="str">
        <x:v>SRC-608</x:v>
      </x:c>
      <x:c r="B612" s="51" t="str">
        <x:v>WilmerHale</x:v>
      </x:c>
      <x:c r="C612" s="51" t="str">
        <x:v>Review of the Gates Foundation's Engagement with Jeffrey Epstein</x:v>
      </x:c>
      <x:c r="D612" s="51" t="str">
        <x:v>2026-07-21</x:v>
      </x:c>
      <x:c r="E612" s="51" t="str">
        <x:v>External review commissioned by foundation</x:v>
      </x:c>
      <x:c r="F612" s="51" t="str">
        <x:v>A</x:v>
      </x:c>
      <x:c r="G612" s="51" t="str">
        <x:v>https://docs.gatesfoundation.org/documents/review-gates-foundation.pdf</x:v>
      </x:c>
    </x:row>
    <x:row r="613">
      <x:c r="A613" s="51" t="str">
        <x:v>SRC-609</x:v>
      </x:c>
      <x:c r="B613" s="51" t="str">
        <x:v>Gates Foundation</x:v>
      </x:c>
      <x:c r="C613" s="51" t="str">
        <x:v>Financials and Audited Statements</x:v>
      </x:c>
      <x:c r="D613" s="51" t="str">
        <x:v>Current 2026</x:v>
      </x:c>
      <x:c r="E613" s="51" t="str">
        <x:v>Official financial page</x:v>
      </x:c>
      <x:c r="F613" s="51" t="str">
        <x:v>A</x:v>
      </x:c>
      <x:c r="G613" s="51" t="str">
        <x:v>https://www.gatesfoundation.org/about/financials</x:v>
      </x:c>
    </x:row>
    <x:row r="614">
      <x:c r="A614" s="51" t="str">
        <x:v>SRC-610</x:v>
      </x:c>
      <x:c r="B614" s="51" t="str">
        <x:v>Bloomberg Philanthropies</x:v>
      </x:c>
      <x:c r="C614" s="51" t="str">
        <x:v>About Bloomberg Philanthropies</x:v>
      </x:c>
      <x:c r="D614" s="51" t="str">
        <x:v>Current 2026</x:v>
      </x:c>
      <x:c r="E614" s="51" t="str">
        <x:v>Official institutional page</x:v>
      </x:c>
      <x:c r="F614" s="51" t="str">
        <x:v>A</x:v>
      </x:c>
      <x:c r="G614" s="51" t="str">
        <x:v>https://www.bloomberg.org/about/</x:v>
      </x:c>
    </x:row>
    <x:row r="615">
      <x:c r="A615" s="51" t="str">
        <x:v>SRC-611</x:v>
      </x:c>
      <x:c r="B615" s="51" t="str">
        <x:v>Bloomberg Philanthropies</x:v>
      </x:c>
      <x:c r="C615" s="51" t="str">
        <x:v>Annual Report</x:v>
      </x:c>
      <x:c r="D615" s="51" t="str">
        <x:v>2025–2026</x:v>
      </x:c>
      <x:c r="E615" s="51" t="str">
        <x:v>Official annual report</x:v>
      </x:c>
      <x:c r="F615" s="51" t="str">
        <x:v>A</x:v>
      </x:c>
      <x:c r="G615" s="51" t="str">
        <x:v>https://www.bloomberg.org/annualreport/</x:v>
      </x:c>
    </x:row>
    <x:row r="616">
      <x:c r="A616" s="51" t="str">
        <x:v>SRC-612</x:v>
      </x:c>
      <x:c r="B616" s="51" t="str">
        <x:v>Bloomberg L.P.</x:v>
      </x:c>
      <x:c r="C616" s="51" t="str">
        <x:v>Company Overview</x:v>
      </x:c>
      <x:c r="D616" s="51" t="str">
        <x:v>Current 2026</x:v>
      </x:c>
      <x:c r="E616" s="51" t="str">
        <x:v>Official corporate page</x:v>
      </x:c>
      <x:c r="F616" s="51" t="str">
        <x:v>A</x:v>
      </x:c>
      <x:c r="G616" s="51" t="str">
        <x:v>https://www.bloomberg.com/company/</x:v>
      </x:c>
    </x:row>
    <x:row r="617">
      <x:c r="A617" s="51" t="str">
        <x:v>SRC-613</x:v>
      </x:c>
      <x:c r="B617" s="51" t="str">
        <x:v>Bloomberg L.P.</x:v>
      </x:c>
      <x:c r="C617" s="51" t="str">
        <x:v>Daniel L. Doctoroff to Step Aside as CEO of Bloomberg L.P.</x:v>
      </x:c>
      <x:c r="D617" s="51" t="str">
        <x:v>2014-09-25</x:v>
      </x:c>
      <x:c r="E617" s="51" t="str">
        <x:v>Official corporate release</x:v>
      </x:c>
      <x:c r="F617" s="51" t="str">
        <x:v>A</x:v>
      </x:c>
      <x:c r="G617" s="51" t="str">
        <x:v>https://www.bloomberg.com/company/press/daniel-l-doctoroff-stepping-aside-ceo-bloomberg-lp-end-2014/</x:v>
      </x:c>
    </x:row>
    <x:row r="618">
      <x:c r="A618" s="51" t="str">
        <x:v>SRC-614</x:v>
      </x:c>
      <x:c r="B618" s="51" t="str">
        <x:v>Chan Zuckerberg Initiative</x:v>
      </x:c>
      <x:c r="C618" s="51" t="str">
        <x:v>Grants and Ventures</x:v>
      </x:c>
      <x:c r="D618" s="51" t="str">
        <x:v>Current 2026</x:v>
      </x:c>
      <x:c r="E618" s="51" t="str">
        <x:v>Official grant and investment portal</x:v>
      </x:c>
      <x:c r="F618" s="51" t="str">
        <x:v>A</x:v>
      </x:c>
      <x:c r="G618" s="51" t="str">
        <x:v>https://chanzuckerberg.com/grants-ventures/</x:v>
      </x:c>
    </x:row>
    <x:row r="619">
      <x:c r="A619" s="51" t="str">
        <x:v>SRC-615</x:v>
      </x:c>
      <x:c r="B619" s="51" t="str">
        <x:v>Chan Zuckerberg Initiative</x:v>
      </x:c>
      <x:c r="C619" s="51" t="str">
        <x:v>CZI Overview</x:v>
      </x:c>
      <x:c r="D619" s="51" t="str">
        <x:v>Current 2026</x:v>
      </x:c>
      <x:c r="E619" s="51" t="str">
        <x:v>Official institutional page</x:v>
      </x:c>
      <x:c r="F619" s="51" t="str">
        <x:v>A</x:v>
      </x:c>
      <x:c r="G619" s="51" t="str">
        <x:v>https://chanzuckerberg.com/</x:v>
      </x:c>
    </x:row>
    <x:row r="620">
      <x:c r="A620" s="51" t="str">
        <x:v>SRC-616</x:v>
      </x:c>
      <x:c r="B620" s="51" t="str">
        <x:v>Open Philanthropy</x:v>
      </x:c>
      <x:c r="C620" s="51" t="str">
        <x:v>Our Progress in 2024 and Plans for 2025</x:v>
      </x:c>
      <x:c r="D620" s="51" t="str">
        <x:v>2025</x:v>
      </x:c>
      <x:c r="E620" s="51" t="str">
        <x:v>Official institutional report</x:v>
      </x:c>
      <x:c r="F620" s="51" t="str">
        <x:v>A</x:v>
      </x:c>
      <x:c r="G620" s="51" t="str">
        <x:v>https://www.openphilanthropy.org/research/our-progress-in-2024-and-plans-for-2025/</x:v>
      </x:c>
    </x:row>
    <x:row r="621">
      <x:c r="A621" s="51" t="str">
        <x:v>SRC-617</x:v>
      </x:c>
      <x:c r="B621" s="51" t="str">
        <x:v>Thiel Foundation</x:v>
      </x:c>
      <x:c r="C621" s="51" t="str">
        <x:v>Programs and Mission</x:v>
      </x:c>
      <x:c r="D621" s="51" t="str">
        <x:v>Current 2026</x:v>
      </x:c>
      <x:c r="E621" s="51" t="str">
        <x:v>Official foundation page</x:v>
      </x:c>
      <x:c r="F621" s="51" t="str">
        <x:v>A</x:v>
      </x:c>
      <x:c r="G621" s="51" t="str">
        <x:v>https://www.thielfoundation.org/</x:v>
      </x:c>
    </x:row>
    <x:row r="622">
      <x:c r="A622" s="51" t="str">
        <x:v>SRC-618</x:v>
      </x:c>
      <x:c r="B622" s="51" t="str">
        <x:v>Brookings Institution</x:v>
      </x:c>
      <x:c r="C622" s="51" t="str">
        <x:v>2025 Annual Report</x:v>
      </x:c>
      <x:c r="D622" s="51" t="str">
        <x:v>2026-03</x:v>
      </x:c>
      <x:c r="E622" s="51" t="str">
        <x:v>Official annual report</x:v>
      </x:c>
      <x:c r="F622" s="51" t="str">
        <x:v>A</x:v>
      </x:c>
      <x:c r="G622" s="51" t="str">
        <x:v>https://www.brookings.edu/wp-content/uploads/2026/03/Brookings-Institution-2025-Annual-Report.pdf</x:v>
      </x:c>
    </x:row>
    <x:row r="623">
      <x:c r="A623" s="51" t="str">
        <x:v>SRC-619</x:v>
      </x:c>
      <x:c r="B623" s="51" t="str">
        <x:v>Brookings Institution</x:v>
      </x:c>
      <x:c r="C623" s="51" t="str">
        <x:v>Our Finances</x:v>
      </x:c>
      <x:c r="D623" s="51" t="str">
        <x:v>Current 2026</x:v>
      </x:c>
      <x:c r="E623" s="51" t="str">
        <x:v>Official finance and donor-disclosure page</x:v>
      </x:c>
      <x:c r="F623" s="51" t="str">
        <x:v>A</x:v>
      </x:c>
      <x:c r="G623" s="51" t="str">
        <x:v>https://www.brookings.edu/about-us/finances/</x:v>
      </x:c>
    </x:row>
    <x:row r="624">
      <x:c r="A624" s="51" t="str">
        <x:v>SRC-620</x:v>
      </x:c>
      <x:c r="B624" s="51" t="str">
        <x:v>Brookings Institution</x:v>
      </x:c>
      <x:c r="C624" s="51" t="str">
        <x:v>Board of Trustees</x:v>
      </x:c>
      <x:c r="D624" s="51" t="str">
        <x:v>Current 2026</x:v>
      </x:c>
      <x:c r="E624" s="51" t="str">
        <x:v>Official governance page</x:v>
      </x:c>
      <x:c r="F624" s="51" t="str">
        <x:v>A</x:v>
      </x:c>
      <x:c r="G624" s="51" t="str">
        <x:v>https://www.brookings.edu/about-us/board-of-trustees/</x:v>
      </x:c>
    </x:row>
    <x:row r="625">
      <x:c r="A625" s="51" t="str">
        <x:v>SRC-621</x:v>
      </x:c>
      <x:c r="B625" s="51" t="str">
        <x:v>Heritage Foundation</x:v>
      </x:c>
      <x:c r="C625" s="51" t="str">
        <x:v>2025 Annual Report</x:v>
      </x:c>
      <x:c r="D625" s="51" t="str">
        <x:v>2025–2026</x:v>
      </x:c>
      <x:c r="E625" s="51" t="str">
        <x:v>Official annual report</x:v>
      </x:c>
      <x:c r="F625" s="51" t="str">
        <x:v>A</x:v>
      </x:c>
      <x:c r="G625" s="51" t="str">
        <x:v>https://static.heritage.org/-2025/2025-AnnualReport.pdf</x:v>
      </x:c>
    </x:row>
    <x:row r="626">
      <x:c r="A626" s="51" t="str">
        <x:v>SRC-622</x:v>
      </x:c>
      <x:c r="B626" s="51" t="str">
        <x:v>Heritage Foundation</x:v>
      </x:c>
      <x:c r="C626" s="51" t="str">
        <x:v>Mandate for Leadership: The Conservative Promise</x:v>
      </x:c>
      <x:c r="D626" s="51" t="str">
        <x:v>2023 / Project 2025</x:v>
      </x:c>
      <x:c r="E626" s="51" t="str">
        <x:v>Official policy blueprint</x:v>
      </x:c>
      <x:c r="F626" s="51" t="str">
        <x:v>A</x:v>
      </x:c>
      <x:c r="G626" s="51" t="str">
        <x:v>https://static.heritage.org/project2025/2025_MandateForLeadership_FULL.pdf</x:v>
      </x:c>
    </x:row>
    <x:row r="627">
      <x:c r="A627" s="51" t="str">
        <x:v>SRC-623</x:v>
      </x:c>
      <x:c r="B627" s="51" t="str">
        <x:v>Heritage Foundation</x:v>
      </x:c>
      <x:c r="C627" s="51" t="str">
        <x:v>Financial Information</x:v>
      </x:c>
      <x:c r="D627" s="51" t="str">
        <x:v>Current 2026</x:v>
      </x:c>
      <x:c r="E627" s="51" t="str">
        <x:v>Official financial page</x:v>
      </x:c>
      <x:c r="F627" s="51" t="str">
        <x:v>A</x:v>
      </x:c>
      <x:c r="G627" s="51" t="str">
        <x:v>https://www.heritage.org/financial</x:v>
      </x:c>
    </x:row>
    <x:row r="628">
      <x:c r="A628" s="51" t="str">
        <x:v>SRC-624</x:v>
      </x:c>
      <x:c r="B628" s="51" t="str">
        <x:v>Council on Foreign Relations</x:v>
      </x:c>
      <x:c r="C628" s="51" t="str">
        <x:v>Annual Report 2025</x:v>
      </x:c>
      <x:c r="D628" s="51" t="str">
        <x:v>2025</x:v>
      </x:c>
      <x:c r="E628" s="51" t="str">
        <x:v>Official annual report</x:v>
      </x:c>
      <x:c r="F628" s="51" t="str">
        <x:v>A</x:v>
      </x:c>
      <x:c r="G628" s="51" t="str">
        <x:v>https://www.cfr.org/annual-report-2025</x:v>
      </x:c>
    </x:row>
    <x:row r="629">
      <x:c r="A629" s="51" t="str">
        <x:v>SRC-625</x:v>
      </x:c>
      <x:c r="B629" s="51" t="str">
        <x:v>Council on Foreign Relations</x:v>
      </x:c>
      <x:c r="C629" s="51" t="str">
        <x:v>Funding</x:v>
      </x:c>
      <x:c r="D629" s="51" t="str">
        <x:v>Current 2026</x:v>
      </x:c>
      <x:c r="E629" s="51" t="str">
        <x:v>Official funding page</x:v>
      </x:c>
      <x:c r="F629" s="51" t="str">
        <x:v>A</x:v>
      </x:c>
      <x:c r="G629" s="51" t="str">
        <x:v>https://www.cfr.org/funding</x:v>
      </x:c>
    </x:row>
    <x:row r="630">
      <x:c r="A630" s="51" t="str">
        <x:v>SRC-626</x:v>
      </x:c>
      <x:c r="B630" s="51" t="str">
        <x:v>Fox Corporation</x:v>
      </x:c>
      <x:c r="C630" s="51" t="str">
        <x:v>2025 Form 10-K</x:v>
      </x:c>
      <x:c r="D630" s="51" t="str">
        <x:v>2025-08</x:v>
      </x:c>
      <x:c r="E630" s="51" t="str">
        <x:v>Official SEC annual report</x:v>
      </x:c>
      <x:c r="F630" s="51" t="str">
        <x:v>A</x:v>
      </x:c>
      <x:c r="G630" s="51" t="str">
        <x:v>https://www.sec.gov/Archives/edgar/data/1754301/000162828025038077/fox-20250630.htm</x:v>
      </x:c>
    </x:row>
    <x:row r="631">
      <x:c r="A631" s="51" t="str">
        <x:v>SRC-627</x:v>
      </x:c>
      <x:c r="B631" s="51" t="str">
        <x:v>Fox Corporation</x:v>
      </x:c>
      <x:c r="C631" s="51" t="str">
        <x:v>September 2025 Changes in Stockholders and Trust Structure</x:v>
      </x:c>
      <x:c r="D631" s="51" t="str">
        <x:v>2025-09</x:v>
      </x:c>
      <x:c r="E631" s="51" t="str">
        <x:v>Official SEC filing</x:v>
      </x:c>
      <x:c r="F631" s="51" t="str">
        <x:v>A</x:v>
      </x:c>
      <x:c r="G631" s="51" t="str">
        <x:v>https://www.sec.gov/Archives/edgar/data/1754301/000119312525199168/d806382d424b7.htm</x:v>
      </x:c>
    </x:row>
    <x:row r="632">
      <x:c r="A632" s="51" t="str">
        <x:v>SRC-628</x:v>
      </x:c>
      <x:c r="B632" s="51" t="str">
        <x:v>The Washington Post</x:v>
      </x:c>
      <x:c r="C632" s="51" t="str">
        <x:v>About The Post</x:v>
      </x:c>
      <x:c r="D632" s="51" t="str">
        <x:v>Current</x:v>
      </x:c>
      <x:c r="E632" s="51" t="str">
        <x:v>Official company information</x:v>
      </x:c>
      <x:c r="F632" s="51" t="str">
        <x:v>A</x:v>
      </x:c>
      <x:c r="G632" s="51" t="str">
        <x:v>https://www.washingtonpost.com/discussions/2021/01/01/about-the-post/</x:v>
      </x:c>
    </x:row>
    <x:row r="633">
      <x:c r="A633" s="51" t="str">
        <x:v>SRC-629</x:v>
      </x:c>
      <x:c r="B633" s="51" t="str">
        <x:v>The Washington Post</x:v>
      </x:c>
      <x:c r="C633" s="51" t="str">
        <x:v>Jeff Bezos Announces Change to Opinion Section</x:v>
      </x:c>
      <x:c r="D633" s="51" t="str">
        <x:v>2025-02-26</x:v>
      </x:c>
      <x:c r="E633" s="51" t="str">
        <x:v>Newsroom report from owned publication</x:v>
      </x:c>
      <x:c r="F633" s="51" t="str">
        <x:v>B</x:v>
      </x:c>
      <x:c r="G633" s="51" t="str">
        <x:v>https://www.washingtonpost.com/style/media/2025/02/26/washington-post-bezos-opinions-section/</x:v>
      </x:c>
    </x:row>
    <x:row r="634">
      <x:c r="A634" s="51" t="str">
        <x:v>SRC-630</x:v>
      </x:c>
      <x:c r="B634" s="51" t="str">
        <x:v>U.S. Department of Justice</x:v>
      </x:c>
      <x:c r="C634" s="51" t="str">
        <x:v>Epstein Library</x:v>
      </x:c>
      <x:c r="D634" s="51" t="str">
        <x:v>Updated 2026-07-17</x:v>
      </x:c>
      <x:c r="E634" s="51" t="str">
        <x:v>Official public-record repository</x:v>
      </x:c>
      <x:c r="F634" s="51" t="str">
        <x:v>A</x:v>
      </x:c>
      <x:c r="G634" s="51" t="str">
        <x:v>https://www.justice.gov/epstein</x:v>
      </x:c>
    </x:row>
    <x:row r="635">
      <x:c r="A635" s="51" t="str">
        <x:v>SRC-631</x:v>
      </x:c>
      <x:c r="B635" s="51" t="str">
        <x:v>U.S. Department of Justice</x:v>
      </x:c>
      <x:c r="C635" s="51" t="str">
        <x:v>Report Under the Epstein Files Transparency Act</x:v>
      </x:c>
      <x:c r="D635" s="51" t="str">
        <x:v>2026-02-14</x:v>
      </x:c>
      <x:c r="E635" s="51" t="str">
        <x:v>Official statutory report</x:v>
      </x:c>
      <x:c r="F635" s="51" t="str">
        <x:v>A</x:v>
      </x:c>
      <x:c r="G635" s="51" t="str">
        <x:v>https://www.justice.gov/opa/media/1434856/dl?inline=</x:v>
      </x:c>
    </x:row>
    <x:row r="636">
      <x:c r="A636" s="51" t="str">
        <x:v>SRC-632</x:v>
      </x:c>
      <x:c r="B636" s="51" t="str">
        <x:v>U.S. Department of Justice</x:v>
      </x:c>
      <x:c r="C636" s="51" t="str">
        <x:v>Department Publishes 3.5 Million Responsive Pages</x:v>
      </x:c>
      <x:c r="D636" s="51" t="str">
        <x:v>2026-01-30</x:v>
      </x:c>
      <x:c r="E636" s="51" t="str">
        <x:v>Official release</x:v>
      </x:c>
      <x:c r="F636" s="51" t="str">
        <x:v>A</x:v>
      </x:c>
      <x:c r="G636" s="51" t="str">
        <x:v>https://www.justice.gov/opa/pr/department-justice-publishes-35-million-responsive-pages-compliance-epstein-files</x:v>
      </x:c>
    </x:row>
    <x:row r="637">
      <x:c r="A637" s="51" t="str">
        <x:v>SRC-633</x:v>
      </x:c>
      <x:c r="B637" s="51" t="str">
        <x:v>Associated Press</x:v>
      </x:c>
      <x:c r="C637" s="51" t="str">
        <x:v>Video Shows Trump and Epstein Socializing at 1992 Party</x:v>
      </x:c>
      <x:c r="D637" s="51" t="str">
        <x:v>2019-07-17</x:v>
      </x:c>
      <x:c r="E637" s="51" t="str">
        <x:v>High-quality news report and archival video</x:v>
      </x:c>
      <x:c r="F637" s="51" t="str">
        <x:v>B</x:v>
      </x:c>
      <x:c r="G637" s="51" t="str">
        <x:v>https://apnews.com/article/156bf74aa00640969bbf57011b8395f1</x:v>
      </x:c>
    </x:row>
    <x:row r="638">
      <x:c r="A638" s="51" t="str">
        <x:v>SRC-634</x:v>
      </x:c>
      <x:c r="B638" s="51" t="str">
        <x:v>Reuters</x:v>
      </x:c>
      <x:c r="C638" s="51" t="str">
        <x:v>Trump Sues Wall Street Journal Over Epstein Report</x:v>
      </x:c>
      <x:c r="D638" s="51" t="str">
        <x:v>2025-07-19</x:v>
      </x:c>
      <x:c r="E638" s="51" t="str">
        <x:v>High-quality news report</x:v>
      </x:c>
      <x:c r="F638" s="51" t="str">
        <x:v>B</x:v>
      </x:c>
      <x:c r="G638" s="51" t="str">
        <x:v>https://www.reuters.com/world/us/trump-sues-wall-street-journal-over-epstein-report-seeks-10-billion-2025-07-19/</x:v>
      </x:c>
    </x:row>
    <x:row r="639">
      <x:c r="A639" s="51" t="str">
        <x:v>SRC-635</x:v>
      </x:c>
      <x:c r="B639" s="51" t="str">
        <x:v>Reuters</x:v>
      </x:c>
      <x:c r="C639" s="51" t="str">
        <x:v>Gates Foundation Review Finds No Evidence of Payments to Epstein</x:v>
      </x:c>
      <x:c r="D639" s="51" t="str">
        <x:v>2026-07-21</x:v>
      </x:c>
      <x:c r="E639" s="51" t="str">
        <x:v>High-quality news report</x:v>
      </x:c>
      <x:c r="F639" s="51" t="str">
        <x:v>B</x:v>
      </x:c>
      <x:c r="G639" s="51" t="str">
        <x:v>https://www.reuters.com/world/gates-foundation-external-review-finds-no-evidence-payments-epstein-2026-07-21/</x:v>
      </x:c>
    </x:row>
    <x:row r="640">
      <x:c r="A640" s="51" t="str">
        <x:v>SRC-636</x:v>
      </x:c>
      <x:c r="B640" s="51" t="str">
        <x:v>Associated Press</x:v>
      </x:c>
      <x:c r="C640" s="51" t="str">
        <x:v>Gates Foundation Review and Governance Reforms</x:v>
      </x:c>
      <x:c r="D640" s="51" t="str">
        <x:v>2026-07-21</x:v>
      </x:c>
      <x:c r="E640" s="51" t="str">
        <x:v>High-quality news report</x:v>
      </x:c>
      <x:c r="F640" s="51" t="str">
        <x:v>B</x:v>
      </x:c>
      <x:c r="G640" s="51" t="str">
        <x:v>https://apnews.com/article/798b07999092aae601eae11a8ea14ce5</x:v>
      </x:c>
    </x:row>
    <x:row r="641">
      <x:c r="A641" s="51" t="str">
        <x:v>SRC-637</x:v>
      </x:c>
      <x:c r="B641" s="51" t="str">
        <x:v>Reuters</x:v>
      </x:c>
      <x:c r="C641" s="51" t="str">
        <x:v>House Democrats Release Epstein Schedules Naming Planned Meetings with Musk and Thiel</x:v>
      </x:c>
      <x:c r="D641" s="51" t="str">
        <x:v>2025-09-26</x:v>
      </x:c>
      <x:c r="E641" s="51" t="str">
        <x:v>High-quality news report</x:v>
      </x:c>
      <x:c r="F641" s="51" t="str">
        <x:v>B</x:v>
      </x:c>
      <x:c r="G641" s="51" t="str">
        <x:v>https://www.reuters.com/world/us/us-house-democrats-release-epstein-schedules-showing-plans-meet-musk-thiel-2025-09-26/</x:v>
      </x:c>
    </x:row>
    <x:row r="642">
      <x:c r="A642" s="51" t="str">
        <x:v>SRC-638</x:v>
      </x:c>
      <x:c r="B642" s="51" t="str">
        <x:v>Supreme Court of the United States</x:v>
      </x:c>
      <x:c r="C642" s="51" t="str">
        <x:v>Current Members</x:v>
      </x:c>
      <x:c r="D642" s="51" t="str">
        <x:v>Current 2026</x:v>
      </x:c>
      <x:c r="E642" s="51" t="str">
        <x:v>Official court page</x:v>
      </x:c>
      <x:c r="F642" s="51" t="str">
        <x:v>A</x:v>
      </x:c>
      <x:c r="G642" s="51" t="str">
        <x:v>https://www.supremecourt.gov/about/biographies.aspx</x:v>
      </x:c>
    </x:row>
    <x:row r="643">
      <x:c r="A643" s="51" t="str">
        <x:v>SRC-639</x:v>
      </x:c>
      <x:c r="B643" s="51" t="str">
        <x:v>Supreme Court of the United States</x:v>
      </x:c>
      <x:c r="C643" s="51" t="str">
        <x:v>Rules and Guidance — Rules Effective March 16, 2026</x:v>
      </x:c>
      <x:c r="D643" s="51" t="str">
        <x:v>2026-03-16</x:v>
      </x:c>
      <x:c r="E643" s="51" t="str">
        <x:v>Official court rules</x:v>
      </x:c>
      <x:c r="F643" s="51" t="str">
        <x:v>A</x:v>
      </x:c>
      <x:c r="G643" s="51" t="str">
        <x:v>https://www.supremecourt.gov/filingandrules/rules_guidance.aspx</x:v>
      </x:c>
    </x:row>
    <x:row r="644">
      <x:c r="A644" s="51" t="str">
        <x:v>SRC-640</x:v>
      </x:c>
      <x:c r="B644" s="51" t="str">
        <x:v>Administrative Office of the U.S. Courts</x:v>
      </x:c>
      <x:c r="C644" s="51" t="str">
        <x:v>Judicial Business 2025</x:v>
      </x:c>
      <x:c r="D644" s="51" t="str">
        <x:v>2026</x:v>
      </x:c>
      <x:c r="E644" s="51" t="str">
        <x:v>Official judiciary statistics</x:v>
      </x:c>
      <x:c r="F644" s="51" t="str">
        <x:v>A</x:v>
      </x:c>
      <x:c r="G644" s="51" t="str">
        <x:v>https://www.uscourts.gov/data-news/reports/statistical-reports/judicial-business-united-states-courts/judicial-business-2025</x:v>
      </x:c>
    </x:row>
    <x:row r="645">
      <x:c r="A645" s="51" t="str">
        <x:v>SRC-641</x:v>
      </x:c>
      <x:c r="B645" s="51" t="str">
        <x:v>Administrative Office of the U.S. Courts</x:v>
      </x:c>
      <x:c r="C645" s="51" t="str">
        <x:v>Annual Report 2025</x:v>
      </x:c>
      <x:c r="D645" s="51" t="str">
        <x:v>2026</x:v>
      </x:c>
      <x:c r="E645" s="51" t="str">
        <x:v>Official judiciary annual report</x:v>
      </x:c>
      <x:c r="F645" s="51" t="str">
        <x:v>A</x:v>
      </x:c>
      <x:c r="G645" s="51" t="str">
        <x:v>https://www.uscourts.gov/data-news/reports/annual-reports/directors-annual-report/annual-report-2025</x:v>
      </x:c>
    </x:row>
    <x:row r="646">
      <x:c r="A646" s="51" t="str">
        <x:v>SRC-642</x:v>
      </x:c>
      <x:c r="B646" s="51" t="str">
        <x:v>Administrative Office of the U.S. Courts</x:v>
      </x:c>
      <x:c r="C646" s="51" t="str">
        <x:v>Bankruptcy Filings Rise 11 Percent</x:v>
      </x:c>
      <x:c r="D646" s="51" t="str">
        <x:v>2026-02-04</x:v>
      </x:c>
      <x:c r="E646" s="51" t="str">
        <x:v>Official judiciary statistics release</x:v>
      </x:c>
      <x:c r="F646" s="51" t="str">
        <x:v>A</x:v>
      </x:c>
      <x:c r="G646" s="51" t="str">
        <x:v>https://www.uscourts.gov/data-news/judiciary-news/2026/02/04/bankruptcy-filings-rise-11-percent</x:v>
      </x:c>
    </x:row>
    <x:row r="647">
      <x:c r="A647" s="51" t="str">
        <x:v>SRC-643</x:v>
      </x:c>
      <x:c r="B647" s="51" t="str">
        <x:v>Administrative Office of the U.S. Courts</x:v>
      </x:c>
      <x:c r="C647" s="51" t="str">
        <x:v>Chapter 11 — Bankruptcy Basics</x:v>
      </x:c>
      <x:c r="D647" s="51" t="str">
        <x:v>Current 2026</x:v>
      </x:c>
      <x:c r="E647" s="51" t="str">
        <x:v>Official process guide</x:v>
      </x:c>
      <x:c r="F647" s="51" t="str">
        <x:v>A</x:v>
      </x:c>
      <x:c r="G647" s="51" t="str">
        <x:v>https://www.uscourts.gov/court-programs/bankruptcy/bankruptcy-basics/chapter-11-bankruptcy-basics</x:v>
      </x:c>
    </x:row>
    <x:row r="648">
      <x:c r="A648" s="51" t="str">
        <x:v>SRC-644</x:v>
      </x:c>
      <x:c r="B648" s="51" t="str">
        <x:v>Administrative Office of the U.S. Courts</x:v>
      </x:c>
      <x:c r="C648" s="51" t="str">
        <x:v>Bankruptcy Process — Bankruptcy Basics</x:v>
      </x:c>
      <x:c r="D648" s="51" t="str">
        <x:v>Current 2026</x:v>
      </x:c>
      <x:c r="E648" s="51" t="str">
        <x:v>Official process guide</x:v>
      </x:c>
      <x:c r="F648" s="51" t="str">
        <x:v>A</x:v>
      </x:c>
      <x:c r="G648" s="51" t="str">
        <x:v>https://www.uscourts.gov/court-programs/bankruptcy/bankruptcy-basics/process-bankruptcy-basics</x:v>
      </x:c>
    </x:row>
    <x:row r="649">
      <x:c r="A649" s="51" t="str">
        <x:v>SRC-645</x:v>
      </x:c>
      <x:c r="B649" s="51" t="str">
        <x:v>Administrative Office of the U.S. Courts</x:v>
      </x:c>
      <x:c r="C649" s="51" t="str">
        <x:v>Chapter 15 — Bankruptcy Basics</x:v>
      </x:c>
      <x:c r="D649" s="51" t="str">
        <x:v>Current 2026</x:v>
      </x:c>
      <x:c r="E649" s="51" t="str">
        <x:v>Official process guide</x:v>
      </x:c>
      <x:c r="F649" s="51" t="str">
        <x:v>A</x:v>
      </x:c>
      <x:c r="G649" s="51" t="str">
        <x:v>https://www.uscourts.gov/court-programs/bankruptcy/bankruptcy-basics/chapter-15-bankruptcy-basics</x:v>
      </x:c>
    </x:row>
    <x:row r="650">
      <x:c r="A650" s="51" t="str">
        <x:v>SRC-646</x:v>
      </x:c>
      <x:c r="B650" s="51" t="str">
        <x:v>U.S. Trustee Program</x:v>
      </x:c>
      <x:c r="C650" s="51" t="str">
        <x:v>Reports, Data and Research</x:v>
      </x:c>
      <x:c r="D650" s="51" t="str">
        <x:v>Updated 2026-05-19</x:v>
      </x:c>
      <x:c r="E650" s="51" t="str">
        <x:v>Official oversight and data portal</x:v>
      </x:c>
      <x:c r="F650" s="51" t="str">
        <x:v>A</x:v>
      </x:c>
      <x:c r="G650" s="51" t="str">
        <x:v>https://www.justice.gov/ust/reports-data-research</x:v>
      </x:c>
    </x:row>
    <x:row r="651">
      <x:c r="A651" s="51" t="str">
        <x:v>SRC-647</x:v>
      </x:c>
      <x:c r="B651" s="51" t="str">
        <x:v>U.S. Trustee Program</x:v>
      </x:c>
      <x:c r="C651" s="51" t="str">
        <x:v>The U.S. Trustee Program in 2026</x:v>
      </x:c>
      <x:c r="D651" s="51" t="str">
        <x:v>2026-06-02</x:v>
      </x:c>
      <x:c r="E651" s="51" t="str">
        <x:v>Official programme report</x:v>
      </x:c>
      <x:c r="F651" s="51" t="str">
        <x:v>A</x:v>
      </x:c>
      <x:c r="G651" s="51" t="str">
        <x:v>https://www.justice.gov/ust/blog/us-trustee-program-2026</x:v>
      </x:c>
    </x:row>
    <x:row r="652">
      <x:c r="A652" s="51" t="str">
        <x:v>SRC-648</x:v>
      </x:c>
      <x:c r="B652" s="51" t="str">
        <x:v>U.S. Trustee Program</x:v>
      </x:c>
      <x:c r="C652" s="51" t="str">
        <x:v>Acting Director Ramona D. Elliott</x:v>
      </x:c>
      <x:c r="D652" s="51" t="str">
        <x:v>Current 2026</x:v>
      </x:c>
      <x:c r="E652" s="51" t="str">
        <x:v>Official leadership page</x:v>
      </x:c>
      <x:c r="F652" s="51" t="str">
        <x:v>A</x:v>
      </x:c>
      <x:c r="G652" s="51" t="str">
        <x:v>https://www.justice.gov/ust/staff-profile/acting-director-ramona-d-elliott</x:v>
      </x:c>
    </x:row>
    <x:row r="653">
      <x:c r="A653" s="51" t="str">
        <x:v>SRC-649</x:v>
      </x:c>
      <x:c r="B653" s="51" t="str">
        <x:v>U.S. Trustee Program</x:v>
      </x:c>
      <x:c r="C653" s="51" t="str">
        <x:v>Fee Guidelines for Larger Chapter 11 Cases</x:v>
      </x:c>
      <x:c r="D653" s="51" t="str">
        <x:v>Current 2026</x:v>
      </x:c>
      <x:c r="E653" s="51" t="str">
        <x:v>Official professional-fee guidance</x:v>
      </x:c>
      <x:c r="F653" s="51" t="str">
        <x:v>A</x:v>
      </x:c>
      <x:c r="G653" s="51" t="str">
        <x:v>https://www.justice.gov/ust/fee-guidelines</x:v>
      </x:c>
    </x:row>
    <x:row r="654">
      <x:c r="A654" s="51" t="str">
        <x:v>SRC-650</x:v>
      </x:c>
      <x:c r="B654" s="51" t="str">
        <x:v>U.S. Trustee Program</x:v>
      </x:c>
      <x:c r="C654" s="51" t="str">
        <x:v>Chapter 11 Operating Reports</x:v>
      </x:c>
      <x:c r="D654" s="51" t="str">
        <x:v>Current 2026</x:v>
      </x:c>
      <x:c r="E654" s="51" t="str">
        <x:v>Official reporting portal</x:v>
      </x:c>
      <x:c r="F654" s="51" t="str">
        <x:v>A</x:v>
      </x:c>
      <x:c r="G654" s="51" t="str">
        <x:v>https://www.justice.gov/ust/chapter-11-operating-reports</x:v>
      </x:c>
    </x:row>
    <x:row r="655">
      <x:c r="A655" s="51" t="str">
        <x:v>SRC-651</x:v>
      </x:c>
      <x:c r="B655" s="51" t="str">
        <x:v>ICSID</x:v>
      </x:c>
      <x:c r="C655" s="51" t="str">
        <x:v>2025 Annual Report</x:v>
      </x:c>
      <x:c r="D655" s="51" t="str">
        <x:v>2025-10-17</x:v>
      </x:c>
      <x:c r="E655" s="51" t="str">
        <x:v>Official annual report</x:v>
      </x:c>
      <x:c r="F655" s="51" t="str">
        <x:v>A</x:v>
      </x:c>
      <x:c r="G655" s="51" t="str">
        <x:v>https://icsid.worldbank.org/resources/publications/icsid-annual-report</x:v>
      </x:c>
    </x:row>
    <x:row r="656">
      <x:c r="A656" s="51" t="str">
        <x:v>SRC-652</x:v>
      </x:c>
      <x:c r="B656" s="51" t="str">
        <x:v>ICSID</x:v>
      </x:c>
      <x:c r="C656" s="51" t="str">
        <x:v>ICSID Releases 2025 Caseload Statistics</x:v>
      </x:c>
      <x:c r="D656" s="51" t="str">
        <x:v>2026-02-17</x:v>
      </x:c>
      <x:c r="E656" s="51" t="str">
        <x:v>Official caseload release</x:v>
      </x:c>
      <x:c r="F656" s="51" t="str">
        <x:v>A</x:v>
      </x:c>
      <x:c r="G656" s="51" t="str">
        <x:v>https://icsid.worldbank.org/news-and-events/news-releases/icsid-releases-2025-caseload-statistics</x:v>
      </x:c>
    </x:row>
    <x:row r="657">
      <x:c r="A657" s="51" t="str">
        <x:v>SRC-653</x:v>
      </x:c>
      <x:c r="B657" s="51" t="str">
        <x:v>ICSID</x:v>
      </x:c>
      <x:c r="C657" s="51" t="str">
        <x:v>ICSID Convention Overview</x:v>
      </x:c>
      <x:c r="D657" s="51" t="str">
        <x:v>Current 2026</x:v>
      </x:c>
      <x:c r="E657" s="51" t="str">
        <x:v>Official treaty and rules page</x:v>
      </x:c>
      <x:c r="F657" s="51" t="str">
        <x:v>A</x:v>
      </x:c>
      <x:c r="G657" s="51" t="str">
        <x:v>https://icsid.worldbank.org/resources/rules-and-regulations/convention/overview</x:v>
      </x:c>
    </x:row>
    <x:row r="658">
      <x:c r="A658" s="51" t="str">
        <x:v>SRC-654</x:v>
      </x:c>
      <x:c r="B658" s="51" t="str">
        <x:v>ICSID</x:v>
      </x:c>
      <x:c r="C658" s="51" t="str">
        <x:v>Secretariat — Current Secretary-General</x:v>
      </x:c>
      <x:c r="D658" s="51" t="str">
        <x:v>Current 2026</x:v>
      </x:c>
      <x:c r="E658" s="51" t="str">
        <x:v>Official leadership page</x:v>
      </x:c>
      <x:c r="F658" s="51" t="str">
        <x:v>A</x:v>
      </x:c>
      <x:c r="G658" s="51" t="str">
        <x:v>https://icsid.worldbank.org/about/secretariat</x:v>
      </x:c>
    </x:row>
    <x:row r="659">
      <x:c r="A659" s="51" t="str">
        <x:v>SRC-655</x:v>
      </x:c>
      <x:c r="B659" s="51" t="str">
        <x:v>International Chamber of Commerce</x:v>
      </x:c>
      <x:c r="C659" s="51" t="str">
        <x:v>ICC Dispute Resolution Statistics 2025</x:v>
      </x:c>
      <x:c r="D659" s="51" t="str">
        <x:v>2026-06</x:v>
      </x:c>
      <x:c r="E659" s="51" t="str">
        <x:v>Official statistics</x:v>
      </x:c>
      <x:c r="F659" s="51" t="str">
        <x:v>A</x:v>
      </x:c>
      <x:c r="G659" s="51" t="str">
        <x:v>https://iccwbo.org/dispute-resolution/resources/icc-dispute-resolution-statistics/</x:v>
      </x:c>
    </x:row>
    <x:row r="660">
      <x:c r="A660" s="51" t="str">
        <x:v>SRC-656</x:v>
      </x:c>
      <x:c r="B660" s="51" t="str">
        <x:v>International Chamber of Commerce</x:v>
      </x:c>
      <x:c r="C660" s="51" t="str">
        <x:v>2026 ICC Arbitration Rules</x:v>
      </x:c>
      <x:c r="D660" s="51" t="str">
        <x:v>2026-06-01</x:v>
      </x:c>
      <x:c r="E660" s="51" t="str">
        <x:v>Official arbitration rules</x:v>
      </x:c>
      <x:c r="F660" s="51" t="str">
        <x:v>A</x:v>
      </x:c>
      <x:c r="G660" s="51" t="str">
        <x:v>https://iccwbo.org/dispute-resolution/dispute-resolution-services/arbitration/rules-procedure/2026-arbitration-rules/</x:v>
      </x:c>
    </x:row>
    <x:row r="661">
      <x:c r="A661" s="51" t="str">
        <x:v>SRC-657</x:v>
      </x:c>
      <x:c r="B661" s="51" t="str">
        <x:v>International Chamber of Commerce</x:v>
      </x:c>
      <x:c r="C661" s="51" t="str">
        <x:v>New ICC Rules and Court President Claudia Salomon</x:v>
      </x:c>
      <x:c r="D661" s="51" t="str">
        <x:v>2026-05-22</x:v>
      </x:c>
      <x:c r="E661" s="51" t="str">
        <x:v>Official institutional release</x:v>
      </x:c>
      <x:c r="F661" s="51" t="str">
        <x:v>A</x:v>
      </x:c>
      <x:c r="G661" s="51" t="str">
        <x:v>https://iccwbo.org/news-publications/news/new-icc-rules-of-arbitration-enhance-efficiency-clarity-and-usability/</x:v>
      </x:c>
    </x:row>
    <x:row r="662">
      <x:c r="A662" s="51" t="str">
        <x:v>SRC-658</x:v>
      </x:c>
      <x:c r="B662" s="51" t="str">
        <x:v>Permanent Court of Arbitration</x:v>
      </x:c>
      <x:c r="C662" s="51" t="str">
        <x:v>Annual Report 2025</x:v>
      </x:c>
      <x:c r="D662" s="51" t="str">
        <x:v>2026-06-22</x:v>
      </x:c>
      <x:c r="E662" s="51" t="str">
        <x:v>Official annual report release</x:v>
      </x:c>
      <x:c r="F662" s="51" t="str">
        <x:v>A</x:v>
      </x:c>
      <x:c r="G662" s="51" t="str">
        <x:v>https://pca-cpa.org/en/news/publication-of-the-2025-annual-report-of-the-pca/</x:v>
      </x:c>
    </x:row>
    <x:row r="663">
      <x:c r="A663" s="51" t="str">
        <x:v>SRC-659</x:v>
      </x:c>
      <x:c r="B663" s="51" t="str">
        <x:v>Permanent Court of Arbitration</x:v>
      </x:c>
      <x:c r="C663" s="51" t="str">
        <x:v>Secretary-General Marcin Czepelak</x:v>
      </x:c>
      <x:c r="D663" s="51" t="str">
        <x:v>Current 2026</x:v>
      </x:c>
      <x:c r="E663" s="51" t="str">
        <x:v>Official leadership page</x:v>
      </x:c>
      <x:c r="F663" s="51" t="str">
        <x:v>A</x:v>
      </x:c>
      <x:c r="G663" s="51" t="str">
        <x:v>https://pca-cpa.org/en/about/introduction/secretary-general/</x:v>
      </x:c>
    </x:row>
    <x:row r="664">
      <x:c r="A664" s="51" t="str">
        <x:v>SRC-660</x:v>
      </x:c>
      <x:c r="B664" s="51" t="str">
        <x:v>Permanent Court of Arbitration</x:v>
      </x:c>
      <x:c r="C664" s="51" t="str">
        <x:v>Frequently Asked Questions</x:v>
      </x:c>
      <x:c r="D664" s="51" t="str">
        <x:v>Current 2026</x:v>
      </x:c>
      <x:c r="E664" s="51" t="str">
        <x:v>Official institutional guide</x:v>
      </x:c>
      <x:c r="F664" s="51" t="str">
        <x:v>A</x:v>
      </x:c>
      <x:c r="G664" s="51" t="str">
        <x:v>https://pca-cpa.org/faq/</x:v>
      </x:c>
    </x:row>
    <x:row r="665">
      <x:c r="A665" s="51" t="str">
        <x:v>SRC-661</x:v>
      </x:c>
      <x:c r="B665" s="51" t="str">
        <x:v>World Intellectual Property Organization</x:v>
      </x:c>
      <x:c r="C665" s="51" t="str">
        <x:v>World Intellectual Property Indicators 2025</x:v>
      </x:c>
      <x:c r="D665" s="51" t="str">
        <x:v>2025-11-12</x:v>
      </x:c>
      <x:c r="E665" s="51" t="str">
        <x:v>Official global IP statistics</x:v>
      </x:c>
      <x:c r="F665" s="51" t="str">
        <x:v>A</x:v>
      </x:c>
      <x:c r="G665" s="51" t="str">
        <x:v>https://www.wipo.int/publications/en/details.jsp?id=4822</x:v>
      </x:c>
    </x:row>
    <x:row r="666">
      <x:c r="A666" s="51" t="str">
        <x:v>SRC-662</x:v>
      </x:c>
      <x:c r="B666" s="51" t="str">
        <x:v>World Intellectual Property Organization</x:v>
      </x:c>
      <x:c r="C666" s="51" t="str">
        <x:v>Patents Highlights — WIPI 2025</x:v>
      </x:c>
      <x:c r="D666" s="51" t="str">
        <x:v>2025</x:v>
      </x:c>
      <x:c r="E666" s="51" t="str">
        <x:v>Official global IP statistics</x:v>
      </x:c>
      <x:c r="F666" s="51" t="str">
        <x:v>A</x:v>
      </x:c>
      <x:c r="G666" s="51" t="str">
        <x:v>https://www.wipo.int/web-publications/world-intellectual-property-indicators-2025-highlights/en/patents-highlights.html</x:v>
      </x:c>
    </x:row>
    <x:row r="667">
      <x:c r="A667" s="51" t="str">
        <x:v>SRC-663</x:v>
      </x:c>
      <x:c r="B667" s="51" t="str">
        <x:v>World Intellectual Property Organization</x:v>
      </x:c>
      <x:c r="C667" s="51" t="str">
        <x:v>PCT Applications in 2025</x:v>
      </x:c>
      <x:c r="D667" s="51" t="str">
        <x:v>2026-03-06</x:v>
      </x:c>
      <x:c r="E667" s="51" t="str">
        <x:v>Official patent-system statistics</x:v>
      </x:c>
      <x:c r="F667" s="51" t="str">
        <x:v>A</x:v>
      </x:c>
      <x:c r="G667" s="51" t="str">
        <x:v>https://www.wipo.int/en/ipfactsandfigures/patents</x:v>
      </x:c>
    </x:row>
    <x:row r="668">
      <x:c r="A668" s="51" t="str">
        <x:v>SRC-664</x:v>
      </x:c>
      <x:c r="B668" s="51" t="str">
        <x:v>World Intellectual Property Organization</x:v>
      </x:c>
      <x:c r="C668" s="51" t="str">
        <x:v>Director General Daren Tang</x:v>
      </x:c>
      <x:c r="D668" s="51" t="str">
        <x:v>Current 2026</x:v>
      </x:c>
      <x:c r="E668" s="51" t="str">
        <x:v>Official leadership page</x:v>
      </x:c>
      <x:c r="F668" s="51" t="str">
        <x:v>A</x:v>
      </x:c>
      <x:c r="G668" s="51" t="str">
        <x:v>https://www.wipo.int/en/web/director-general/daren-tang</x:v>
      </x:c>
    </x:row>
    <x:row r="669">
      <x:c r="A669" s="51" t="str">
        <x:v>SRC-665</x:v>
      </x:c>
      <x:c r="B669" s="51" t="str">
        <x:v>United States Patent and Trademark Office</x:v>
      </x:c>
      <x:c r="C669" s="51" t="str">
        <x:v>FY 2025 Agency Financial Report</x:v>
      </x:c>
      <x:c r="D669" s="51" t="str">
        <x:v>2025-12-09</x:v>
      </x:c>
      <x:c r="E669" s="51" t="str">
        <x:v>Official agency report</x:v>
      </x:c>
      <x:c r="F669" s="51" t="str">
        <x:v>A</x:v>
      </x:c>
      <x:c r="G669" s="51" t="str">
        <x:v>https://www.uspto.gov/sites/default/files/documents/USPTOFY2025AFR.pdf</x:v>
      </x:c>
    </x:row>
    <x:row r="670">
      <x:c r="A670" s="51" t="str">
        <x:v>SRC-666</x:v>
      </x:c>
      <x:c r="B670" s="51" t="str">
        <x:v>United States Patent and Trademark Office</x:v>
      </x:c>
      <x:c r="C670" s="51" t="str">
        <x:v>USPTO Annual Reports</x:v>
      </x:c>
      <x:c r="D670" s="51" t="str">
        <x:v>Current 2026</x:v>
      </x:c>
      <x:c r="E670" s="51" t="str">
        <x:v>Official reporting portal</x:v>
      </x:c>
      <x:c r="F670" s="51" t="str">
        <x:v>A</x:v>
      </x:c>
      <x:c r="G670" s="51" t="str">
        <x:v>https://www.uspto.gov/about-us/performance-and-planning/uspto-annual-reports</x:v>
      </x:c>
    </x:row>
    <x:row r="671">
      <x:c r="A671" s="51" t="str">
        <x:v>SRC-667</x:v>
      </x:c>
      <x:c r="B671" s="51" t="str">
        <x:v>United States Patent and Trademark Office</x:v>
      </x:c>
      <x:c r="C671" s="51" t="str">
        <x:v>Office of the Under Secretary and Director</x:v>
      </x:c>
      <x:c r="D671" s="51" t="str">
        <x:v>Current 2026</x:v>
      </x:c>
      <x:c r="E671" s="51" t="str">
        <x:v>Official leadership page</x:v>
      </x:c>
      <x:c r="F671" s="51" t="str">
        <x:v>A</x:v>
      </x:c>
      <x:c r="G671" s="51" t="str">
        <x:v>https://www.uspto.gov/about-us/organizational-offices/office-under-secretary-and-director</x:v>
      </x:c>
    </x:row>
    <x:row r="672">
      <x:c r="A672" s="51" t="str">
        <x:v>SRC-668</x:v>
      </x:c>
      <x:c r="B672" s="51" t="str">
        <x:v>United States Patent and Trademark Office</x:v>
      </x:c>
      <x:c r="C672" s="51" t="str">
        <x:v>Remarks by Director Squires at the 2026 WIPO Assemblies</x:v>
      </x:c>
      <x:c r="D672" s="51" t="str">
        <x:v>2026-07-08</x:v>
      </x:c>
      <x:c r="E672" s="51" t="str">
        <x:v>Official speech</x:v>
      </x:c>
      <x:c r="F672" s="51" t="str">
        <x:v>A</x:v>
      </x:c>
      <x:c r="G672" s="51" t="str">
        <x:v>https://www.uspto.gov/about-us/news-updates/remarks-john-squires-2026-wipo-member-state-assemblies</x:v>
      </x:c>
    </x:row>
    <x:row r="673">
      <x:c r="A673" s="51" t="str">
        <x:v>SRC-669</x:v>
      </x:c>
      <x:c r="B673" s="51" t="str">
        <x:v>U.S. International Trade Commission</x:v>
      </x:c>
      <x:c r="C673" s="51" t="str">
        <x:v>FY 2025 Agency Financial Report</x:v>
      </x:c>
      <x:c r="D673" s="51" t="str">
        <x:v>2025-09-30</x:v>
      </x:c>
      <x:c r="E673" s="51" t="str">
        <x:v>Official agency report</x:v>
      </x:c>
      <x:c r="F673" s="51" t="str">
        <x:v>A</x:v>
      </x:c>
      <x:c r="G673" s="51" t="str">
        <x:v>https://www.usitc.gov/documents/fy_2025_usitc_agency_financial_report_final.pdf</x:v>
      </x:c>
    </x:row>
    <x:row r="674">
      <x:c r="A674" s="51" t="str">
        <x:v>SRC-670</x:v>
      </x:c>
      <x:c r="B674" s="51" t="str">
        <x:v>U.S. International Trade Commission</x:v>
      </x:c>
      <x:c r="C674" s="51" t="str">
        <x:v>Section 337 Rules</x:v>
      </x:c>
      <x:c r="D674" s="51" t="str">
        <x:v>Current 2026</x:v>
      </x:c>
      <x:c r="E674" s="51" t="str">
        <x:v>Official rules page</x:v>
      </x:c>
      <x:c r="F674" s="51" t="str">
        <x:v>A</x:v>
      </x:c>
      <x:c r="G674" s="51" t="str">
        <x:v>https://www.usitc.gov/intellectual_property/section_337_rules.htm</x:v>
      </x:c>
    </x:row>
    <x:row r="675">
      <x:c r="A675" s="51" t="str">
        <x:v>SRC-671</x:v>
      </x:c>
      <x:c r="B675" s="51" t="str">
        <x:v>U.S. International Trade Commission</x:v>
      </x:c>
      <x:c r="C675" s="51" t="str">
        <x:v>FY 2027 Budget Justification — Section 337 Remedies</x:v>
      </x:c>
      <x:c r="D675" s="51" t="str">
        <x:v>2026</x:v>
      </x:c>
      <x:c r="E675" s="51" t="str">
        <x:v>Official budget and programme document</x:v>
      </x:c>
      <x:c r="F675" s="51" t="str">
        <x:v>A</x:v>
      </x:c>
      <x:c r="G675" s="51" t="str">
        <x:v>https://usitc.gov/documents/fy_2027_congressional_budget_justification.pdf</x:v>
      </x:c>
    </x:row>
    <x:row r="676">
      <x:c r="A676" s="51" t="str">
        <x:v>SRC-672</x:v>
      </x:c>
      <x:c r="B676" s="51" t="str">
        <x:v>U.S. International Trade Commission</x:v>
      </x:c>
      <x:c r="C676" s="51" t="str">
        <x:v>Commissioners — Chairman Brett W. Doyle</x:v>
      </x:c>
      <x:c r="D676" s="51" t="str">
        <x:v>Current 2026</x:v>
      </x:c>
      <x:c r="E676" s="51" t="str">
        <x:v>Official leadership page</x:v>
      </x:c>
      <x:c r="F676" s="51" t="str">
        <x:v>A</x:v>
      </x:c>
      <x:c r="G676" s="51" t="str">
        <x:v>https://www.usitc.gov/about/commissioners</x:v>
      </x:c>
    </x:row>
    <x:row r="677">
      <x:c r="A677" s="51" t="str">
        <x:v>SRC-673</x:v>
      </x:c>
      <x:c r="B677" s="51" t="str">
        <x:v>U.S. Government Accountability Office</x:v>
      </x:c>
      <x:c r="C677" s="51" t="str">
        <x:v>Third-Party Litigation Financing: Market Characteristics, Data, and Trends</x:v>
      </x:c>
      <x:c r="D677" s="51" t="str">
        <x:v>2022-12-20</x:v>
      </x:c>
      <x:c r="E677" s="51" t="str">
        <x:v>Official audit and market study</x:v>
      </x:c>
      <x:c r="F677" s="51" t="str">
        <x:v>A</x:v>
      </x:c>
      <x:c r="G677" s="51" t="str">
        <x:v>https://www.gao.gov/products/gao-23-105210</x:v>
      </x:c>
    </x:row>
    <x:row r="678">
      <x:c r="A678" s="51" t="str">
        <x:v>SRC-674</x:v>
      </x:c>
      <x:c r="B678" s="51" t="str">
        <x:v>U.S. Government Accountability Office</x:v>
      </x:c>
      <x:c r="C678" s="51" t="str">
        <x:v>Information on Third-Party Funding of Patent Litigation</x:v>
      </x:c>
      <x:c r="D678" s="51" t="str">
        <x:v>2024-12-05</x:v>
      </x:c>
      <x:c r="E678" s="51" t="str">
        <x:v>Official audit and market study</x:v>
      </x:c>
      <x:c r="F678" s="51" t="str">
        <x:v>A</x:v>
      </x:c>
      <x:c r="G678" s="51" t="str">
        <x:v>https://www.gao.gov/products/gao-25-107214</x:v>
      </x:c>
    </x:row>
    <x:row r="679">
      <x:c r="A679" s="51" t="str">
        <x:v>SRC-675</x:v>
      </x:c>
      <x:c r="B679" s="51" t="str">
        <x:v>Administrative Office of the U.S. Courts</x:v>
      </x:c>
      <x:c r="C679" s="51" t="str">
        <x:v>Civil Rules Committee Report — Third-Party Litigation Funding</x:v>
      </x:c>
      <x:c r="D679" s="51" t="str">
        <x:v>2025-12-05</x:v>
      </x:c>
      <x:c r="E679" s="51" t="str">
        <x:v>Official rulemaking report</x:v>
      </x:c>
      <x:c r="F679" s="51" t="str">
        <x:v>A</x:v>
      </x:c>
      <x:c r="G679" s="51" t="str">
        <x:v>https://www.uscourts.gov/sites/default/files/document/2025-12-05_civil_rules_committee_report.pdf</x:v>
      </x:c>
    </x:row>
    <x:row r="680">
      <x:c r="A680" s="51" t="str">
        <x:v>SRC-676</x:v>
      </x:c>
      <x:c r="B680" s="51" t="str">
        <x:v>Administrative Office of the U.S. Courts</x:v>
      </x:c>
      <x:c r="C680" s="51" t="str">
        <x:v>Civil Rules Committee May 2026 — TPLF Subcommittee</x:v>
      </x:c>
      <x:c r="D680" s="51" t="str">
        <x:v>2026-05-06</x:v>
      </x:c>
      <x:c r="E680" s="51" t="str">
        <x:v>Official rulemaking report</x:v>
      </x:c>
      <x:c r="F680" s="51" t="str">
        <x:v>A</x:v>
      </x:c>
      <x:c r="G680" s="51" t="str">
        <x:v>https://www.uscourts.gov/sites/default/files/document/advisory_committee_on_civil_rules_may_2026.pdf</x:v>
      </x:c>
    </x:row>
    <x:row r="681">
      <x:c r="A681" s="51" t="str">
        <x:v>SRC-677</x:v>
      </x:c>
      <x:c r="B681" s="51" t="str">
        <x:v>U.S. District Court, Northern District of Florida</x:v>
      </x:c>
      <x:c r="C681" s="51" t="str">
        <x:v>Pretrial Order Requiring TPLF Disclosure in Depo-Provera MDL</x:v>
      </x:c>
      <x:c r="D681" s="51" t="str">
        <x:v>2025-07-01</x:v>
      </x:c>
      <x:c r="E681" s="51" t="str">
        <x:v>Official court order</x:v>
      </x:c>
      <x:c r="F681" s="51" t="str">
        <x:v>A</x:v>
      </x:c>
      <x:c r="G681" s="51" t="str">
        <x:v>https://www.flnd.uscourts.gov/sites/flnd/files/mdl/2025.07.01%20-%20325md3140%20-%20PTO%2025%20-%20%20TPLF%20Disclosure%20Requirement.pdf</x:v>
      </x:c>
    </x:row>
    <x:row r="682">
      <x:c r="A682" s="51" t="str">
        <x:v>SRC-678</x:v>
      </x:c>
      <x:c r="B682" s="51" t="str">
        <x:v>Administrative Office of the U.S. Courts</x:v>
      </x:c>
      <x:c r="C682" s="51" t="str">
        <x:v>Judicial Business 2025 — U.S. Bankruptcy Courts</x:v>
      </x:c>
      <x:c r="D682" s="51" t="str">
        <x:v>2026</x:v>
      </x:c>
      <x:c r="E682" s="51" t="str">
        <x:v>Official judiciary statistics</x:v>
      </x:c>
      <x:c r="F682" s="51" t="str">
        <x:v>A</x:v>
      </x:c>
      <x:c r="G682" s="51" t="str">
        <x:v>https://www.uscourts.gov/data-news/reports/statistical-reports/judicial-business-united-states-courts/judicial-business-2025/us-bankruptcy-courts-judicial-business-2025</x:v>
      </x:c>
    </x:row>
    <x:row r="683">
      <x:c r="A683" s="51" t="str">
        <x:v>SRC-679</x:v>
      </x:c>
      <x:c r="B683" s="51" t="str">
        <x:v>U.S. International Trade Commission</x:v>
      </x:c>
      <x:c r="C683" s="51" t="str">
        <x:v>The Year in Trade 2024 — Section 337 Exclusion Orders</x:v>
      </x:c>
      <x:c r="D683" s="51" t="str">
        <x:v>2025-09</x:v>
      </x:c>
      <x:c r="E683" s="51" t="str">
        <x:v>Official trade report</x:v>
      </x:c>
      <x:c r="F683" s="51" t="str">
        <x:v>A</x:v>
      </x:c>
      <x:c r="G683" s="51" t="str">
        <x:v>https://www.usitc.gov/publications/332/pub5673.pdf</x:v>
      </x:c>
    </x:row>
    <x:row r="684">
      <x:c r="A684" s="51" t="str">
        <x:v>SRC-680</x:v>
      </x:c>
      <x:c r="B684" s="51" t="str">
        <x:v>Permanent Court of Arbitration</x:v>
      </x:c>
      <x:c r="C684" s="51" t="str">
        <x:v>Cases Database</x:v>
      </x:c>
      <x:c r="D684" s="51" t="str">
        <x:v>Current 2026</x:v>
      </x:c>
      <x:c r="E684" s="51" t="str">
        <x:v>Official case registry</x:v>
      </x:c>
      <x:c r="F684" s="51" t="str">
        <x:v>A</x:v>
      </x:c>
      <x:c r="G684" s="51" t="str">
        <x:v>https://pca-cpa.org/cases/</x:v>
      </x:c>
    </x:row>
    <x:row r="685">
      <x:c r="A685" s="51" t="str">
        <x:v>SRC-681</x:v>
      </x:c>
      <x:c r="B685" s="51" t="str">
        <x:v>ICSID</x:v>
      </x:c>
      <x:c r="C685" s="51" t="str">
        <x:v>Case Database</x:v>
      </x:c>
      <x:c r="D685" s="51" t="str">
        <x:v>Current 2026</x:v>
      </x:c>
      <x:c r="E685" s="51" t="str">
        <x:v>Official case registry</x:v>
      </x:c>
      <x:c r="F685" s="51" t="str">
        <x:v>A</x:v>
      </x:c>
      <x:c r="G685" s="51" t="str">
        <x:v>https://icsid.worldbank.org/cases/case-database</x:v>
      </x:c>
    </x:row>
    <x:row r="686">
      <x:c r="A686" s="51" t="str">
        <x:v>SRC-682</x:v>
      </x:c>
      <x:c r="B686" s="51" t="str">
        <x:v>Supreme Court of the United States</x:v>
      </x:c>
      <x:c r="C686" s="51" t="str">
        <x:v>Circuit Assignments</x:v>
      </x:c>
      <x:c r="D686" s="51" t="str">
        <x:v>Current 2026</x:v>
      </x:c>
      <x:c r="E686" s="51" t="str">
        <x:v>Official court page</x:v>
      </x:c>
      <x:c r="F686" s="51" t="str">
        <x:v>A</x:v>
      </x:c>
      <x:c r="G686" s="51" t="str">
        <x:v>https://www.supremecourt.gov/about/circuitassignments.aspx</x:v>
      </x:c>
    </x:row>
    <x:row r="687">
      <x:c r="A687" s="51" t="str">
        <x:v>SRC-683</x:v>
      </x:c>
      <x:c r="B687" s="51" t="str">
        <x:v>Administrative Office of the U.S. Courts</x:v>
      </x:c>
      <x:c r="C687" s="51" t="str">
        <x:v>Bankruptcy Basics Glossary</x:v>
      </x:c>
      <x:c r="D687" s="51" t="str">
        <x:v>Current 2026</x:v>
      </x:c>
      <x:c r="E687" s="51" t="str">
        <x:v>Official legal-process glossary</x:v>
      </x:c>
      <x:c r="F687" s="51" t="str">
        <x:v>A</x:v>
      </x:c>
      <x:c r="G687" s="51" t="str">
        <x:v>https://www.uscourts.gov/court-programs/bankruptcy/bankruptcy-basics/bankruptcy-basics-glossary</x:v>
      </x:c>
    </x:row>
    <x:row r="688">
      <x:c r="A688" s="51" t="str">
        <x:v>SRC-684</x:v>
      </x:c>
      <x:c r="B688" s="51" t="str">
        <x:v>U.S. Trustee Program</x:v>
      </x:c>
      <x:c r="C688" s="51" t="str">
        <x:v>Overview of the U.S. Trustee Program</x:v>
      </x:c>
      <x:c r="D688" s="51" t="str">
        <x:v>Updated 2026-01-09</x:v>
      </x:c>
      <x:c r="E688" s="51" t="str">
        <x:v>Official programme overview</x:v>
      </x:c>
      <x:c r="F688" s="51" t="str">
        <x:v>A</x:v>
      </x:c>
      <x:c r="G688" s="51" t="str">
        <x:v>https://www.justice.gov/ust/bankruptcy-fact-sheets/overview-united-states-trustee-program</x:v>
      </x:c>
    </x:row>
    <x:row r="689">
      <x:c r="A689" s="51" t="str">
        <x:v>SRC-685</x:v>
      </x:c>
      <x:c r="B689" s="51" t="str">
        <x:v>U.S. Trustee Program</x:v>
      </x:c>
      <x:c r="C689" s="51" t="str">
        <x:v>Regions and Offices</x:v>
      </x:c>
      <x:c r="D689" s="51" t="str">
        <x:v>Current 2026</x:v>
      </x:c>
      <x:c r="E689" s="51" t="str">
        <x:v>Official organisation registry</x:v>
      </x:c>
      <x:c r="F689" s="51" t="str">
        <x:v>A</x:v>
      </x:c>
      <x:c r="G689" s="51" t="str">
        <x:v>https://www.justice.gov/ust/us-trustee-regions-and-offices</x:v>
      </x:c>
    </x:row>
    <x:row r="690">
      <x:c r="A690" s="51" t="str">
        <x:v>SRC-686</x:v>
      </x:c>
      <x:c r="B690" s="51" t="str">
        <x:v>U.S. International Trade Commission</x:v>
      </x:c>
      <x:c r="C690" s="51" t="str">
        <x:v>USITC Home — Chairman Announcement</x:v>
      </x:c>
      <x:c r="D690" s="51" t="str">
        <x:v>2026-07-21</x:v>
      </x:c>
      <x:c r="E690" s="51" t="str">
        <x:v>Official institutional page</x:v>
      </x:c>
      <x:c r="F690" s="51" t="str">
        <x:v>A</x:v>
      </x:c>
      <x:c r="G690" s="51" t="str">
        <x:v>https://www.usitc.gov/</x:v>
      </x:c>
    </x:row>
    <x:row r="691">
      <x:c r="A691" s="51" t="str">
        <x:v>SRC-687</x:v>
      </x:c>
      <x:c r="B691" s="51" t="str">
        <x:v>World Intellectual Property Organization</x:v>
      </x:c>
      <x:c r="C691" s="51" t="str">
        <x:v>Intellectual Property Statistics Portal</x:v>
      </x:c>
      <x:c r="D691" s="51" t="str">
        <x:v>Current 2026</x:v>
      </x:c>
      <x:c r="E691" s="51" t="str">
        <x:v>Official statistics portal</x:v>
      </x:c>
      <x:c r="F691" s="51" t="str">
        <x:v>A</x:v>
      </x:c>
      <x:c r="G691" s="51" t="str">
        <x:v>https://www.wipo.int/en/web/ip-statistics</x:v>
      </x:c>
    </x:row>
    <x:row r="692">
      <x:c r="A692" s="51" t="str">
        <x:v>SRC-688</x:v>
      </x:c>
      <x:c r="B692" s="51" t="str">
        <x:v>International Chamber of Commerce</x:v>
      </x:c>
      <x:c r="C692" s="51" t="str">
        <x:v>Preliminary 2025 Dispute Resolution Statistics</x:v>
      </x:c>
      <x:c r="D692" s="51" t="str">
        <x:v>2026-02-12</x:v>
      </x:c>
      <x:c r="E692" s="51" t="str">
        <x:v>Official caseload release</x:v>
      </x:c>
      <x:c r="F692" s="51" t="str">
        <x:v>A</x:v>
      </x:c>
      <x:c r="G692" s="51" t="str">
        <x:v>https://iccwbo.org/news-publications/news/icc-releases-preliminary-2025-dispute-resolution-statistics/</x:v>
      </x:c>
    </x:row>
    <x:row r="693">
      <x:c r="A693" s="51" t="str">
        <x:v>SRC-689</x:v>
      </x:c>
      <x:c r="B693" s="51" t="str">
        <x:v>International Association of Insurance Supervisors</x:v>
      </x:c>
      <x:c r="C693" s="51" t="str">
        <x:v>Insurance Capital Standard</x:v>
      </x:c>
      <x:c r="D693" s="51" t="str">
        <x:v>Current 2026</x:v>
      </x:c>
      <x:c r="E693" s="51" t="str">
        <x:v>Official international standard</x:v>
      </x:c>
      <x:c r="F693" s="51" t="str">
        <x:v>A</x:v>
      </x:c>
      <x:c r="G693" s="51" t="str">
        <x:v>https://www.iaisweb.org/activities-topics/standard-setting/insurance-capital-standard/</x:v>
      </x:c>
    </x:row>
    <x:row r="694">
      <x:c r="A694" s="51" t="str">
        <x:v>SRC-690</x:v>
      </x:c>
      <x:c r="B694" s="51" t="str">
        <x:v>International Association of Insurance Supervisors</x:v>
      </x:c>
      <x:c r="C694" s="51" t="str">
        <x:v>IAIS Adopts Insurance Capital Standard</x:v>
      </x:c>
      <x:c r="D694" s="51" t="str">
        <x:v>2024-12-05</x:v>
      </x:c>
      <x:c r="E694" s="51" t="str">
        <x:v>Official standards release</x:v>
      </x:c>
      <x:c r="F694" s="51" t="str">
        <x:v>A</x:v>
      </x:c>
      <x:c r="G694" s="51" t="str">
        <x:v>https://www.iais.org/2024/12/iais-adopts-insurance-capital-standard-and-other-enhancements-to-its-global-standards-to-promote-a-resilient-insurance-sector/</x:v>
      </x:c>
    </x:row>
    <x:row r="695">
      <x:c r="A695" s="51" t="str">
        <x:v>SRC-691</x:v>
      </x:c>
      <x:c r="B695" s="51" t="str">
        <x:v>International Association of Insurance Supervisors</x:v>
      </x:c>
      <x:c r="C695" s="51" t="str">
        <x:v>Insurance Core Principles and ComFrame</x:v>
      </x:c>
      <x:c r="D695" s="51" t="str">
        <x:v>Current 2026</x:v>
      </x:c>
      <x:c r="E695" s="51" t="str">
        <x:v>Official international standards</x:v>
      </x:c>
      <x:c r="F695" s="51" t="str">
        <x:v>A</x:v>
      </x:c>
      <x:c r="G695" s="51" t="str">
        <x:v>https://www.iaisweb.org/activities-topics/standard-setting/icps-and-comframe/</x:v>
      </x:c>
    </x:row>
    <x:row r="696">
      <x:c r="A696" s="51" t="str">
        <x:v>SRC-692</x:v>
      </x:c>
      <x:c r="B696" s="51" t="str">
        <x:v>International Association of Insurance Supervisors</x:v>
      </x:c>
      <x:c r="C696" s="51" t="str">
        <x:v>IAIS Secretary General Jonathan Dixon</x:v>
      </x:c>
      <x:c r="D696" s="51" t="str">
        <x:v>Current 2026</x:v>
      </x:c>
      <x:c r="E696" s="51" t="str">
        <x:v>Official leadership page/material</x:v>
      </x:c>
      <x:c r="F696" s="51" t="str">
        <x:v>A</x:v>
      </x:c>
      <x:c r="G696" s="51" t="str">
        <x:v>https://www.iaisweb.org/activities-topics/standard-setting/icps-and-comframe/</x:v>
      </x:c>
    </x:row>
    <x:row r="697">
      <x:c r="A697" s="51" t="str">
        <x:v>SRC-693</x:v>
      </x:c>
      <x:c r="B697" s="51" t="str">
        <x:v>Lloyd's</x:v>
      </x:c>
      <x:c r="C697" s="51" t="str">
        <x:v>Lloyd's Annual Report 2025</x:v>
      </x:c>
      <x:c r="D697" s="51" t="str">
        <x:v>2026-03-18</x:v>
      </x:c>
      <x:c r="E697" s="51" t="str">
        <x:v>Official annual report</x:v>
      </x:c>
      <x:c r="F697" s="51" t="str">
        <x:v>A</x:v>
      </x:c>
      <x:c r="G697" s="51" t="str">
        <x:v>https://assets.lloyds.com/media-651c0e64-c1d0-4f97-90f7-883c69fe2ef2/42102f78-bc6d-40be-8d43-52ef92775992/2025%20Lloyd%27s%20Annual%20Report.pdf</x:v>
      </x:c>
    </x:row>
    <x:row r="698">
      <x:c r="A698" s="51" t="str">
        <x:v>SRC-694</x:v>
      </x:c>
      <x:c r="B698" s="51" t="str">
        <x:v>Lloyd's</x:v>
      </x:c>
      <x:c r="C698" s="51" t="str">
        <x:v>Full Year Results 2025</x:v>
      </x:c>
      <x:c r="D698" s="51" t="str">
        <x:v>2026-03-19</x:v>
      </x:c>
      <x:c r="E698" s="51" t="str">
        <x:v>Official results release</x:v>
      </x:c>
      <x:c r="F698" s="51" t="str">
        <x:v>A</x:v>
      </x:c>
      <x:c r="G698" s="51" t="str">
        <x:v>https://www.lloyds.com/about-lloyds/investor-relations/financial-results/full-year-results-2025</x:v>
      </x:c>
    </x:row>
    <x:row r="699">
      <x:c r="A699" s="51" t="str">
        <x:v>SRC-695</x:v>
      </x:c>
      <x:c r="B699" s="51" t="str">
        <x:v>Lloyd's</x:v>
      </x:c>
      <x:c r="C699" s="51" t="str">
        <x:v>Patrick Tiernan — Chief Executive Officer</x:v>
      </x:c>
      <x:c r="D699" s="51" t="str">
        <x:v>Current 2026</x:v>
      </x:c>
      <x:c r="E699" s="51" t="str">
        <x:v>Official leadership page</x:v>
      </x:c>
      <x:c r="F699" s="51" t="str">
        <x:v>A</x:v>
      </x:c>
      <x:c r="G699" s="51" t="str">
        <x:v>https://www.lloyds.com/about-lloyds/governance/governance-structure/bios/patrick-tiernan</x:v>
      </x:c>
    </x:row>
    <x:row r="700">
      <x:c r="A700" s="51" t="str">
        <x:v>SRC-696</x:v>
      </x:c>
      <x:c r="B700" s="51" t="str">
        <x:v>Lloyd's</x:v>
      </x:c>
      <x:c r="C700" s="51" t="str">
        <x:v>Governance Terms of Reference</x:v>
      </x:c>
      <x:c r="D700" s="51" t="str">
        <x:v>2026-03-19</x:v>
      </x:c>
      <x:c r="E700" s="51" t="str">
        <x:v>Official governance document</x:v>
      </x:c>
      <x:c r="F700" s="51" t="str">
        <x:v>A</x:v>
      </x:c>
      <x:c r="G700" s="51" t="str">
        <x:v>https://assets.lloyds.com/media-651c0e64-c1d0-4f97-90f7-883c69fe2ef2/b7df25bf-9593-47a0-8d1c-3500111763b3/ToR%20-%20lloyds.com%20version%20-%2019%20March%202026.pdf</x:v>
      </x:c>
    </x:row>
    <x:row r="701">
      <x:c r="A701" s="51" t="str">
        <x:v>SRC-697</x:v>
      </x:c>
      <x:c r="B701" s="51" t="str">
        <x:v>Lloyd's</x:v>
      </x:c>
      <x:c r="C701" s="51" t="str">
        <x:v>Marine War Risk Consortium for Strait of Hormuz Shipping</x:v>
      </x:c>
      <x:c r="D701" s="51" t="str">
        <x:v>2026-06-19</x:v>
      </x:c>
      <x:c r="E701" s="51" t="str">
        <x:v>Official market announcement</x:v>
      </x:c>
      <x:c r="F701" s="51" t="str">
        <x:v>A</x:v>
      </x:c>
      <x:c r="G701" s="51" t="str">
        <x:v>https://www.lloyds.com/insights/media-centre/press-releases/press-release-19062026</x:v>
      </x:c>
    </x:row>
    <x:row r="702">
      <x:c r="A702" s="51" t="str">
        <x:v>SRC-698</x:v>
      </x:c>
      <x:c r="B702" s="51" t="str">
        <x:v>Munich Re</x:v>
      </x:c>
      <x:c r="C702" s="51" t="str">
        <x:v>Annual Report 2025</x:v>
      </x:c>
      <x:c r="D702" s="51" t="str">
        <x:v>2026</x:v>
      </x:c>
      <x:c r="E702" s="51" t="str">
        <x:v>Official annual report</x:v>
      </x:c>
      <x:c r="F702" s="51" t="str">
        <x:v>A</x:v>
      </x:c>
      <x:c r="G702" s="51" t="str">
        <x:v>https://www.munichre.com/en/company/investors/reports-and-presentations/annual-report.html</x:v>
      </x:c>
    </x:row>
    <x:row r="703">
      <x:c r="A703" s="51" t="str">
        <x:v>SRC-699</x:v>
      </x:c>
      <x:c r="B703" s="51" t="str">
        <x:v>Munich Re</x:v>
      </x:c>
      <x:c r="C703" s="51" t="str">
        <x:v>Natural Disaster Figures 2025</x:v>
      </x:c>
      <x:c r="D703" s="51" t="str">
        <x:v>2026-01-13</x:v>
      </x:c>
      <x:c r="E703" s="51" t="str">
        <x:v>Official catastrophe-loss release</x:v>
      </x:c>
      <x:c r="F703" s="51" t="str">
        <x:v>A</x:v>
      </x:c>
      <x:c r="G703" s="51" t="str">
        <x:v>https://www.munichre.com/en/company/media-relations/media-information-and-corporate-news/media-information/2026/natural-disaster-figures-2025.html</x:v>
      </x:c>
    </x:row>
    <x:row r="704">
      <x:c r="A704" s="51" t="str">
        <x:v>SRC-700</x:v>
      </x:c>
      <x:c r="B704" s="51" t="str">
        <x:v>Munich Re</x:v>
      </x:c>
      <x:c r="C704" s="51" t="str">
        <x:v>Board of Management — Christoph Jurecka</x:v>
      </x:c>
      <x:c r="D704" s="51" t="str">
        <x:v>Current 2026</x:v>
      </x:c>
      <x:c r="E704" s="51" t="str">
        <x:v>Official leadership page</x:v>
      </x:c>
      <x:c r="F704" s="51" t="str">
        <x:v>A</x:v>
      </x:c>
      <x:c r="G704" s="51" t="str">
        <x:v>https://www.munichre.com/en/company/about-munich-re/board-of-management/members.html</x:v>
      </x:c>
    </x:row>
    <x:row r="705">
      <x:c r="A705" s="51" t="str">
        <x:v>SRC-701</x:v>
      </x:c>
      <x:c r="B705" s="51" t="str">
        <x:v>Munich Re</x:v>
      </x:c>
      <x:c r="C705" s="51" t="str">
        <x:v>NatCatSERVICE</x:v>
      </x:c>
      <x:c r="D705" s="51" t="str">
        <x:v>Current 2026</x:v>
      </x:c>
      <x:c r="E705" s="51" t="str">
        <x:v>Official catastrophe-data platform</x:v>
      </x:c>
      <x:c r="F705" s="51" t="str">
        <x:v>A</x:v>
      </x:c>
      <x:c r="G705" s="51" t="str">
        <x:v>https://www.munichre.com/en/solutions/for-industry-clients/natcatservice.html</x:v>
      </x:c>
    </x:row>
    <x:row r="706">
      <x:c r="A706" s="51" t="str">
        <x:v>SRC-702</x:v>
      </x:c>
      <x:c r="B706" s="51" t="str">
        <x:v>Swiss Re</x:v>
      </x:c>
      <x:c r="C706" s="51" t="str">
        <x:v>Annual Report 2025</x:v>
      </x:c>
      <x:c r="D706" s="51" t="str">
        <x:v>2026-03-12</x:v>
      </x:c>
      <x:c r="E706" s="51" t="str">
        <x:v>Official annual report</x:v>
      </x:c>
      <x:c r="F706" s="51" t="str">
        <x:v>A</x:v>
      </x:c>
      <x:c r="G706" s="51" t="str">
        <x:v>https://www.swissre.com/dam/jcr%3Aa7e9dca5-1911-404d-bc9d-a8875ca7cab9/2025-annual-report.pdf</x:v>
      </x:c>
    </x:row>
    <x:row r="707">
      <x:c r="A707" s="51" t="str">
        <x:v>SRC-703</x:v>
      </x:c>
      <x:c r="B707" s="51" t="str">
        <x:v>Swiss Re</x:v>
      </x:c>
      <x:c r="C707" s="51" t="str">
        <x:v>ILS Market Insights — February 2026</x:v>
      </x:c>
      <x:c r="D707" s="51" t="str">
        <x:v>2026-02-23</x:v>
      </x:c>
      <x:c r="E707" s="51" t="str">
        <x:v>Official market report</x:v>
      </x:c>
      <x:c r="F707" s="51" t="str">
        <x:v>A</x:v>
      </x:c>
      <x:c r="G707" s="51" t="str">
        <x:v>https://www.swissre.com/our-business/alternative-capital-partners/ils-market-insights-february-2026.html</x:v>
      </x:c>
    </x:row>
    <x:row r="708">
      <x:c r="A708" s="51" t="str">
        <x:v>SRC-704</x:v>
      </x:c>
      <x:c r="B708" s="51" t="str">
        <x:v>Swiss Re</x:v>
      </x:c>
      <x:c r="C708" s="51" t="str">
        <x:v>ILS Market Insights — July 2026</x:v>
      </x:c>
      <x:c r="D708" s="51" t="str">
        <x:v>2026-07-23</x:v>
      </x:c>
      <x:c r="E708" s="51" t="str">
        <x:v>Official market report</x:v>
      </x:c>
      <x:c r="F708" s="51" t="str">
        <x:v>A</x:v>
      </x:c>
      <x:c r="G708" s="51" t="str">
        <x:v>https://www.swissre.com/our-business/alternative-capital-partners/ils-market-insights-july-2026.html</x:v>
      </x:c>
    </x:row>
    <x:row r="709">
      <x:c r="A709" s="51" t="str">
        <x:v>SRC-705</x:v>
      </x:c>
      <x:c r="B709" s="51" t="str">
        <x:v>Swiss Re</x:v>
      </x:c>
      <x:c r="C709" s="51" t="str">
        <x:v>Catastrophe Bond Structuring and Placement</x:v>
      </x:c>
      <x:c r="D709" s="51" t="str">
        <x:v>Current 2026</x:v>
      </x:c>
      <x:c r="E709" s="51" t="str">
        <x:v>Official product page</x:v>
      </x:c>
      <x:c r="F709" s="51" t="str">
        <x:v>A</x:v>
      </x:c>
      <x:c r="G709" s="51" t="str">
        <x:v>https://www.swissre.com/our-business/alternative-capital-partners/catastrophe-bonds.html</x:v>
      </x:c>
    </x:row>
    <x:row r="710">
      <x:c r="A710" s="51" t="str">
        <x:v>SRC-706</x:v>
      </x:c>
      <x:c r="B710" s="51" t="str">
        <x:v>Swiss Re</x:v>
      </x:c>
      <x:c r="C710" s="51" t="str">
        <x:v>Topanga Re 2025-1 Catastrophe Bond for Farmers</x:v>
      </x:c>
      <x:c r="D710" s="51" t="str">
        <x:v>2025-12-18</x:v>
      </x:c>
      <x:c r="E710" s="51" t="str">
        <x:v>Official transaction release</x:v>
      </x:c>
      <x:c r="F710" s="51" t="str">
        <x:v>A</x:v>
      </x:c>
      <x:c r="G710" s="51" t="str">
        <x:v>https://www.swissre.com/media/press-release/pr-20251218-swiss-re-capital-markets-cat-bond-farmers.html</x:v>
      </x:c>
    </x:row>
    <x:row r="711">
      <x:c r="A711" s="51" t="str">
        <x:v>SRC-707</x:v>
      </x:c>
      <x:c r="B711" s="51" t="str">
        <x:v>Commodity Futures Trading Commission</x:v>
      </x:c>
      <x:c r="C711" s="51" t="str">
        <x:v>FY 2025 Agency Financial Report</x:v>
      </x:c>
      <x:c r="D711" s="51" t="str">
        <x:v>2026-01-16</x:v>
      </x:c>
      <x:c r="E711" s="51" t="str">
        <x:v>Official agency report</x:v>
      </x:c>
      <x:c r="F711" s="51" t="str">
        <x:v>A</x:v>
      </x:c>
      <x:c r="G711" s="51" t="str">
        <x:v>https://www.cftc.gov/media/13096/2025AFR/download</x:v>
      </x:c>
    </x:row>
    <x:row r="712">
      <x:c r="A712" s="51" t="str">
        <x:v>SRC-708</x:v>
      </x:c>
      <x:c r="B712" s="51" t="str">
        <x:v>Commodity Futures Trading Commission</x:v>
      </x:c>
      <x:c r="C712" s="51" t="str">
        <x:v>Derivatives Clearing Organization Registrations</x:v>
      </x:c>
      <x:c r="D712" s="51" t="str">
        <x:v>Current 2026</x:v>
      </x:c>
      <x:c r="E712" s="51" t="str">
        <x:v>Official registry</x:v>
      </x:c>
      <x:c r="F712" s="51" t="str">
        <x:v>A</x:v>
      </x:c>
      <x:c r="G712" s="51" t="str">
        <x:v>https://www.cftc.gov/IndustryOversight/IndustryFilings/ClearingOrganizations</x:v>
      </x:c>
    </x:row>
    <x:row r="713">
      <x:c r="A713" s="51" t="str">
        <x:v>SRC-709</x:v>
      </x:c>
      <x:c r="B713" s="51" t="str">
        <x:v>Commodity Futures Trading Commission</x:v>
      </x:c>
      <x:c r="C713" s="51" t="str">
        <x:v>Chairman Michael S. Selig</x:v>
      </x:c>
      <x:c r="D713" s="51" t="str">
        <x:v>Current 2026</x:v>
      </x:c>
      <x:c r="E713" s="51" t="str">
        <x:v>Official leadership page</x:v>
      </x:c>
      <x:c r="F713" s="51" t="str">
        <x:v>A</x:v>
      </x:c>
      <x:c r="G713" s="51" t="str">
        <x:v>https://www.cftc.gov/About/Commissioners/MichaelSelig/index.htm</x:v>
      </x:c>
    </x:row>
    <x:row r="714">
      <x:c r="A714" s="51" t="str">
        <x:v>SRC-710</x:v>
      </x:c>
      <x:c r="B714" s="51" t="str">
        <x:v>Commodity Futures Trading Commission</x:v>
      </x:c>
      <x:c r="C714" s="51" t="str">
        <x:v>Weekly Swaps Report</x:v>
      </x:c>
      <x:c r="D714" s="51" t="str">
        <x:v>Current 2026</x:v>
      </x:c>
      <x:c r="E714" s="51" t="str">
        <x:v>Official market data</x:v>
      </x:c>
      <x:c r="F714" s="51" t="str">
        <x:v>A</x:v>
      </x:c>
      <x:c r="G714" s="51" t="str">
        <x:v>https://www.cftc.gov/MarketReports/SwapsReports/index.htm</x:v>
      </x:c>
    </x:row>
    <x:row r="715">
      <x:c r="A715" s="51" t="str">
        <x:v>SRC-711</x:v>
      </x:c>
      <x:c r="B715" s="51" t="str">
        <x:v>Commodity Futures Trading Commission</x:v>
      </x:c>
      <x:c r="C715" s="51" t="str">
        <x:v>Financial Data for Futures Commission Merchants</x:v>
      </x:c>
      <x:c r="D715" s="51" t="str">
        <x:v>Current 2026</x:v>
      </x:c>
      <x:c r="E715" s="51" t="str">
        <x:v>Official market data</x:v>
      </x:c>
      <x:c r="F715" s="51" t="str">
        <x:v>A</x:v>
      </x:c>
      <x:c r="G715" s="51" t="str">
        <x:v>https://www.cftc.gov/MarketReports/financialfcmdata/index.htm</x:v>
      </x:c>
    </x:row>
    <x:row r="716">
      <x:c r="A716" s="51" t="str">
        <x:v>SRC-712</x:v>
      </x:c>
      <x:c r="B716" s="51" t="str">
        <x:v>Bank for International Settlements</x:v>
      </x:c>
      <x:c r="C716" s="51" t="str">
        <x:v>Transparency and Responsiveness of Initial Margin in Centrally Cleared Markets</x:v>
      </x:c>
      <x:c r="D716" s="51" t="str">
        <x:v>2025-01-15</x:v>
      </x:c>
      <x:c r="E716" s="51" t="str">
        <x:v>Official joint standards report</x:v>
      </x:c>
      <x:c r="F716" s="51" t="str">
        <x:v>A</x:v>
      </x:c>
      <x:c r="G716" s="51" t="str">
        <x:v>https://www.bis.org/bcbs/publ/d590.htm</x:v>
      </x:c>
    </x:row>
    <x:row r="717">
      <x:c r="A717" s="51" t="str">
        <x:v>SRC-713</x:v>
      </x:c>
      <x:c r="B717" s="51" t="str">
        <x:v>Bank for International Settlements</x:v>
      </x:c>
      <x:c r="C717" s="51" t="str">
        <x:v>CPMI-IOSCO Consultation on Updated CCP Guidance and Public Quantitative Disclosures</x:v>
      </x:c>
      <x:c r="D717" s="51" t="str">
        <x:v>2026-05-06</x:v>
      </x:c>
      <x:c r="E717" s="51" t="str">
        <x:v>Official consultation</x:v>
      </x:c>
      <x:c r="F717" s="51" t="str">
        <x:v>A</x:v>
      </x:c>
      <x:c r="G717" s="51" t="str">
        <x:v>https://www.bis.org/cpmi/publ/d232.htm</x:v>
      </x:c>
    </x:row>
    <x:row r="718">
      <x:c r="A718" s="51" t="str">
        <x:v>SRC-714</x:v>
      </x:c>
      <x:c r="B718" s="51" t="str">
        <x:v>Bank for International Settlements</x:v>
      </x:c>
      <x:c r="C718" s="51" t="str">
        <x:v>CPMI Overview</x:v>
      </x:c>
      <x:c r="D718" s="51" t="str">
        <x:v>Current 2026</x:v>
      </x:c>
      <x:c r="E718" s="51" t="str">
        <x:v>Official institution page</x:v>
      </x:c>
      <x:c r="F718" s="51" t="str">
        <x:v>A</x:v>
      </x:c>
      <x:c r="G718" s="51" t="str">
        <x:v>https://www.bis.org/cpmi/about/overview.htm</x:v>
      </x:c>
    </x:row>
    <x:row r="719">
      <x:c r="A719" s="51" t="str">
        <x:v>SRC-715</x:v>
      </x:c>
      <x:c r="B719" s="51" t="str">
        <x:v>Financial Stability Board</x:v>
      </x:c>
      <x:c r="C719" s="51" t="str">
        <x:v>Financial Resources and Tools for Central Counterparty Resolution</x:v>
      </x:c>
      <x:c r="D719" s="51" t="str">
        <x:v>2025-04-24</x:v>
      </x:c>
      <x:c r="E719" s="51" t="str">
        <x:v>Official resolution standard</x:v>
      </x:c>
      <x:c r="F719" s="51" t="str">
        <x:v>A</x:v>
      </x:c>
      <x:c r="G719" s="51" t="str">
        <x:v>https://www.fsb.org/2025/04/financial-resources-and-tools-for-central-counterparty-resolution-2/</x:v>
      </x:c>
    </x:row>
    <x:row r="720">
      <x:c r="A720" s="51" t="str">
        <x:v>SRC-716</x:v>
      </x:c>
      <x:c r="B720" s="51" t="str">
        <x:v>Financial Stability Board</x:v>
      </x:c>
      <x:c r="C720" s="51" t="str">
        <x:v>Guidance on Financial Resources to Support CCP Resolution</x:v>
      </x:c>
      <x:c r="D720" s="51" t="str">
        <x:v>2024-04-25</x:v>
      </x:c>
      <x:c r="E720" s="51" t="str">
        <x:v>Official resolution guidance</x:v>
      </x:c>
      <x:c r="F720" s="51" t="str">
        <x:v>A</x:v>
      </x:c>
      <x:c r="G720" s="51" t="str">
        <x:v>https://www.fsb.org/2024/04/guidance-on-financial-resources-to-support-ccp-resolution-and-on-the-treatment-of-ccp-equity-in-resolution-revised-version-2024/</x:v>
      </x:c>
    </x:row>
    <x:row r="721">
      <x:c r="A721" s="51" t="str">
        <x:v>SRC-717</x:v>
      </x:c>
      <x:c r="B721" s="51" t="str">
        <x:v>Financial Stability Board</x:v>
      </x:c>
      <x:c r="C721" s="51" t="str">
        <x:v>Annual Report 2025</x:v>
      </x:c>
      <x:c r="D721" s="51" t="str">
        <x:v>2026-03-24</x:v>
      </x:c>
      <x:c r="E721" s="51" t="str">
        <x:v>Official annual report</x:v>
      </x:c>
      <x:c r="F721" s="51" t="str">
        <x:v>A</x:v>
      </x:c>
      <x:c r="G721" s="51" t="str">
        <x:v>https://www.fsb.org/uploads/P240326.pdf</x:v>
      </x:c>
    </x:row>
    <x:row r="722">
      <x:c r="A722" s="51" t="str">
        <x:v>SRC-718</x:v>
      </x:c>
      <x:c r="B722" s="51" t="str">
        <x:v>CME Group</x:v>
      </x:c>
      <x:c r="C722" s="51" t="str">
        <x:v>2025 Annual Report and Financial Information</x:v>
      </x:c>
      <x:c r="D722" s="51" t="str">
        <x:v>2026</x:v>
      </x:c>
      <x:c r="E722" s="51" t="str">
        <x:v>Official annual report portal</x:v>
      </x:c>
      <x:c r="F722" s="51" t="str">
        <x:v>A</x:v>
      </x:c>
      <x:c r="G722" s="51" t="str">
        <x:v>https://www.cmegroup.com/investor-relations/financial-information.html</x:v>
      </x:c>
    </x:row>
    <x:row r="723">
      <x:c r="A723" s="51" t="str">
        <x:v>SRC-719</x:v>
      </x:c>
      <x:c r="B723" s="51" t="str">
        <x:v>CME Group</x:v>
      </x:c>
      <x:c r="C723" s="51" t="str">
        <x:v>Financial Safeguards</x:v>
      </x:c>
      <x:c r="D723" s="51" t="str">
        <x:v>Current 2026</x:v>
      </x:c>
      <x:c r="E723" s="51" t="str">
        <x:v>Official clearing-risk page</x:v>
      </x:c>
      <x:c r="F723" s="51" t="str">
        <x:v>A</x:v>
      </x:c>
      <x:c r="G723" s="51" t="str">
        <x:v>https://www.cmegroup.com/solutions/risk-management/financial-safeguards.html</x:v>
      </x:c>
    </x:row>
    <x:row r="724">
      <x:c r="A724" s="51" t="str">
        <x:v>SRC-720</x:v>
      </x:c>
      <x:c r="B724" s="51" t="str">
        <x:v>CME Group</x:v>
      </x:c>
      <x:c r="C724" s="51" t="str">
        <x:v>CME Clearing Financial Safeguards Waterfalls</x:v>
      </x:c>
      <x:c r="D724" s="51" t="str">
        <x:v>Current 2026</x:v>
      </x:c>
      <x:c r="E724" s="51" t="str">
        <x:v>Official clearing explainer</x:v>
      </x:c>
      <x:c r="F724" s="51" t="str">
        <x:v>A</x:v>
      </x:c>
      <x:c r="G724" s="51" t="str">
        <x:v>https://www.cmegroup.com/articles/brochures-and-handbooks/101-overview-cme-clearing-financial-safeguards-waterfalls.html</x:v>
      </x:c>
    </x:row>
    <x:row r="725">
      <x:c r="A725" s="51" t="str">
        <x:v>SRC-721</x:v>
      </x:c>
      <x:c r="B725" s="51" t="str">
        <x:v>CME Group</x:v>
      </x:c>
      <x:c r="C725" s="51" t="str">
        <x:v>CME Clearing Default Management</x:v>
      </x:c>
      <x:c r="D725" s="51" t="str">
        <x:v>Current 2026</x:v>
      </x:c>
      <x:c r="E725" s="51" t="str">
        <x:v>Official clearing explainer</x:v>
      </x:c>
      <x:c r="F725" s="51" t="str">
        <x:v>A</x:v>
      </x:c>
      <x:c r="G725" s="51" t="str">
        <x:v>https://www.cmegroup.com/articles/brochures-and-handbooks/101-overview-default-management.html</x:v>
      </x:c>
    </x:row>
    <x:row r="726">
      <x:c r="A726" s="51" t="str">
        <x:v>SRC-722</x:v>
      </x:c>
      <x:c r="B726" s="51" t="str">
        <x:v>CME Group</x:v>
      </x:c>
      <x:c r="C726" s="51" t="str">
        <x:v>CME Clearing Financial Safeguards System — March 31, 2026</x:v>
      </x:c>
      <x:c r="D726" s="51" t="str">
        <x:v>2026</x:v>
      </x:c>
      <x:c r="E726" s="51" t="str">
        <x:v>Official resource disclosure</x:v>
      </x:c>
      <x:c r="F726" s="51" t="str">
        <x:v>A</x:v>
      </x:c>
      <x:c r="G726" s="51" t="str">
        <x:v>https://www.cmegroup.com/solutions/risk-management/financial-safeguards/cme-clearings-financial-safeguards-system.html</x:v>
      </x:c>
    </x:row>
    <x:row r="727">
      <x:c r="A727" s="51" t="str">
        <x:v>SRC-723</x:v>
      </x:c>
      <x:c r="B727" s="51" t="str">
        <x:v>LCH Limited</x:v>
      </x:c>
      <x:c r="C727" s="51" t="str">
        <x:v>Annual Report and Financial Statements 2025</x:v>
      </x:c>
      <x:c r="D727" s="51" t="str">
        <x:v>2026-02-26</x:v>
      </x:c>
      <x:c r="E727" s="51" t="str">
        <x:v>Official annual report</x:v>
      </x:c>
      <x:c r="F727" s="51" t="str">
        <x:v>A</x:v>
      </x:c>
      <x:c r="G727" s="51" t="str">
        <x:v>https://www.lseg.com/content/dam/post-trade/en_us/documents/lch/annual-reports/2025-lch-limited-financial-statements.pdf</x:v>
      </x:c>
    </x:row>
    <x:row r="728">
      <x:c r="A728" s="51" t="str">
        <x:v>SRC-724</x:v>
      </x:c>
      <x:c r="B728" s="51" t="str">
        <x:v>LCH</x:v>
      </x:c>
      <x:c r="C728" s="51" t="str">
        <x:v>Group Risk Management</x:v>
      </x:c>
      <x:c r="D728" s="51" t="str">
        <x:v>Current 2026</x:v>
      </x:c>
      <x:c r="E728" s="51" t="str">
        <x:v>Official clearing-risk page</x:v>
      </x:c>
      <x:c r="F728" s="51" t="str">
        <x:v>A</x:v>
      </x:c>
      <x:c r="G728" s="51" t="str">
        <x:v>https://www.lseg.com/en/post-trade/clearing/risk-management/group-risk-management</x:v>
      </x:c>
    </x:row>
    <x:row r="729">
      <x:c r="A729" s="51" t="str">
        <x:v>SRC-725</x:v>
      </x:c>
      <x:c r="B729" s="51" t="str">
        <x:v>LCH</x:v>
      </x:c>
      <x:c r="C729" s="51" t="str">
        <x:v>SwapClear Risk Management</x:v>
      </x:c>
      <x:c r="D729" s="51" t="str">
        <x:v>Current 2026</x:v>
      </x:c>
      <x:c r="E729" s="51" t="str">
        <x:v>Official clearing-risk page</x:v>
      </x:c>
      <x:c r="F729" s="51" t="str">
        <x:v>A</x:v>
      </x:c>
      <x:c r="G729" s="51" t="str">
        <x:v>https://www.lseg.com/en/post-trade/clearing/lch-services/swapclear/risk-management</x:v>
      </x:c>
    </x:row>
    <x:row r="730">
      <x:c r="A730" s="51" t="str">
        <x:v>SRC-726</x:v>
      </x:c>
      <x:c r="B730" s="51" t="str">
        <x:v>LCH</x:v>
      </x:c>
      <x:c r="C730" s="51" t="str">
        <x:v>CCP Public Quantitative Disclosures</x:v>
      </x:c>
      <x:c r="D730" s="51" t="str">
        <x:v>Current 2026</x:v>
      </x:c>
      <x:c r="E730" s="51" t="str">
        <x:v>Official disclosure portal</x:v>
      </x:c>
      <x:c r="F730" s="51" t="str">
        <x:v>A</x:v>
      </x:c>
      <x:c r="G730" s="51" t="str">
        <x:v>https://www.lseg.com/en/post-trade/clearing/clearing-resources/ccp-disclosures</x:v>
      </x:c>
    </x:row>
    <x:row r="731">
      <x:c r="A731" s="51" t="str">
        <x:v>SRC-727</x:v>
      </x:c>
      <x:c r="B731" s="51" t="str">
        <x:v>ICE Clear Credit</x:v>
      </x:c>
      <x:c r="C731" s="51" t="str">
        <x:v>2025 Financial Statements</x:v>
      </x:c>
      <x:c r="D731" s="51" t="str">
        <x:v>2026</x:v>
      </x:c>
      <x:c r="E731" s="51" t="str">
        <x:v>Official audited financial statements</x:v>
      </x:c>
      <x:c r="F731" s="51" t="str">
        <x:v>A</x:v>
      </x:c>
      <x:c r="G731" s="51" t="str">
        <x:v>https://www.ice.com/publicdocs/regulatory_filings/2025_ICE_Clear_Credit_LLC_Financial_Statements.pdf</x:v>
      </x:c>
    </x:row>
    <x:row r="732">
      <x:c r="A732" s="51" t="str">
        <x:v>SRC-728</x:v>
      </x:c>
      <x:c r="B732" s="51" t="str">
        <x:v>ICE Clear Credit</x:v>
      </x:c>
      <x:c r="C732" s="51" t="str">
        <x:v>Regulation and Financial Resources</x:v>
      </x:c>
      <x:c r="D732" s="51" t="str">
        <x:v>Current 2026</x:v>
      </x:c>
      <x:c r="E732" s="51" t="str">
        <x:v>Official clearing-risk page</x:v>
      </x:c>
      <x:c r="F732" s="51" t="str">
        <x:v>A</x:v>
      </x:c>
      <x:c r="G732" s="51" t="str">
        <x:v>https://www.ice.com/clear-credit/regulation</x:v>
      </x:c>
    </x:row>
    <x:row r="733">
      <x:c r="A733" s="51" t="str">
        <x:v>SRC-729</x:v>
      </x:c>
      <x:c r="B733" s="51" t="str">
        <x:v>Intercontinental Exchange</x:v>
      </x:c>
      <x:c r="C733" s="51" t="str">
        <x:v>Quarterly Clearing Disclosures</x:v>
      </x:c>
      <x:c r="D733" s="51" t="str">
        <x:v>Current 2026</x:v>
      </x:c>
      <x:c r="E733" s="51" t="str">
        <x:v>Official disclosure portal</x:v>
      </x:c>
      <x:c r="F733" s="51" t="str">
        <x:v>A</x:v>
      </x:c>
      <x:c r="G733" s="51" t="str">
        <x:v>https://www.ice.com/clearing/quarterly-clearing-disclosures</x:v>
      </x:c>
    </x:row>
    <x:row r="734">
      <x:c r="A734" s="51" t="str">
        <x:v>SRC-730</x:v>
      </x:c>
      <x:c r="B734" s="51" t="str">
        <x:v>Intercontinental Exchange</x:v>
      </x:c>
      <x:c r="C734" s="51" t="str">
        <x:v>Clearing Margin Models</x:v>
      </x:c>
      <x:c r="D734" s="51" t="str">
        <x:v>Current 2026</x:v>
      </x:c>
      <x:c r="E734" s="51" t="str">
        <x:v>Official clearing methodology page</x:v>
      </x:c>
      <x:c r="F734" s="51" t="str">
        <x:v>A</x:v>
      </x:c>
      <x:c r="G734" s="51" t="str">
        <x:v>https://www.ice.com/clearing/margin-models</x:v>
      </x:c>
    </x:row>
    <x:row r="735">
      <x:c r="A735" s="51" t="str">
        <x:v>SRC-731</x:v>
      </x:c>
      <x:c r="B735" s="51" t="str">
        <x:v>International Swaps and Derivatives Association</x:v>
      </x:c>
      <x:c r="C735" s="51" t="str">
        <x:v>ISDA Margin Survey — Year-End 2025</x:v>
      </x:c>
      <x:c r="D735" s="51" t="str">
        <x:v>2026-04-29</x:v>
      </x:c>
      <x:c r="E735" s="51" t="str">
        <x:v>Industry association market survey</x:v>
      </x:c>
      <x:c r="F735" s="51" t="str">
        <x:v>B</x:v>
      </x:c>
      <x:c r="G735" s="51" t="str">
        <x:v>https://www.isda.org/2026/04/29/isda-margin-survey-year-end-2025/</x:v>
      </x:c>
    </x:row>
    <x:row r="736">
      <x:c r="A736" s="51" t="str">
        <x:v>SRC-732</x:v>
      </x:c>
      <x:c r="B736" s="51" t="str">
        <x:v>International Swaps and Derivatives Association</x:v>
      </x:c>
      <x:c r="C736" s="51" t="str">
        <x:v>OTC Derivatives Markets — Second Half 2025</x:v>
      </x:c>
      <x:c r="D736" s="51" t="str">
        <x:v>2026-07</x:v>
      </x:c>
      <x:c r="E736" s="51" t="str">
        <x:v>Industry association market analysis</x:v>
      </x:c>
      <x:c r="F736" s="51" t="str">
        <x:v>B</x:v>
      </x:c>
      <x:c r="G736" s="51" t="str">
        <x:v>https://www.isda.org/?p=1245285</x:v>
      </x:c>
    </x:row>
    <x:row r="737">
      <x:c r="A737" s="51" t="str">
        <x:v>SRC-733</x:v>
      </x:c>
      <x:c r="B737" s="51" t="str">
        <x:v>International Swaps and Derivatives Association</x:v>
      </x:c>
      <x:c r="C737" s="51" t="str">
        <x:v>Collateral Management Suggested Operational Practices</x:v>
      </x:c>
      <x:c r="D737" s="51" t="str">
        <x:v>Updated 2025-10-16</x:v>
      </x:c>
      <x:c r="E737" s="51" t="str">
        <x:v>Industry association operational guidance</x:v>
      </x:c>
      <x:c r="F737" s="51" t="str">
        <x:v>B</x:v>
      </x:c>
      <x:c r="G737" s="51" t="str">
        <x:v>https://www.isda.org/collateral-management-sop/</x:v>
      </x:c>
    </x:row>
    <x:row r="738">
      <x:c r="A738" s="51" t="str">
        <x:v>SRC-734</x:v>
      </x:c>
      <x:c r="B738" s="51" t="str">
        <x:v>International Swaps and Derivatives Association</x:v>
      </x:c>
      <x:c r="C738" s="51" t="str">
        <x:v>Netting and Collateral Opinions Overview</x:v>
      </x:c>
      <x:c r="D738" s="51" t="str">
        <x:v>Current 2026</x:v>
      </x:c>
      <x:c r="E738" s="51" t="str">
        <x:v>Industry association legal-opinion portal</x:v>
      </x:c>
      <x:c r="F738" s="51" t="str">
        <x:v>B</x:v>
      </x:c>
      <x:c r="G738" s="51" t="str">
        <x:v>https://www.isda.org/opinions-overview/</x:v>
      </x:c>
    </x:row>
    <x:row r="739">
      <x:c r="A739" s="51" t="str">
        <x:v>SRC-735</x:v>
      </x:c>
      <x:c r="B739" s="51" t="str">
        <x:v>Swiss Re</x:v>
      </x:c>
      <x:c r="C739" s="51" t="str">
        <x:v>World Insurance in 2026: Shock Absorbers in a Fragmenting World</x:v>
      </x:c>
      <x:c r="D739" s="51" t="str">
        <x:v>2026-06-30</x:v>
      </x:c>
      <x:c r="E739" s="51" t="str">
        <x:v>Official insurance-economics research</x:v>
      </x:c>
      <x:c r="F739" s="51" t="str">
        <x:v>A</x:v>
      </x:c>
      <x:c r="G739" s="51" t="str">
        <x:v>https://www.swissre.com/institute/research/sigma-research.html</x:v>
      </x:c>
    </x:row>
    <x:row r="740">
      <x:c r="A740" s="51" t="str">
        <x:v>SRC-736</x:v>
      </x:c>
      <x:c r="B740" s="51" t="str">
        <x:v>Bank of England</x:v>
      </x:c>
      <x:c r="C740" s="51" t="str">
        <x:v>How Is Money Created?</x:v>
      </x:c>
      <x:c r="D740" s="51" t="str">
        <x:v>Current 2026</x:v>
      </x:c>
      <x:c r="E740" s="51" t="str">
        <x:v>Official central-bank explainer</x:v>
      </x:c>
      <x:c r="F740" s="51" t="str">
        <x:v>A</x:v>
      </x:c>
      <x:c r="G740" s="51" t="str">
        <x:v>https://www.bankofengland.co.uk/explainers/how-is-money-created</x:v>
      </x:c>
    </x:row>
    <x:row r="741">
      <x:c r="A741" s="51" t="str">
        <x:v>SRC-737</x:v>
      </x:c>
      <x:c r="B741" s="51" t="str">
        <x:v>Federal Reserve Board</x:v>
      </x:c>
      <x:c r="C741" s="51" t="str">
        <x:v>Understanding Bank Deposit Growth during the COVID-19 Pandemic</x:v>
      </x:c>
      <x:c r="D741" s="51" t="str">
        <x:v>2022-06-03</x:v>
      </x:c>
      <x:c r="E741" s="51" t="str">
        <x:v>Official central-bank research note</x:v>
      </x:c>
      <x:c r="F741" s="51" t="str">
        <x:v>A</x:v>
      </x:c>
      <x:c r="G741" s="51" t="str">
        <x:v>https://www.federalreserve.gov/econres/notes/feds-notes/understanding-bank-deposit-growth-during-the-covid-19-pandemic-20220603.html</x:v>
      </x:c>
    </x:row>
    <x:row r="742">
      <x:c r="A742" s="51" t="str">
        <x:v>SRC-738</x:v>
      </x:c>
      <x:c r="B742" s="51" t="str">
        <x:v>Federal Reserve Board</x:v>
      </x:c>
      <x:c r="C742" s="51" t="str">
        <x:v>Assets and Liabilities of Commercial Banks in the United States — H.8</x:v>
      </x:c>
      <x:c r="D742" s="51" t="str">
        <x:v>2026-07-24</x:v>
      </x:c>
      <x:c r="E742" s="51" t="str">
        <x:v>Official banking statistics</x:v>
      </x:c>
      <x:c r="F742" s="51" t="str">
        <x:v>A</x:v>
      </x:c>
      <x:c r="G742" s="51" t="str">
        <x:v>https://www.federalreserve.gov/releases/h8/current/default.htm</x:v>
      </x:c>
    </x:row>
    <x:row r="743">
      <x:c r="A743" s="51" t="str">
        <x:v>SRC-739</x:v>
      </x:c>
      <x:c r="B743" s="51" t="str">
        <x:v>FDIC</x:v>
      </x:c>
      <x:c r="C743" s="51" t="str">
        <x:v>Deposit Insurance FAQs</x:v>
      </x:c>
      <x:c r="D743" s="51" t="str">
        <x:v>Current 2026</x:v>
      </x:c>
      <x:c r="E743" s="51" t="str">
        <x:v>Official deposit-insurance guidance</x:v>
      </x:c>
      <x:c r="F743" s="51" t="str">
        <x:v>A</x:v>
      </x:c>
      <x:c r="G743" s="51" t="str">
        <x:v>https://www.fdic.gov/resources/deposit-insurance/faq</x:v>
      </x:c>
    </x:row>
    <x:row r="744">
      <x:c r="A744" s="51" t="str">
        <x:v>SRC-740</x:v>
      </x:c>
      <x:c r="B744" s="51" t="str">
        <x:v>FDIC</x:v>
      </x:c>
      <x:c r="C744" s="51" t="str">
        <x:v>Quarterly Banking Profile — First Quarter 2026</x:v>
      </x:c>
      <x:c r="D744" s="51" t="str">
        <x:v>2026-05</x:v>
      </x:c>
      <x:c r="E744" s="51" t="str">
        <x:v>Official banking and fund statistics</x:v>
      </x:c>
      <x:c r="F744" s="51" t="str">
        <x:v>A</x:v>
      </x:c>
      <x:c r="G744" s="51" t="str">
        <x:v>https://www.fdic.gov/quarterly-banking-profile/quarterly-banking-profile-q1-2026</x:v>
      </x:c>
    </x:row>
    <x:row r="745">
      <x:c r="A745" s="51" t="str">
        <x:v>SRC-741</x:v>
      </x:c>
      <x:c r="B745" s="51" t="str">
        <x:v>FDIC</x:v>
      </x:c>
      <x:c r="C745" s="51" t="str">
        <x:v>2025 Annual Report</x:v>
      </x:c>
      <x:c r="D745" s="51" t="str">
        <x:v>2026-03-26</x:v>
      </x:c>
      <x:c r="E745" s="51" t="str">
        <x:v>Official annual report</x:v>
      </x:c>
      <x:c r="F745" s="51" t="str">
        <x:v>A</x:v>
      </x:c>
      <x:c r="G745" s="51" t="str">
        <x:v>https://www.fdic.gov/financial-reports/2025-annual-report</x:v>
      </x:c>
    </x:row>
    <x:row r="746">
      <x:c r="A746" s="51" t="str">
        <x:v>SRC-742</x:v>
      </x:c>
      <x:c r="B746" s="51" t="str">
        <x:v>FDIC</x:v>
      </x:c>
      <x:c r="C746" s="51" t="str">
        <x:v>Bank Failures — 2025</x:v>
      </x:c>
      <x:c r="D746" s="51" t="str">
        <x:v>Current 2026</x:v>
      </x:c>
      <x:c r="E746" s="51" t="str">
        <x:v>Official failure registry</x:v>
      </x:c>
      <x:c r="F746" s="51" t="str">
        <x:v>A</x:v>
      </x:c>
      <x:c r="G746" s="51" t="str">
        <x:v>https://www.fdic.gov/resources/resolutions/bank-failures/in-brief/2025</x:v>
      </x:c>
    </x:row>
    <x:row r="747">
      <x:c r="A747" s="51" t="str">
        <x:v>SRC-743</x:v>
      </x:c>
      <x:c r="B747" s="51" t="str">
        <x:v>FDIC</x:v>
      </x:c>
      <x:c r="C747" s="51" t="str">
        <x:v>Bank Failures — 2026</x:v>
      </x:c>
      <x:c r="D747" s="51" t="str">
        <x:v>Current 2026</x:v>
      </x:c>
      <x:c r="E747" s="51" t="str">
        <x:v>Official failure registry</x:v>
      </x:c>
      <x:c r="F747" s="51" t="str">
        <x:v>A</x:v>
      </x:c>
      <x:c r="G747" s="51" t="str">
        <x:v>https://www.fdic.gov/resources/resolutions/bank-failures/in-brief/2026</x:v>
      </x:c>
    </x:row>
    <x:row r="748">
      <x:c r="A748" s="51" t="str">
        <x:v>SRC-744</x:v>
      </x:c>
      <x:c r="B748" s="51" t="str">
        <x:v>FDIC</x:v>
      </x:c>
      <x:c r="C748" s="51" t="str">
        <x:v>Depository Institution Resolutions Handbook</x:v>
      </x:c>
      <x:c r="D748" s="51" t="str">
        <x:v>2026</x:v>
      </x:c>
      <x:c r="E748" s="51" t="str">
        <x:v>Official resolution handbook</x:v>
      </x:c>
      <x:c r="F748" s="51" t="str">
        <x:v>A</x:v>
      </x:c>
      <x:c r="G748" s="51" t="str">
        <x:v>https://www.fdic.gov/bank-failures/resolutions-handbook.pdf</x:v>
      </x:c>
    </x:row>
    <x:row r="749">
      <x:c r="A749" s="51" t="str">
        <x:v>SRC-745</x:v>
      </x:c>
      <x:c r="B749" s="51" t="str">
        <x:v>FDIC</x:v>
      </x:c>
      <x:c r="C749" s="51" t="str">
        <x:v>Failing Bank Resolutions</x:v>
      </x:c>
      <x:c r="D749" s="51" t="str">
        <x:v>Current 2026</x:v>
      </x:c>
      <x:c r="E749" s="51" t="str">
        <x:v>Official resolution page</x:v>
      </x:c>
      <x:c r="F749" s="51" t="str">
        <x:v>A</x:v>
      </x:c>
      <x:c r="G749" s="51" t="str">
        <x:v>https://www.fdic.gov/resolutions</x:v>
      </x:c>
    </x:row>
    <x:row r="750">
      <x:c r="A750" s="51" t="str">
        <x:v>SRC-746</x:v>
      </x:c>
      <x:c r="B750" s="51" t="str">
        <x:v>FDIC</x:v>
      </x:c>
      <x:c r="C750" s="51" t="str">
        <x:v>Priority of Payments and Timing</x:v>
      </x:c>
      <x:c r="D750" s="51" t="str">
        <x:v>Current 2026</x:v>
      </x:c>
      <x:c r="E750" s="51" t="str">
        <x:v>Official receivership guidance</x:v>
      </x:c>
      <x:c r="F750" s="51" t="str">
        <x:v>A</x:v>
      </x:c>
      <x:c r="G750" s="51" t="str">
        <x:v>https://www.fdic.gov/bank-failures/priority-payments-and-timing</x:v>
      </x:c>
    </x:row>
    <x:row r="751">
      <x:c r="A751" s="51" t="str">
        <x:v>SRC-747</x:v>
      </x:c>
      <x:c r="B751" s="51" t="str">
        <x:v>FDIC</x:v>
      </x:c>
      <x:c r="C751" s="51" t="str">
        <x:v>Travis Hill — Chairman</x:v>
      </x:c>
      <x:c r="D751" s="51" t="str">
        <x:v>2026-06-25</x:v>
      </x:c>
      <x:c r="E751" s="51" t="str">
        <x:v>Official leadership page</x:v>
      </x:c>
      <x:c r="F751" s="51" t="str">
        <x:v>A</x:v>
      </x:c>
      <x:c r="G751" s="51" t="str">
        <x:v>https://www.fdic.gov/about/travis-hill</x:v>
      </x:c>
    </x:row>
    <x:row r="752">
      <x:c r="A752" s="51" t="str">
        <x:v>SRC-748</x:v>
      </x:c>
      <x:c r="B752" s="51" t="str">
        <x:v>FDIC</x:v>
      </x:c>
      <x:c r="C752" s="51" t="str">
        <x:v>Deposit Insurance Fund</x:v>
      </x:c>
      <x:c r="D752" s="51" t="str">
        <x:v>Current 2026</x:v>
      </x:c>
      <x:c r="E752" s="51" t="str">
        <x:v>Official fund overview</x:v>
      </x:c>
      <x:c r="F752" s="51" t="str">
        <x:v>A</x:v>
      </x:c>
      <x:c r="G752" s="51" t="str">
        <x:v>https://www.fdic.gov/resources/deposit-insurance/deposit-insurance-fund/</x:v>
      </x:c>
    </x:row>
    <x:row r="753">
      <x:c r="A753" s="51" t="str">
        <x:v>SRC-749</x:v>
      </x:c>
      <x:c r="B753" s="51" t="str">
        <x:v>FDIC</x:v>
      </x:c>
      <x:c r="C753" s="51" t="str">
        <x:v>Resolution Planning for Large Insured Depository Institutions</x:v>
      </x:c>
      <x:c r="D753" s="51" t="str">
        <x:v>2025-12-31</x:v>
      </x:c>
      <x:c r="E753" s="51" t="str">
        <x:v>Official supervisory update</x:v>
      </x:c>
      <x:c r="F753" s="51" t="str">
        <x:v>A</x:v>
      </x:c>
      <x:c r="G753" s="51" t="str">
        <x:v>https://www.fdic.gov/news/financial-institution-letters/2025/fdic-provides-update-idi-resolution-planning-large-banks</x:v>
      </x:c>
    </x:row>
    <x:row r="754">
      <x:c r="A754" s="51" t="str">
        <x:v>SRC-750</x:v>
      </x:c>
      <x:c r="B754" s="51" t="str">
        <x:v>Financial Stability Board</x:v>
      </x:c>
      <x:c r="C754" s="51" t="str">
        <x:v>2025 List of Global Systemically Important Banks</x:v>
      </x:c>
      <x:c r="D754" s="51" t="str">
        <x:v>2025-11-27</x:v>
      </x:c>
      <x:c r="E754" s="51" t="str">
        <x:v>Official systemic-bank list</x:v>
      </x:c>
      <x:c r="F754" s="51" t="str">
        <x:v>A</x:v>
      </x:c>
      <x:c r="G754" s="51" t="str">
        <x:v>https://www.fsb.org/2025/11/2025-list-of-global-systemically-important-banks-g-sibs/</x:v>
      </x:c>
    </x:row>
    <x:row r="755">
      <x:c r="A755" s="51" t="str">
        <x:v>SRC-751</x:v>
      </x:c>
      <x:c r="B755" s="51" t="str">
        <x:v>Financial Stability Board</x:v>
      </x:c>
      <x:c r="C755" s="51" t="str">
        <x:v>2025 Resolution Report</x:v>
      </x:c>
      <x:c r="D755" s="51" t="str">
        <x:v>2026-01-21</x:v>
      </x:c>
      <x:c r="E755" s="51" t="str">
        <x:v>Official resolution report</x:v>
      </x:c>
      <x:c r="F755" s="51" t="str">
        <x:v>A</x:v>
      </x:c>
      <x:c r="G755" s="51" t="str">
        <x:v>https://www.fsb.org/2026/01/2025-resolution-report-from-plans-to-practice-operationalising-resolution/</x:v>
      </x:c>
    </x:row>
    <x:row r="756">
      <x:c r="A756" s="51" t="str">
        <x:v>SRC-752</x:v>
      </x:c>
      <x:c r="B756" s="51" t="str">
        <x:v>Financial Stability Board</x:v>
      </x:c>
      <x:c r="C756" s="51" t="str">
        <x:v>Total Loss-Absorbing Capacity Principles and Term Sheet</x:v>
      </x:c>
      <x:c r="D756" s="51" t="str">
        <x:v>Current 2026</x:v>
      </x:c>
      <x:c r="E756" s="51" t="str">
        <x:v>Official global resolution standard</x:v>
      </x:c>
      <x:c r="F756" s="51" t="str">
        <x:v>A</x:v>
      </x:c>
      <x:c r="G756" s="51" t="str">
        <x:v>https://www.fsb.org/uploads/TLAC-Principles-and-Term-Sheet-for-publication-final.pdf</x:v>
      </x:c>
    </x:row>
    <x:row r="757">
      <x:c r="A757" s="51" t="str">
        <x:v>SRC-753</x:v>
      </x:c>
      <x:c r="B757" s="51" t="str">
        <x:v>Financial Stability Board</x:v>
      </x:c>
      <x:c r="C757" s="51" t="str">
        <x:v>Operationalisation of Transfer Tools</x:v>
      </x:c>
      <x:c r="D757" s="51" t="str">
        <x:v>2025-11-17</x:v>
      </x:c>
      <x:c r="E757" s="51" t="str">
        <x:v>Official resolution-practices paper</x:v>
      </x:c>
      <x:c r="F757" s="51" t="str">
        <x:v>A</x:v>
      </x:c>
      <x:c r="G757" s="51" t="str">
        <x:v>https://www.fsb.org/2025/11/practices-paper-on-the-operationalisation-of-transfer-tools/</x:v>
      </x:c>
    </x:row>
    <x:row r="758">
      <x:c r="A758" s="51" t="str">
        <x:v>SRC-754</x:v>
      </x:c>
      <x:c r="B758" s="51" t="str">
        <x:v>Basel Committee on Banking Supervision</x:v>
      </x:c>
      <x:c r="C758" s="51" t="str">
        <x:v>Basel Framework</x:v>
      </x:c>
      <x:c r="D758" s="51" t="str">
        <x:v>Current 2026</x:v>
      </x:c>
      <x:c r="E758" s="51" t="str">
        <x:v>Official global banking standard</x:v>
      </x:c>
      <x:c r="F758" s="51" t="str">
        <x:v>A</x:v>
      </x:c>
      <x:c r="G758" s="51" t="str">
        <x:v>https://www.bis.org/basel_framework/</x:v>
      </x:c>
    </x:row>
    <x:row r="759">
      <x:c r="A759" s="51" t="str">
        <x:v>SRC-755</x:v>
      </x:c>
      <x:c r="B759" s="51" t="str">
        <x:v>Basel Committee on Banking Supervision</x:v>
      </x:c>
      <x:c r="C759" s="51" t="str">
        <x:v>Liquidity Coverage Ratio</x:v>
      </x:c>
      <x:c r="D759" s="51" t="str">
        <x:v>Current 2026</x:v>
      </x:c>
      <x:c r="E759" s="51" t="str">
        <x:v>Official global liquidity standard</x:v>
      </x:c>
      <x:c r="F759" s="51" t="str">
        <x:v>A</x:v>
      </x:c>
      <x:c r="G759" s="51" t="str">
        <x:v>https://www.bis.org/publ/bcbs238.pdf</x:v>
      </x:c>
    </x:row>
    <x:row r="760">
      <x:c r="A760" s="51" t="str">
        <x:v>SRC-756</x:v>
      </x:c>
      <x:c r="B760" s="51" t="str">
        <x:v>Basel Committee on Banking Supervision</x:v>
      </x:c>
      <x:c r="C760" s="51" t="str">
        <x:v>Net Stable Funding Ratio</x:v>
      </x:c>
      <x:c r="D760" s="51" t="str">
        <x:v>Current 2026</x:v>
      </x:c>
      <x:c r="E760" s="51" t="str">
        <x:v>Official global funding standard</x:v>
      </x:c>
      <x:c r="F760" s="51" t="str">
        <x:v>A</x:v>
      </x:c>
      <x:c r="G760" s="51" t="str">
        <x:v>https://www.bis.org/bcbs/publ/d295.pdf</x:v>
      </x:c>
    </x:row>
    <x:row r="761">
      <x:c r="A761" s="51" t="str">
        <x:v>SRC-757</x:v>
      </x:c>
      <x:c r="B761" s="51" t="str">
        <x:v>Basel Committee on Banking Supervision</x:v>
      </x:c>
      <x:c r="C761" s="51" t="str">
        <x:v>Basel III Monitoring Results</x:v>
      </x:c>
      <x:c r="D761" s="51" t="str">
        <x:v>2025-10-23</x:v>
      </x:c>
      <x:c r="E761" s="51" t="str">
        <x:v>Official monitoring release</x:v>
      </x:c>
      <x:c r="F761" s="51" t="str">
        <x:v>A</x:v>
      </x:c>
      <x:c r="G761" s="51" t="str">
        <x:v>https://www.bis.org/press/p251023.htm</x:v>
      </x:c>
    </x:row>
    <x:row r="762">
      <x:c r="A762" s="51" t="str">
        <x:v>SRC-758</x:v>
      </x:c>
      <x:c r="B762" s="51" t="str">
        <x:v>Federal Reserve Board</x:v>
      </x:c>
      <x:c r="C762" s="51" t="str">
        <x:v>Monetary Policy Tools</x:v>
      </x:c>
      <x:c r="D762" s="51" t="str">
        <x:v>Updated 2026-07-09</x:v>
      </x:c>
      <x:c r="E762" s="51" t="str">
        <x:v>Official policy-tools page</x:v>
      </x:c>
      <x:c r="F762" s="51" t="str">
        <x:v>A</x:v>
      </x:c>
      <x:c r="G762" s="51" t="str">
        <x:v>https://www.federalreserve.gov/monetarypolicy.htm</x:v>
      </x:c>
    </x:row>
    <x:row r="763">
      <x:c r="A763" s="51" t="str">
        <x:v>SRC-759</x:v>
      </x:c>
      <x:c r="B763" s="51" t="str">
        <x:v>Federal Reserve Board</x:v>
      </x:c>
      <x:c r="C763" s="51" t="str">
        <x:v>Discount Window Lending</x:v>
      </x:c>
      <x:c r="D763" s="51" t="str">
        <x:v>Current 2026</x:v>
      </x:c>
      <x:c r="E763" s="51" t="str">
        <x:v>Official central-bank facility page</x:v>
      </x:c>
      <x:c r="F763" s="51" t="str">
        <x:v>A</x:v>
      </x:c>
      <x:c r="G763" s="51" t="str">
        <x:v>https://www.federalreserve.gov/regreform/discount-window.htm</x:v>
      </x:c>
    </x:row>
    <x:row r="764">
      <x:c r="A764" s="51" t="str">
        <x:v>SRC-760</x:v>
      </x:c>
      <x:c r="B764" s="51" t="str">
        <x:v>Federal Reserve Board</x:v>
      </x:c>
      <x:c r="C764" s="51" t="str">
        <x:v>Factors Affecting Reserve Balances — H.4.1</x:v>
      </x:c>
      <x:c r="D764" s="51" t="str">
        <x:v>2026-07-23</x:v>
      </x:c>
      <x:c r="E764" s="51" t="str">
        <x:v>Official central-bank balance-sheet release</x:v>
      </x:c>
      <x:c r="F764" s="51" t="str">
        <x:v>A</x:v>
      </x:c>
      <x:c r="G764" s="51" t="str">
        <x:v>https://www.federalreserve.gov/releases/h41/current/</x:v>
      </x:c>
    </x:row>
    <x:row r="765">
      <x:c r="A765" s="51" t="str">
        <x:v>SRC-761</x:v>
      </x:c>
      <x:c r="B765" s="51" t="str">
        <x:v>Federal Reserve Board</x:v>
      </x:c>
      <x:c r="C765" s="51" t="str">
        <x:v>Open Market Operations and Standing Repo Operations</x:v>
      </x:c>
      <x:c r="D765" s="51" t="str">
        <x:v>Updated 2026</x:v>
      </x:c>
      <x:c r="E765" s="51" t="str">
        <x:v>Official policy page</x:v>
      </x:c>
      <x:c r="F765" s="51" t="str">
        <x:v>A</x:v>
      </x:c>
      <x:c r="G765" s="51" t="str">
        <x:v>https://www.federalreserve.gov/monetarypolicy/openmarket.htm</x:v>
      </x:c>
    </x:row>
    <x:row r="766">
      <x:c r="A766" s="51" t="str">
        <x:v>SRC-762</x:v>
      </x:c>
      <x:c r="B766" s="51" t="str">
        <x:v>Federal Reserve Board</x:v>
      </x:c>
      <x:c r="C766" s="51" t="str">
        <x:v>Monetary Policy Report — July 2026</x:v>
      </x:c>
      <x:c r="D766" s="51" t="str">
        <x:v>2026-07-10</x:v>
      </x:c>
      <x:c r="E766" s="51" t="str">
        <x:v>Official monetary-policy report</x:v>
      </x:c>
      <x:c r="F766" s="51" t="str">
        <x:v>A</x:v>
      </x:c>
      <x:c r="G766" s="51" t="str">
        <x:v>https://www.federalreserve.gov/monetarypolicy/files/20260710_mprfullreport.pdf</x:v>
      </x:c>
    </x:row>
    <x:row r="767">
      <x:c r="A767" s="51" t="str">
        <x:v>SRC-763</x:v>
      </x:c>
      <x:c r="B767" s="51" t="str">
        <x:v>Federal Reserve Bank of New York</x:v>
      </x:c>
      <x:c r="C767" s="51" t="str">
        <x:v>2025 Financial Statements — Discount Window Collateral</x:v>
      </x:c>
      <x:c r="D767" s="51" t="str">
        <x:v>2026-03-12</x:v>
      </x:c>
      <x:c r="E767" s="51" t="str">
        <x:v>Official Reserve Bank financial statements</x:v>
      </x:c>
      <x:c r="F767" s="51" t="str">
        <x:v>A</x:v>
      </x:c>
      <x:c r="G767" s="51" t="str">
        <x:v>https://www.federalreserve.gov/aboutthefed/files/newyorkfinstmt2025.pdf</x:v>
      </x:c>
    </x:row>
    <x:row r="768">
      <x:c r="A768" s="51" t="str">
        <x:v>SRC-764</x:v>
      </x:c>
      <x:c r="B768" s="51" t="str">
        <x:v>Federal Home Loan Banks</x:v>
      </x:c>
      <x:c r="C768" s="51" t="str">
        <x:v>System Overview and 2025 Advances</x:v>
      </x:c>
      <x:c r="D768" s="51" t="str">
        <x:v>Current 2026</x:v>
      </x:c>
      <x:c r="E768" s="51" t="str">
        <x:v>Official system statistics</x:v>
      </x:c>
      <x:c r="F768" s="51" t="str">
        <x:v>A</x:v>
      </x:c>
      <x:c r="G768" s="51" t="str">
        <x:v>https://fhlbanks.com/</x:v>
      </x:c>
    </x:row>
    <x:row r="769">
      <x:c r="A769" s="51" t="str">
        <x:v>SRC-765</x:v>
      </x:c>
      <x:c r="B769" s="51" t="str">
        <x:v>Federal Home Loan Banks</x:v>
      </x:c>
      <x:c r="C769" s="51" t="str">
        <x:v>Liquidity Drives the FHLBanks' Mission</x:v>
      </x:c>
      <x:c r="D769" s="51" t="str">
        <x:v>2026-07</x:v>
      </x:c>
      <x:c r="E769" s="51" t="str">
        <x:v>Official policy brief</x:v>
      </x:c>
      <x:c r="F769" s="51" t="str">
        <x:v>A</x:v>
      </x:c>
      <x:c r="G769" s="51" t="str">
        <x:v>https://fhlbanks.com/policy-brief-liquidity-drives-the-fhlbanks-mission/</x:v>
      </x:c>
    </x:row>
    <x:row r="770">
      <x:c r="A770" s="51" t="str">
        <x:v>SRC-766</x:v>
      </x:c>
      <x:c r="B770" s="51" t="str">
        <x:v>SEC</x:v>
      </x:c>
      <x:c r="C770" s="51" t="str">
        <x:v>Treasury Clearing Implementation</x:v>
      </x:c>
      <x:c r="D770" s="51" t="str">
        <x:v>Updated 2026-07</x:v>
      </x:c>
      <x:c r="E770" s="51" t="str">
        <x:v>Official implementation page</x:v>
      </x:c>
      <x:c r="F770" s="51" t="str">
        <x:v>A</x:v>
      </x:c>
      <x:c r="G770" s="51" t="str">
        <x:v>https://www.sec.gov/featured-topics/treasury-clearing-implementation</x:v>
      </x:c>
    </x:row>
    <x:row r="771">
      <x:c r="A771" s="51" t="str">
        <x:v>SRC-767</x:v>
      </x:c>
      <x:c r="B771" s="51" t="str">
        <x:v>SEC</x:v>
      </x:c>
      <x:c r="C771" s="51" t="str">
        <x:v>Treasury Clearing Frequently Asked Questions</x:v>
      </x:c>
      <x:c r="D771" s="51" t="str">
        <x:v>Updated 2026-03-30</x:v>
      </x:c>
      <x:c r="E771" s="51" t="str">
        <x:v>Official staff guidance</x:v>
      </x:c>
      <x:c r="F771" s="51" t="str">
        <x:v>A</x:v>
      </x:c>
      <x:c r="G771" s="51" t="str">
        <x:v>https://www.sec.gov/rules-regulations/staff-guidance/trading-markets-frequently-asked-questions/frequently-asked-questions-treasury-clearing-093025</x:v>
      </x:c>
    </x:row>
    <x:row r="772">
      <x:c r="A772" s="51" t="str">
        <x:v>SRC-768</x:v>
      </x:c>
      <x:c r="B772" s="51" t="str">
        <x:v>SEC</x:v>
      </x:c>
      <x:c r="C772" s="51" t="str">
        <x:v>Money Market Fund Reforms</x:v>
      </x:c>
      <x:c r="D772" s="51" t="str">
        <x:v>Updated 2025-05-20</x:v>
      </x:c>
      <x:c r="E772" s="51" t="str">
        <x:v>Official rulemaking page</x:v>
      </x:c>
      <x:c r="F772" s="51" t="str">
        <x:v>A</x:v>
      </x:c>
      <x:c r="G772" s="51" t="str">
        <x:v>https://www.sec.gov/rules-regulations/2023/07/s7-22-21</x:v>
      </x:c>
    </x:row>
    <x:row r="773">
      <x:c r="A773" s="51" t="str">
        <x:v>SRC-769</x:v>
      </x:c>
      <x:c r="B773" s="51" t="str">
        <x:v>Investment Company Institute</x:v>
      </x:c>
      <x:c r="C773" s="51" t="str">
        <x:v>Money Market Fund Assets</x:v>
      </x:c>
      <x:c r="D773" s="51" t="str">
        <x:v>2026-07-23</x:v>
      </x:c>
      <x:c r="E773" s="51" t="str">
        <x:v>Industry statistical release</x:v>
      </x:c>
      <x:c r="F773" s="51" t="str">
        <x:v>B</x:v>
      </x:c>
      <x:c r="G773" s="51" t="str">
        <x:v>https://www.ici.org/research/stats/mmf</x:v>
      </x:c>
    </x:row>
    <x:row r="774">
      <x:c r="A774" s="51" t="str">
        <x:v>SRC-770</x:v>
      </x:c>
      <x:c r="B774" s="51" t="str">
        <x:v>Office of Financial Research</x:v>
      </x:c>
      <x:c r="C774" s="51" t="str">
        <x:v>Sizing the U.S. Repo Market</x:v>
      </x:c>
      <x:c r="D774" s="51" t="str">
        <x:v>2025-12-04</x:v>
      </x:c>
      <x:c r="E774" s="51" t="str">
        <x:v>Official public research</x:v>
      </x:c>
      <x:c r="F774" s="51" t="str">
        <x:v>A</x:v>
      </x:c>
      <x:c r="G774" s="51" t="str">
        <x:v>https://www.financialresearch.gov/the-ofr-blog/2025/12/04/sizing-us-repo-market/</x:v>
      </x:c>
    </x:row>
    <x:row r="775">
      <x:c r="A775" s="51" t="str">
        <x:v>SRC-771</x:v>
      </x:c>
      <x:c r="B775" s="51" t="str">
        <x:v>Office of Financial Research</x:v>
      </x:c>
      <x:c r="C775" s="51" t="str">
        <x:v>How Will Central Clearing Impact the Repo Market?</x:v>
      </x:c>
      <x:c r="D775" s="51" t="str">
        <x:v>2026-01-29</x:v>
      </x:c>
      <x:c r="E775" s="51" t="str">
        <x:v>Official public research</x:v>
      </x:c>
      <x:c r="F775" s="51" t="str">
        <x:v>A</x:v>
      </x:c>
      <x:c r="G775" s="51" t="str">
        <x:v>https://www.financialresearch.gov/the-ofr-blog/2026/01/29/central-clearing-impact-repo-market/</x:v>
      </x:c>
    </x:row>
    <x:row r="776">
      <x:c r="A776" s="51" t="str">
        <x:v>SRC-772</x:v>
      </x:c>
      <x:c r="B776" s="51" t="str">
        <x:v>Office of Financial Research</x:v>
      </x:c>
      <x:c r="C776" s="51" t="str">
        <x:v>Sizing the U.S. Cross-Border Repo Market</x:v>
      </x:c>
      <x:c r="D776" s="51" t="str">
        <x:v>2026-04-09</x:v>
      </x:c>
      <x:c r="E776" s="51" t="str">
        <x:v>Official public research</x:v>
      </x:c>
      <x:c r="F776" s="51" t="str">
        <x:v>A</x:v>
      </x:c>
      <x:c r="G776" s="51" t="str">
        <x:v>https://www.financialresearch.gov/the-ofr-blog/2026/04/09/sizing-the-us-cross-border-repo-market/</x:v>
      </x:c>
    </x:row>
    <x:row r="777">
      <x:c r="A777" s="51" t="str">
        <x:v>SRC-773</x:v>
      </x:c>
      <x:c r="B777" s="51" t="str">
        <x:v>Office of Financial Research</x:v>
      </x:c>
      <x:c r="C777" s="51" t="str">
        <x:v>Who Participates in Repo?</x:v>
      </x:c>
      <x:c r="D777" s="51" t="str">
        <x:v>2026</x:v>
      </x:c>
      <x:c r="E777" s="51" t="str">
        <x:v>Official public research brief</x:v>
      </x:c>
      <x:c r="F777" s="51" t="str">
        <x:v>A</x:v>
      </x:c>
      <x:c r="G777" s="51" t="str">
        <x:v>https://www.financialresearch.gov/briefs/files/OFRBrief-26-03-who-participates-in-repo.pdf</x:v>
      </x:c>
    </x:row>
    <x:row r="778">
      <x:c r="A778" s="51" t="str">
        <x:v>SRC-774</x:v>
      </x:c>
      <x:c r="B778" s="51" t="str">
        <x:v>Office of Financial Research</x:v>
      </x:c>
      <x:c r="C778" s="51" t="str">
        <x:v>FICC Sponsored Repo Service Volumes</x:v>
      </x:c>
      <x:c r="D778" s="51" t="str">
        <x:v>Current 2026</x:v>
      </x:c>
      <x:c r="E778" s="51" t="str">
        <x:v>Official public dataset</x:v>
      </x:c>
      <x:c r="F778" s="51" t="str">
        <x:v>A</x:v>
      </x:c>
      <x:c r="G778" s="51" t="str">
        <x:v>https://www.financialresearch.gov/hedge-fund-monitor/datasets/ficc/</x:v>
      </x:c>
    </x:row>
    <x:row r="779">
      <x:c r="A779" s="51" t="str">
        <x:v>SRC-775</x:v>
      </x:c>
      <x:c r="B779" s="51" t="str">
        <x:v>Office of Financial Research</x:v>
      </x:c>
      <x:c r="C779" s="51" t="str">
        <x:v>Primary Dealer Reverse Repo and Securities Borrowing</x:v>
      </x:c>
      <x:c r="D779" s="51" t="str">
        <x:v>Current 2026</x:v>
      </x:c>
      <x:c r="E779" s="51" t="str">
        <x:v>Official public market monitor</x:v>
      </x:c>
      <x:c r="F779" s="51" t="str">
        <x:v>A</x:v>
      </x:c>
      <x:c r="G779" s="51" t="str">
        <x:v>https://www.financialresearch.gov/short-term-funding-monitor/market-digests/tenor/chart-22/</x:v>
      </x:c>
    </x:row>
    <x:row r="780">
      <x:c r="A780" s="51" t="str">
        <x:v>SRC-776</x:v>
      </x:c>
      <x:c r="B780" s="51" t="str">
        <x:v>Office of Financial Research</x:v>
      </x:c>
      <x:c r="C780" s="51" t="str">
        <x:v>Money Market Fund Monitor — Shift to Cleared Repo Lending</x:v>
      </x:c>
      <x:c r="D780" s="51" t="str">
        <x:v>2025-08-28</x:v>
      </x:c>
      <x:c r="E780" s="51" t="str">
        <x:v>Official public research</x:v>
      </x:c>
      <x:c r="F780" s="51" t="str">
        <x:v>A</x:v>
      </x:c>
      <x:c r="G780" s="51" t="str">
        <x:v>https://www.financialresearch.gov/the-ofr-blog/</x:v>
      </x:c>
    </x:row>
    <x:row r="781">
      <x:c r="A781" s="51" t="str">
        <x:v>SRC-777</x:v>
      </x:c>
      <x:c r="B781" s="51" t="str">
        <x:v>Fixed Income Clearing Corporation</x:v>
      </x:c>
      <x:c r="C781" s="51" t="str">
        <x:v>2025 Financial Statements</x:v>
      </x:c>
      <x:c r="D781" s="51" t="str">
        <x:v>2026-02-26</x:v>
      </x:c>
      <x:c r="E781" s="51" t="str">
        <x:v>Official audited financial statements</x:v>
      </x:c>
      <x:c r="F781" s="51" t="str">
        <x:v>A</x:v>
      </x:c>
      <x:c r="G781" s="51" t="str">
        <x:v>https://www.dtcc.com/-/media/Files/Downloads/legal/financials/2025/FICC-Financial-Statements-Annual-2025.pdf</x:v>
      </x:c>
    </x:row>
    <x:row r="782">
      <x:c r="A782" s="51" t="str">
        <x:v>SRC-778</x:v>
      </x:c>
      <x:c r="B782" s="51" t="str">
        <x:v>DTCC</x:v>
      </x:c>
      <x:c r="C782" s="51" t="str">
        <x:v>FICC Processes $11.8 Trillion in Daily Volume</x:v>
      </x:c>
      <x:c r="D782" s="51" t="str">
        <x:v>2025-07-02</x:v>
      </x:c>
      <x:c r="E782" s="51" t="str">
        <x:v>Official market-infrastructure release</x:v>
      </x:c>
      <x:c r="F782" s="51" t="str">
        <x:v>A</x:v>
      </x:c>
      <x:c r="G782" s="51" t="str">
        <x:v>https://www.dtcc.com/news/2025/july/02/ficc-successfully-processes</x:v>
      </x:c>
    </x:row>
    <x:row r="783">
      <x:c r="A783" s="51" t="str">
        <x:v>SRC-779</x:v>
      </x:c>
      <x:c r="B783" s="51" t="str">
        <x:v>DTCC</x:v>
      </x:c>
      <x:c r="C783" s="51" t="str">
        <x:v>FICC Treasury Clearing Capabilities</x:v>
      </x:c>
      <x:c r="D783" s="51" t="str">
        <x:v>2025-03-25</x:v>
      </x:c>
      <x:c r="E783" s="51" t="str">
        <x:v>Official market-infrastructure release</x:v>
      </x:c>
      <x:c r="F783" s="51" t="str">
        <x:v>A</x:v>
      </x:c>
      <x:c r="G783" s="51" t="str">
        <x:v>https://www.dtcc.com/news/2025/march/25/dtccs-ficc-now-live-with-new-treasury-clearing-capabilities</x:v>
      </x:c>
    </x:row>
    <x:row r="784">
      <x:c r="A784" s="51" t="str">
        <x:v>SRC-780</x:v>
      </x:c>
      <x:c r="B784" s="51" t="str">
        <x:v>FICC</x:v>
      </x:c>
      <x:c r="C784" s="51" t="str">
        <x:v>Q1 2026 CPMI-IOSCO Public Quantitative Disclosures</x:v>
      </x:c>
      <x:c r="D784" s="51" t="str">
        <x:v>2026-Q1</x:v>
      </x:c>
      <x:c r="E784" s="51" t="str">
        <x:v>Official clearing disclosure</x:v>
      </x:c>
      <x:c r="F784" s="51" t="str">
        <x:v>A</x:v>
      </x:c>
      <x:c r="G784" s="51" t="str">
        <x:v>https://www.dtcc.com/-/media/Files/Downloads/legal/policy-and-compliance/CPMI-IOSCO-Public-Quantitative-Disclosures-Q1-2026.pdf</x:v>
      </x:c>
    </x:row>
    <x:row r="785">
      <x:c r="A785" s="51" t="str">
        <x:v>SRC-781</x:v>
      </x:c>
      <x:c r="B785" s="51" t="str">
        <x:v>FICC</x:v>
      </x:c>
      <x:c r="C785" s="51" t="str">
        <x:v>Disclosure Framework — Q1 2026</x:v>
      </x:c>
      <x:c r="D785" s="51" t="str">
        <x:v>2026-03-31</x:v>
      </x:c>
      <x:c r="E785" s="51" t="str">
        <x:v>Official clearing framework</x:v>
      </x:c>
      <x:c r="F785" s="51" t="str">
        <x:v>A</x:v>
      </x:c>
      <x:c r="G785" s="51" t="str">
        <x:v>https://www.dtcc.com/-/media/Files/Downloads/legal/policy-and-compliance/FICC-DISCLOSURE-FRAMEWORK-2026-Q1-Marked</x:v>
      </x:c>
    </x:row>
    <x:row r="786">
      <x:c r="A786" s="51" t="str">
        <x:v>SRC-782</x:v>
      </x:c>
      <x:c r="B786" s="51" t="str">
        <x:v>Federal Reserve Board</x:v>
      </x:c>
      <x:c r="C786" s="51" t="str">
        <x:v>Insights from MMF Portfolio Allocations amid Balance Sheet Normalization</x:v>
      </x:c>
      <x:c r="D786" s="51" t="str">
        <x:v>2025-03-03</x:v>
      </x:c>
      <x:c r="E786" s="51" t="str">
        <x:v>Official central-bank research note</x:v>
      </x:c>
      <x:c r="F786" s="51" t="str">
        <x:v>A</x:v>
      </x:c>
      <x:c r="G786" s="51" t="str">
        <x:v>https://www.federalreserve.gov/econres/notes/feds-notes/insights-from-mmf-portfolio-allocations-amid-balance-sheet-normalization-20250303.html</x:v>
      </x:c>
    </x:row>
    <x:row r="787">
      <x:c r="A787" s="51" t="str">
        <x:v>SRC-783</x:v>
      </x:c>
      <x:c r="B787" s="51" t="str">
        <x:v>Federal Reserve Board</x:v>
      </x:c>
      <x:c r="C787" s="51" t="str">
        <x:v>Money Market Fund Repo and the ON RRP Facility</x:v>
      </x:c>
      <x:c r="D787" s="51" t="str">
        <x:v>2023-12-15</x:v>
      </x:c>
      <x:c r="E787" s="51" t="str">
        <x:v>Official central-bank research note</x:v>
      </x:c>
      <x:c r="F787" s="51" t="str">
        <x:v>A</x:v>
      </x:c>
      <x:c r="G787" s="51" t="str">
        <x:v>https://www.federalreserve.gov/econres/notes/feds-notes/money-market-fund-repo-and-the-on-rrp-facility-20231215.html</x:v>
      </x:c>
    </x:row>
    <x:row r="788">
      <x:c r="A788" s="51" t="str">
        <x:v>SRC-784</x:v>
      </x:c>
      <x:c r="B788" s="51" t="str">
        <x:v>BNY</x:v>
      </x:c>
      <x:c r="C788" s="51" t="str">
        <x:v>2025 Form 10-K</x:v>
      </x:c>
      <x:c r="D788" s="51" t="str">
        <x:v>2026</x:v>
      </x:c>
      <x:c r="E788" s="51" t="str">
        <x:v>Official SEC annual filing</x:v>
      </x:c>
      <x:c r="F788" s="51" t="str">
        <x:v>A</x:v>
      </x:c>
      <x:c r="G788" s="51" t="str">
        <x:v>https://www.sec.gov/Archives/edgar/data/1390777/000139077726000033/bk-20251231.htm</x:v>
      </x:c>
    </x:row>
    <x:row r="789">
      <x:c r="A789" s="51" t="str">
        <x:v>SRC-785</x:v>
      </x:c>
      <x:c r="B789" s="51" t="str">
        <x:v>BNY</x:v>
      </x:c>
      <x:c r="C789" s="51" t="str">
        <x:v>2025 Resolution Plan Public Section</x:v>
      </x:c>
      <x:c r="D789" s="51" t="str">
        <x:v>2025-07-01</x:v>
      </x:c>
      <x:c r="E789" s="51" t="str">
        <x:v>Official resolution-plan filing</x:v>
      </x:c>
      <x:c r="F789" s="51" t="str">
        <x:v>A</x:v>
      </x:c>
      <x:c r="G789" s="51" t="str">
        <x:v>https://www.federalreserve.gov/supervisionreg/resolution-plans/bk-ny-mellon-3g-20250701.pdf</x:v>
      </x:c>
    </x:row>
    <x:row r="790">
      <x:c r="A790" s="51" t="str">
        <x:v>SRC-786</x:v>
      </x:c>
      <x:c r="B790" s="51" t="str">
        <x:v>BNY</x:v>
      </x:c>
      <x:c r="C790" s="51" t="str">
        <x:v>Collateral Management Platform Metrics</x:v>
      </x:c>
      <x:c r="D790" s="51" t="str">
        <x:v>Current 2026</x:v>
      </x:c>
      <x:c r="E790" s="51" t="str">
        <x:v>Official product page</x:v>
      </x:c>
      <x:c r="F790" s="51" t="str">
        <x:v>B</x:v>
      </x:c>
      <x:c r="G790" s="51" t="str">
        <x:v>https://bk.bnymellon.com/CCM-ECPOConnect.html</x:v>
      </x:c>
    </x:row>
    <x:row r="791">
      <x:c r="A791" s="51" t="str">
        <x:v>SRC-787</x:v>
      </x:c>
      <x:c r="B791" s="51" t="str">
        <x:v>Federal Reserve Board</x:v>
      </x:c>
      <x:c r="C791" s="51" t="str">
        <x:v>Rewiring Repo</x:v>
      </x:c>
      <x:c r="D791" s="51" t="str">
        <x:v>2025</x:v>
      </x:c>
      <x:c r="E791" s="51" t="str">
        <x:v>Official research paper</x:v>
      </x:c>
      <x:c r="F791" s="51" t="str">
        <x:v>A</x:v>
      </x:c>
      <x:c r="G791" s="51" t="str">
        <x:v>https://www.federalreserve.gov/econres/feds/files/2025013pap.pdf</x:v>
      </x:c>
    </x:row>
    <x:row r="792">
      <x:c r="A792" s="51" t="str">
        <x:v>SRC-788</x:v>
      </x:c>
      <x:c r="B792" s="51" t="str">
        <x:v>Federal Reserve Board</x:v>
      </x:c>
      <x:c r="C792" s="51" t="str">
        <x:v>Proportionate Margining for Repo Transactions</x:v>
      </x:c>
      <x:c r="D792" s="51" t="str">
        <x:v>2025-02-14</x:v>
      </x:c>
      <x:c r="E792" s="51" t="str">
        <x:v>Official research note</x:v>
      </x:c>
      <x:c r="F792" s="51" t="str">
        <x:v>A</x:v>
      </x:c>
      <x:c r="G792" s="51" t="str">
        <x:v>https://www.federalreserve.gov/econres/notes/feds-notes/proportionate-margining-for-repo-transactions-20250214.html</x:v>
      </x:c>
    </x:row>
    <x:row r="793">
      <x:c r="A793" s="51" t="str">
        <x:v>SRC-789</x:v>
      </x:c>
      <x:c r="B793" s="51" t="str">
        <x:v>Office of Financial Research</x:v>
      </x:c>
      <x:c r="C793" s="51" t="str">
        <x:v>State of Banks' Unrealized Securities Losses</x:v>
      </x:c>
      <x:c r="D793" s="51" t="str">
        <x:v>2025-05-15</x:v>
      </x:c>
      <x:c r="E793" s="51" t="str">
        <x:v>Official public research</x:v>
      </x:c>
      <x:c r="F793" s="51" t="str">
        <x:v>A</x:v>
      </x:c>
      <x:c r="G793" s="51" t="str">
        <x:v>https://www.financialresearch.gov/the-ofr-blog/2025/05/15/the-state-of-banks-unrealized-securities-losses/</x:v>
      </x:c>
    </x:row>
    <x:row r="794">
      <x:c r="A794" s="51" t="str">
        <x:v>SRC-790</x:v>
      </x:c>
      <x:c r="B794" s="51" t="str">
        <x:v>Federal Reserve Board</x:v>
      </x:c>
      <x:c r="C794" s="51" t="str">
        <x:v>The Central Bank Balance-Sheet Trilemma</x:v>
      </x:c>
      <x:c r="D794" s="51" t="str">
        <x:v>2026-01-14</x:v>
      </x:c>
      <x:c r="E794" s="51" t="str">
        <x:v>Official central-bank research note</x:v>
      </x:c>
      <x:c r="F794" s="51" t="str">
        <x:v>A</x:v>
      </x:c>
      <x:c r="G794" s="51" t="str">
        <x:v>https://www.federalreserve.gov/econres/notes/feds-notes/the-central-bank-balance-sheet-trilemma-20260114.html</x:v>
      </x:c>
    </x:row>
    <x:row r="795">
      <x:c r="A795" s="51" t="str">
        <x:v>SRC-791</x:v>
      </x:c>
      <x:c r="B795" s="51" t="str">
        <x:v>Federal Reserve Board</x:v>
      </x:c>
      <x:c r="C795" s="51" t="str">
        <x:v>The Federal Reserve's Balance Sheet and the Repo Market</x:v>
      </x:c>
      <x:c r="D795" s="51" t="str">
        <x:v>2026</x:v>
      </x:c>
      <x:c r="E795" s="51" t="str">
        <x:v>Official research paper</x:v>
      </x:c>
      <x:c r="F795" s="51" t="str">
        <x:v>A</x:v>
      </x:c>
      <x:c r="G795" s="51" t="str">
        <x:v>https://www.federalreserve.gov/econres/feds/files/2026041pap.pdf</x:v>
      </x:c>
    </x:row>
    <x:row r="796">
      <x:c r="A796" s="51" t="str">
        <x:v>SRC-792</x:v>
      </x:c>
      <x:c r="B796" s="51" t="str">
        <x:v>Federal Reserve Board</x:v>
      </x:c>
      <x:c r="C796" s="51" t="str">
        <x:v>The Fed Explained</x:v>
      </x:c>
      <x:c r="D796" s="51" t="str">
        <x:v>Current 2026</x:v>
      </x:c>
      <x:c r="E796" s="51" t="str">
        <x:v>Official public explainer</x:v>
      </x:c>
      <x:c r="F796" s="51" t="str">
        <x:v>A</x:v>
      </x:c>
      <x:c r="G796" s="51" t="str">
        <x:v>https://www.federalreserve.gov/aboutthefed/files/the-fed-explained.pdf</x:v>
      </x:c>
    </x:row>
    <x:row r="797">
      <x:c r="A797" s="51" t="str">
        <x:v>SRC-793</x:v>
      </x:c>
      <x:c r="B797" s="51" t="str">
        <x:v>FDIC</x:v>
      </x:c>
      <x:c r="C797" s="51" t="str">
        <x:v>Deposit Insurance Fund Management</x:v>
      </x:c>
      <x:c r="D797" s="51" t="str">
        <x:v>Current 2026</x:v>
      </x:c>
      <x:c r="E797" s="51" t="str">
        <x:v>Official fund-management page</x:v>
      </x:c>
      <x:c r="F797" s="51" t="str">
        <x:v>A</x:v>
      </x:c>
      <x:c r="G797" s="51" t="str">
        <x:v>https://www.fdic.gov/resources/deposit-insurance/deposit-insurance-fund/dif-fund-management.html</x:v>
      </x:c>
    </x:row>
    <x:row r="798">
      <x:c r="A798" s="51" t="str">
        <x:v>SRC-794</x:v>
      </x:c>
      <x:c r="B798" s="51" t="str">
        <x:v>FDIC</x:v>
      </x:c>
      <x:c r="C798" s="51" t="str">
        <x:v>When a Bank Fails</x:v>
      </x:c>
      <x:c r="D798" s="51" t="str">
        <x:v>Current 2026</x:v>
      </x:c>
      <x:c r="E798" s="51" t="str">
        <x:v>Official depositor and creditor guidance</x:v>
      </x:c>
      <x:c r="F798" s="51" t="str">
        <x:v>A</x:v>
      </x:c>
      <x:c r="G798" s="51" t="str">
        <x:v>https://www.fdic.gov/bank-failures/when-bank-fails-facts-depositors-creditors-and-borrowers</x:v>
      </x:c>
    </x:row>
    <x:row r="799">
      <x:c r="A799" s="51" t="str">
        <x:v>SRC-795</x:v>
      </x:c>
      <x:c r="B799" s="51" t="str">
        <x:v>FDIC</x:v>
      </x:c>
      <x:c r="C799" s="51" t="str">
        <x:v>Systemic Risk Exception and Resolution Transparency</x:v>
      </x:c>
      <x:c r="D799" s="51" t="str">
        <x:v>Current 2026</x:v>
      </x:c>
      <x:c r="E799" s="51" t="str">
        <x:v>Official legal and transparency page</x:v>
      </x:c>
      <x:c r="F799" s="51" t="str">
        <x:v>A</x:v>
      </x:c>
      <x:c r="G799" s="51" t="str">
        <x:v>https://www.fdic.gov/transparency/resolutions.html</x:v>
      </x:c>
    </x:row>
    <x:row r="800">
      <x:c r="A800" s="51" t="str">
        <x:v>SRC-796</x:v>
      </x:c>
      <x:c r="B800" s="51" t="str">
        <x:v>Financial Stability Board</x:v>
      </x:c>
      <x:c r="C800" s="51" t="str">
        <x:v>2025 G-SIB List Release</x:v>
      </x:c>
      <x:c r="D800" s="51" t="str">
        <x:v>2025-11-27</x:v>
      </x:c>
      <x:c r="E800" s="51" t="str">
        <x:v>Official systemic-bank release</x:v>
      </x:c>
      <x:c r="F800" s="51" t="str">
        <x:v>A</x:v>
      </x:c>
      <x:c r="G800" s="51" t="str">
        <x:v>https://www.fsb.org/2025/11/fsb-publishes-2025-g-sib-list/</x:v>
      </x:c>
    </x:row>
    <x:row r="801">
      <x:c r="A801" s="51" t="str">
        <x:v>SRC-797</x:v>
      </x:c>
      <x:c r="B801" s="51" t="str">
        <x:v>Financial Stability Board</x:v>
      </x:c>
      <x:c r="C801" s="51" t="str">
        <x:v>Resolution Frameworks — 2026 Work Programme</x:v>
      </x:c>
      <x:c r="D801" s="51" t="str">
        <x:v>2026-01-21</x:v>
      </x:c>
      <x:c r="E801" s="51" t="str">
        <x:v>Official resolution release</x:v>
      </x:c>
      <x:c r="F801" s="51" t="str">
        <x:v>A</x:v>
      </x:c>
      <x:c r="G801" s="51" t="str">
        <x:v>https://www.fsb.org/2026/01/fsb-outlines-further-work-to-make-resolution-frameworks-operational/</x:v>
      </x:c>
    </x:row>
    <x:row r="802">
      <x:c r="A802" s="51" t="str">
        <x:v>SRC-798</x:v>
      </x:c>
      <x:c r="B802" s="51" t="str">
        <x:v>Federal Reserve Board</x:v>
      </x:c>
      <x:c r="C802" s="51" t="str">
        <x:v>Senior Financial Officer Survey</x:v>
      </x:c>
      <x:c r="D802" s="51" t="str">
        <x:v>Current 2026</x:v>
      </x:c>
      <x:c r="E802" s="51" t="str">
        <x:v>Official bank-liquidity survey portal</x:v>
      </x:c>
      <x:c r="F802" s="51" t="str">
        <x:v>A</x:v>
      </x:c>
      <x:c r="G802" s="51" t="str">
        <x:v>https://www.federalreserve.gov/data/sfos/sfos-announcements.htm</x:v>
      </x:c>
    </x:row>
    <x:row r="803">
      <x:c r="A803" s="51" t="str">
        <x:v>SRC-799</x:v>
      </x:c>
      <x:c r="B803" s="51" t="str">
        <x:v>Office of Financial Research</x:v>
      </x:c>
      <x:c r="C803" s="51" t="str">
        <x:v>Repo Transaction Volumes by Venue</x:v>
      </x:c>
      <x:c r="D803" s="51" t="str">
        <x:v>Current 2026</x:v>
      </x:c>
      <x:c r="E803" s="51" t="str">
        <x:v>Official short-term funding monitor</x:v>
      </x:c>
      <x:c r="F803" s="51" t="str">
        <x:v>A</x:v>
      </x:c>
      <x:c r="G803" s="51" t="str">
        <x:v>https://www.financialresearch.gov/short-term-funding-monitor/market-digests/volume/chart-26/</x:v>
      </x:c>
    </x:row>
    <x:row r="804">
      <x:c r="A804" s="51" t="str">
        <x:v>SRC-800</x:v>
      </x:c>
      <x:c r="B804" s="51" t="str">
        <x:v>Federal Reserve Board</x:v>
      </x:c>
      <x:c r="C804" s="51" t="str">
        <x:v>H.15 Selected Interest Rates</x:v>
      </x:c>
      <x:c r="D804" s="51" t="str">
        <x:v>2026-07-24</x:v>
      </x:c>
      <x:c r="E804" s="51" t="str">
        <x:v>Official rates release</x:v>
      </x:c>
      <x:c r="F804" s="51" t="str">
        <x:v>A</x:v>
      </x:c>
      <x:c r="G804" s="51" t="str">
        <x:v>https://www.federalreserve.gov/releases/h15/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49058893a2c43c5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5" hidden="0" customWidth="1"/>
    <x:col min="3" max="3" width="105" hidden="0" customWidth="1"/>
    <x:col min="4" max="4" width="14" hidden="0" customWidth="1"/>
    <x:col min="5" max="5" width="21" hidden="0" customWidth="1"/>
    <x:col min="6" max="6" width="53" hidden="0" customWidth="1"/>
    <x:col min="7" max="7" width="53" hidden="0" customWidth="1"/>
  </x:cols>
  <x:sheetData>
    <x:row r="1" ht="31" customHeight="1">
      <x:c r="A1" s="5" t="str">
        <x:v>Open Verification and Expansion Queue — V17</x:v>
      </x:c>
    </x:row>
    <x:row r="2">
      <x:c r="A2" s="12" t="str">
        <x:v>Version 17, verified through 2026-07-27. Deposits, collateral, liquidity, solvency, insurance and final loss remain separate.</x:v>
      </x:c>
    </x:row>
    <x:row r="4">
      <x:c r="A4" s="50" t="str">
        <x:v>Queue ID</x:v>
      </x:c>
      <x:c r="B4" s="50" t="str">
        <x:v>Domain</x:v>
      </x:c>
      <x:c r="C4" s="50" t="str">
        <x:v>Task</x:v>
      </x:c>
      <x:c r="D4" s="50" t="str">
        <x:v>Priority</x:v>
      </x:c>
      <x:c r="E4" s="50" t="str">
        <x:v>Status</x:v>
      </x:c>
      <x:c r="F4" s="50" t="str">
        <x:v>Upgrade target</x:v>
      </x:c>
      <x:c r="G4" s="50" t="str">
        <x:v>Primary source</x:v>
      </x:c>
    </x:row>
    <x:row r="5">
      <x:c r="A5" s="51" t="str">
        <x:v>RQ-001</x:v>
      </x:c>
      <x:c r="B5" s="51" t="str">
        <x:v>DOJ Epstein library</x:v>
      </x:c>
      <x:c r="C5" s="51" t="str">
        <x:v>Run entity extraction across the complete DOJ library; distinguish mention, correspondence, meeting, payment, travel and allegation.</x:v>
      </x:c>
      <x:c r="D5" s="51" t="str">
        <x:v>Critical</x:v>
      </x:c>
      <x:c r="E5" s="51" t="str">
        <x:v>Not complete</x:v>
      </x:c>
      <x:c r="F5" s="51" t="str">
        <x:v>APP/E2/E1 rows</x:v>
      </x:c>
      <x:c r="G5" s="51" t="str">
        <x:v>SRC-056</x:v>
      </x:c>
    </x:row>
    <x:row r="6">
      <x:c r="A6" s="51" t="str">
        <x:v>RQ-002</x:v>
      </x:c>
      <x:c r="B6" s="51" t="str">
        <x:v>Trump–Epstein</x:v>
      </x:c>
      <x:c r="C6" s="51" t="str">
        <x:v>Link every flight-log entry, photograph, event, quotation and reported rupture date to primary documents.</x:v>
      </x:c>
      <x:c r="D6" s="51" t="str">
        <x:v>Critical</x:v>
      </x:c>
      <x:c r="E6" s="51" t="str">
        <x:v>Partial</x:v>
      </x:c>
      <x:c r="F6" s="51" t="str">
        <x:v>TRP-001–TRP-004</x:v>
      </x:c>
      <x:c r="G6" s="51" t="str">
        <x:v>SRC-055; SRC-056</x:v>
      </x:c>
    </x:row>
    <x:row r="7">
      <x:c r="A7" s="51" t="str">
        <x:v>RQ-003</x:v>
      </x:c>
      <x:c r="B7" s="51" t="str">
        <x:v>World Liberty / UAE</x:v>
      </x:c>
      <x:c r="C7" s="51" t="str">
        <x:v>Identify beneficial owner, board rights and transaction documents for the reported 49% Abu Dhabi-linked stake.</x:v>
      </x:c>
      <x:c r="D7" s="51" t="str">
        <x:v>Critical</x:v>
      </x:c>
      <x:c r="E7" s="51" t="str">
        <x:v>Open</x:v>
      </x:c>
      <x:c r="F7" s="51" t="str">
        <x:v>CRY-005</x:v>
      </x:c>
      <x:c r="G7" s="51" t="str">
        <x:v>SRC-072</x:v>
      </x:c>
    </x:row>
    <x:row r="8">
      <x:c r="A8" s="51" t="str">
        <x:v>RQ-004</x:v>
      </x:c>
      <x:c r="B8" s="51" t="str">
        <x:v>World Liberty / MGX / Binance</x:v>
      </x:c>
      <x:c r="C8" s="51" t="str">
        <x:v>Confirm closing, reserve movements, stablecoin mint/redemption flows and fees associated with the $2bn USD1 transaction.</x:v>
      </x:c>
      <x:c r="D8" s="51" t="str">
        <x:v>Critical</x:v>
      </x:c>
      <x:c r="E8" s="51" t="str">
        <x:v>Open</x:v>
      </x:c>
      <x:c r="F8" s="51" t="str">
        <x:v>CRY-003–CRY-004</x:v>
      </x:c>
      <x:c r="G8" s="51" t="str">
        <x:v>SRC-071</x:v>
      </x:c>
    </x:row>
    <x:row r="9">
      <x:c r="A9" s="51" t="str">
        <x:v>RQ-005</x:v>
      </x:c>
      <x:c r="B9" s="51" t="str">
        <x:v>Affinity Partners</x:v>
      </x:c>
      <x:c r="C9" s="51" t="str">
        <x:v>Obtain fund LP agreements, management fees, investment committee rights and exact PIF/QIA/Lunate commitments.</x:v>
      </x:c>
      <x:c r="D9" s="51" t="str">
        <x:v>High</x:v>
      </x:c>
      <x:c r="E9" s="51" t="str">
        <x:v>Open</x:v>
      </x:c>
      <x:c r="F9" s="51" t="str">
        <x:v>KUS-001–KUS-004</x:v>
      </x:c>
      <x:c r="G9" s="51" t="str">
        <x:v>SRC-070</x:v>
      </x:c>
    </x:row>
    <x:row r="10">
      <x:c r="A10" s="51" t="str">
        <x:v>RQ-006</x:v>
      </x:c>
      <x:c r="B10" s="51" t="str">
        <x:v>AI political finance</x:v>
      </x:c>
      <x:c r="C10" s="51" t="str">
        <x:v>Map FEC filings, 501(c)(4)s, super PACs and donor networks for Public First Action, Leading the Future and tech executives.</x:v>
      </x:c>
      <x:c r="D10" s="51" t="str">
        <x:v>High</x:v>
      </x:c>
      <x:c r="E10" s="51" t="str">
        <x:v>Partial</x:v>
      </x:c>
      <x:c r="F10" s="51" t="str">
        <x:v>ANT-011–ANT-012</x:v>
      </x:c>
      <x:c r="G10" s="51" t="str">
        <x:v>SRC-086; SRC-087</x:v>
      </x:c>
    </x:row>
    <x:row r="11">
      <x:c r="A11" s="51" t="str">
        <x:v>RQ-007</x:v>
      </x:c>
      <x:c r="B11" s="51" t="str">
        <x:v>PCAST</x:v>
      </x:c>
      <x:c r="C11" s="51" t="str">
        <x:v>Collect meeting minutes, recommendations, recusals and issue-specific participation for each member.</x:v>
      </x:c>
      <x:c r="D11" s="51" t="str">
        <x:v>High</x:v>
      </x:c>
      <x:c r="E11" s="51" t="str">
        <x:v>Open</x:v>
      </x:c>
      <x:c r="F11" s="51" t="str">
        <x:v>AIG-001–AIG-016</x:v>
      </x:c>
      <x:c r="G11" s="51" t="str">
        <x:v>SRC-078</x:v>
      </x:c>
    </x:row>
    <x:row r="12">
      <x:c r="A12" s="51" t="str">
        <x:v>RQ-008</x:v>
      </x:c>
      <x:c r="B12" s="51" t="str">
        <x:v>OpenAI capital</x:v>
      </x:c>
      <x:c r="C12" s="51" t="str">
        <x:v>Obtain exact preferred rights, tranches, cloud purchase obligations, IP rights and board protections for 2026 investors.</x:v>
      </x:c>
      <x:c r="D12" s="51" t="str">
        <x:v>Critical</x:v>
      </x:c>
      <x:c r="E12" s="51" t="str">
        <x:v>Open</x:v>
      </x:c>
      <x:c r="F12" s="51" t="str">
        <x:v>OAI-006–OAI-010</x:v>
      </x:c>
      <x:c r="G12" s="51" t="str">
        <x:v>SRC-080</x:v>
      </x:c>
    </x:row>
    <x:row r="13">
      <x:c r="A13" s="51" t="str">
        <x:v>RQ-009</x:v>
      </x:c>
      <x:c r="B13" s="51" t="str">
        <x:v>Stargate</x:v>
      </x:c>
      <x:c r="C13" s="51" t="str">
        <x:v>Map every site, utility contract, power source, land owner, project-finance lender, guarantee and construction partner.</x:v>
      </x:c>
      <x:c r="D13" s="51" t="str">
        <x:v>Critical</x:v>
      </x:c>
      <x:c r="E13" s="51" t="str">
        <x:v>Partial</x:v>
      </x:c>
      <x:c r="F13" s="51" t="str">
        <x:v>OAI-011–OAI-019</x:v>
      </x:c>
      <x:c r="G13" s="51" t="str">
        <x:v>SRC-081; SRC-082</x:v>
      </x:c>
    </x:row>
    <x:row r="14">
      <x:c r="A14" s="51" t="str">
        <x:v>RQ-010</x:v>
      </x:c>
      <x:c r="B14" s="51" t="str">
        <x:v>Anthropic capital/governance</x:v>
      </x:c>
      <x:c r="C14" s="51" t="str">
        <x:v>Compare LTBT legal powers with investor agreements, cloud commitments and supplier financing.</x:v>
      </x:c>
      <x:c r="D14" s="51" t="str">
        <x:v>Critical</x:v>
      </x:c>
      <x:c r="E14" s="51" t="str">
        <x:v>Partial</x:v>
      </x:c>
      <x:c r="F14" s="51" t="str">
        <x:v>ANT-001–ANT-015</x:v>
      </x:c>
      <x:c r="G14" s="51" t="str">
        <x:v>SRC-083; SRC-084; SRC-097; SRC-098</x:v>
      </x:c>
    </x:row>
    <x:row r="15">
      <x:c r="A15" s="51" t="str">
        <x:v>RQ-011</x:v>
      </x:c>
      <x:c r="B15" s="51" t="str">
        <x:v>Epstein banks</x:v>
      </x:c>
      <x:c r="C15" s="51" t="str">
        <x:v>Extract account dates, suspicious-activity reports, internal warnings, responsible control functions and settlements by institution.</x:v>
      </x:c>
      <x:c r="D15" s="51" t="str">
        <x:v>Critical</x:v>
      </x:c>
      <x:c r="E15" s="51" t="str">
        <x:v>Partial</x:v>
      </x:c>
      <x:c r="F15" s="51" t="str">
        <x:v>FIN-001–FIN-009</x:v>
      </x:c>
      <x:c r="G15" s="51" t="str">
        <x:v>SRC-063–SRC-069</x:v>
      </x:c>
    </x:row>
    <x:row r="16">
      <x:c r="A16" s="51" t="str">
        <x:v>RQ-012</x:v>
      </x:c>
      <x:c r="B16" s="51" t="str">
        <x:v>Epstein academia</x:v>
      </x:c>
      <x:c r="C16" s="51" t="str">
        <x:v>Add every documented university, laboratory, principal investigator, donation, visit and review finding.</x:v>
      </x:c>
      <x:c r="D16" s="51" t="str">
        <x:v>High</x:v>
      </x:c>
      <x:c r="E16" s="51" t="str">
        <x:v>Partial</x:v>
      </x:c>
      <x:c r="F16" s="51" t="str">
        <x:v>ACA-001–ACA-008</x:v>
      </x:c>
      <x:c r="G16" s="51" t="str">
        <x:v>SRC-061; SRC-062</x:v>
      </x:c>
    </x:row>
    <x:row r="17">
      <x:c r="A17" s="51" t="str">
        <x:v>RQ-013</x:v>
      </x:c>
      <x:c r="B17" s="51" t="str">
        <x:v>Gates review scope</x:v>
      </x:c>
      <x:c r="C17" s="51" t="str">
        <x:v>Obtain full WilmerHale report, terms of reference and records concerning Gates Ventures and Foundation Trust.</x:v>
      </x:c>
      <x:c r="D17" s="51" t="str">
        <x:v>Critical</x:v>
      </x:c>
      <x:c r="E17" s="51" t="str">
        <x:v>Open</x:v>
      </x:c>
      <x:c r="F17" s="51" t="str">
        <x:v>GAT-001–GAT-007</x:v>
      </x:c>
      <x:c r="G17" s="51" t="str">
        <x:v>SRC-058–SRC-060</x:v>
      </x:c>
    </x:row>
    <x:row r="18">
      <x:c r="A18" s="51" t="str">
        <x:v>RQ-014</x:v>
      </x:c>
      <x:c r="B18" s="51" t="str">
        <x:v>US procurement</x:v>
      </x:c>
      <x:c r="C18" s="51" t="str">
        <x:v>Cross-check USAspending, FPDS and agency notices for AI, Palantir, SpaceX, Anduril and cloud contracts.</x:v>
      </x:c>
      <x:c r="D18" s="51" t="str">
        <x:v>High</x:v>
      </x:c>
      <x:c r="E18" s="51" t="str">
        <x:v>Open</x:v>
      </x:c>
      <x:c r="F18" s="51" t="str">
        <x:v>PAL, AIC and NET relationships</x:v>
      </x:c>
      <x:c r="G18" s="51" t="str">
        <x:v>Government procurement databases</x:v>
      </x:c>
    </x:row>
    <x:row r="19">
      <x:c r="A19" s="51" t="str">
        <x:v>RQ-015</x:v>
      </x:c>
      <x:c r="B19" s="51" t="str">
        <x:v>Temporal graph</x:v>
      </x:c>
      <x:c r="C19" s="51" t="str">
        <x:v>Add exact start, end and overlap intervals to every relationship; prevent historical adjacency from appearing simultaneous.</x:v>
      </x:c>
      <x:c r="D19" s="51" t="str">
        <x:v>Critical</x:v>
      </x:c>
      <x:c r="E19" s="51" t="str">
        <x:v>Not started</x:v>
      </x:c>
      <x:c r="F19" s="51" t="str">
        <x:v>Entire ledger</x:v>
      </x:c>
      <x:c r="G19" s="51" t="str">
        <x:v>All sources</x:v>
      </x:c>
    </x:row>
    <x:row r="20">
      <x:c r="A20" s="51" t="str">
        <x:v>RQ-016</x:v>
      </x:c>
      <x:c r="B20" s="51" t="str">
        <x:v>Dollar clearing</x:v>
      </x:c>
      <x:c r="C20" s="51" t="str">
        <x:v>Map every direct CHIPS, Fedwire and CLS participant, ownership share and access rule; identify who is excluded.</x:v>
      </x:c>
      <x:c r="D20" s="51" t="str">
        <x:v>Critical</x:v>
      </x:c>
      <x:c r="E20" s="51" t="str">
        <x:v>Open</x:v>
      </x:c>
      <x:c r="F20" s="51" t="str">
        <x:v>PAY-001–PAY-004</x:v>
      </x:c>
      <x:c r="G20" s="51" t="str">
        <x:v>SRC-101–SRC-105</x:v>
      </x:c>
    </x:row>
    <x:row r="21">
      <x:c r="A21" s="51" t="str">
        <x:v>RQ-017</x:v>
      </x:c>
      <x:c r="B21" s="51" t="str">
        <x:v>Sanctions custody</x:v>
      </x:c>
      <x:c r="C21" s="51" t="str">
        <x:v>Build a security-by-security map of immobilised Russian reserves, custodians, currencies, legal owners, income and litigation.</x:v>
      </x:c>
      <x:c r="D21" s="51" t="str">
        <x:v>Critical</x:v>
      </x:c>
      <x:c r="E21" s="51" t="str">
        <x:v>Partial</x:v>
      </x:c>
      <x:c r="F21" s="51" t="str">
        <x:v>SAN-002–SAN-004</x:v>
      </x:c>
      <x:c r="G21" s="51" t="str">
        <x:v>SRC-108–SRC-110</x:v>
      </x:c>
    </x:row>
    <x:row r="22">
      <x:c r="A22" s="51" t="str">
        <x:v>RQ-018</x:v>
      </x:c>
      <x:c r="B22" s="51" t="str">
        <x:v>Stablecoin reserves</x:v>
      </x:c>
      <x:c r="C22" s="51" t="str">
        <x:v>Identify every USDC and USD1 reserve custodian, bank account, repo counterparty, fund share and redemption dependency.</x:v>
      </x:c>
      <x:c r="D22" s="51" t="str">
        <x:v>Critical</x:v>
      </x:c>
      <x:c r="E22" s="51" t="str">
        <x:v>Open</x:v>
      </x:c>
      <x:c r="F22" s="51" t="str">
        <x:v>STB-001–STB-007; CRY rows</x:v>
      </x:c>
      <x:c r="G22" s="51" t="str">
        <x:v>SRC-113–SRC-119</x:v>
      </x:c>
    </x:row>
    <x:row r="23">
      <x:c r="A23" s="51" t="str">
        <x:v>RQ-019</x:v>
      </x:c>
      <x:c r="B23" s="51" t="str">
        <x:v>AI infrastructure finance</x:v>
      </x:c>
      <x:c r="C23" s="51" t="str">
        <x:v>Collect loan agreements, guarantees, leases, PPAs and project companies for Brookfield, KKR/ECP, Apollo/Valor and Stargate projects.</x:v>
      </x:c>
      <x:c r="D23" s="51" t="str">
        <x:v>Critical</x:v>
      </x:c>
      <x:c r="E23" s="51" t="str">
        <x:v>Partial</x:v>
      </x:c>
      <x:c r="F23" s="51" t="str">
        <x:v>INF-001–INF-012</x:v>
      </x:c>
      <x:c r="G23" s="51" t="str">
        <x:v>SRC-120–SRC-125</x:v>
      </x:c>
    </x:row>
    <x:row r="24">
      <x:c r="A24" s="51" t="str">
        <x:v>RQ-020</x:v>
      </x:c>
      <x:c r="B24" s="51" t="str">
        <x:v>Defence task orders</x:v>
      </x:c>
      <x:c r="C24" s="51" t="str">
        <x:v>Disaggregate Anduril $20bn ceiling, Palantir-prime partnerships and CCA procurement into funded task orders and authority layers.</x:v>
      </x:c>
      <x:c r="D24" s="51" t="str">
        <x:v>Critical</x:v>
      </x:c>
      <x:c r="E24" s="51" t="str">
        <x:v>Open</x:v>
      </x:c>
      <x:c r="F24" s="51" t="str">
        <x:v>DEF-001–DEF-010</x:v>
      </x:c>
      <x:c r="G24" s="51" t="str">
        <x:v>SRC-126–SRC-130</x:v>
      </x:c>
    </x:row>
    <x:row r="25">
      <x:c r="A25" s="51" t="str">
        <x:v>RQ-021</x:v>
      </x:c>
      <x:c r="B25" s="51" t="str">
        <x:v>Commodity finance</x:v>
      </x:c>
      <x:c r="C25" s="51" t="str">
        <x:v>Identify all banks in major trader RCFs, collateral packages, sanctions licences and commodity-flow obligations.</x:v>
      </x:c>
      <x:c r="D25" s="51" t="str">
        <x:v>High</x:v>
      </x:c>
      <x:c r="E25" s="51" t="str">
        <x:v>Open</x:v>
      </x:c>
      <x:c r="F25" s="51" t="str">
        <x:v>COM-001–COM-008</x:v>
      </x:c>
      <x:c r="G25" s="51" t="str">
        <x:v>SRC-131; SRC-145; SRC-146</x:v>
      </x:c>
    </x:row>
    <x:row r="26">
      <x:c r="A26" s="51" t="str">
        <x:v>RQ-022</x:v>
      </x:c>
      <x:c r="B26" s="51" t="str">
        <x:v>Marine insurance</x:v>
      </x:c>
      <x:c r="C26" s="51" t="str">
        <x:v>Map Lloyds syndicates, reinsurers, exclusions, war-risk pricing and public backstops by chokepoint and conflict.</x:v>
      </x:c>
      <x:c r="D26" s="51" t="str">
        <x:v>High</x:v>
      </x:c>
      <x:c r="E26" s="51" t="str">
        <x:v>Open</x:v>
      </x:c>
      <x:c r="F26" s="51" t="str">
        <x:v>COM-010–COM-012</x:v>
      </x:c>
      <x:c r="G26" s="51" t="str">
        <x:v>SRC-133</x:v>
      </x:c>
    </x:row>
    <x:row r="27">
      <x:c r="A27" s="51" t="str">
        <x:v>RQ-023</x:v>
      </x:c>
      <x:c r="B27" s="51" t="str">
        <x:v>Ratings gateway</x:v>
      </x:c>
      <x:c r="C27" s="51" t="str">
        <x:v>Measure how rating changes affect bond spreads, collateral eligibility, index inclusion and regulatory capital by country.</x:v>
      </x:c>
      <x:c r="D27" s="51" t="str">
        <x:v>High</x:v>
      </x:c>
      <x:c r="E27" s="51" t="str">
        <x:v>Open</x:v>
      </x:c>
      <x:c r="F27" s="51" t="str">
        <x:v>RAT-001–RAT-005</x:v>
      </x:c>
      <x:c r="G27" s="51" t="str">
        <x:v>SRC-137–SRC-139</x:v>
      </x:c>
    </x:row>
    <x:row r="28">
      <x:c r="A28" s="51" t="str">
        <x:v>RQ-024</x:v>
      </x:c>
      <x:c r="B28" s="51" t="str">
        <x:v>Audit concentration</x:v>
      </x:c>
      <x:c r="C28" s="51" t="str">
        <x:v>Map Big Four public-interest clients, non-audit fees, inspection findings and AI-tool vendors by jurisdiction.</x:v>
      </x:c>
      <x:c r="D28" s="51" t="str">
        <x:v>High</x:v>
      </x:c>
      <x:c r="E28" s="51" t="str">
        <x:v>Open</x:v>
      </x:c>
      <x:c r="F28" s="51" t="str">
        <x:v>AUD-001–AUD-009</x:v>
      </x:c>
      <x:c r="G28" s="51" t="str">
        <x:v>SRC-140–SRC-142</x:v>
      </x:c>
    </x:row>
    <x:row r="29">
      <x:c r="A29" s="51" t="str">
        <x:v>RQ-025</x:v>
      </x:c>
      <x:c r="B29" s="51" t="str">
        <x:v>Data-broker contracts</x:v>
      </x:c>
      <x:c r="C29" s="51" t="str">
        <x:v>Collect agency-level contracts, data fields, matching error rates, appeal processes and retention rules for LexisNexis and credit bureaus.</x:v>
      </x:c>
      <x:c r="D29" s="51" t="str">
        <x:v>Critical</x:v>
      </x:c>
      <x:c r="E29" s="51" t="str">
        <x:v>Open</x:v>
      </x:c>
      <x:c r="F29" s="51" t="str">
        <x:v>DAT-001–DAT-006</x:v>
      </x:c>
      <x:c r="G29" s="51" t="str">
        <x:v>SRC-134–SRC-136</x:v>
      </x:c>
    </x:row>
    <x:row r="30">
      <x:c r="A30" s="51" t="str">
        <x:v>RQ-026</x:v>
      </x:c>
      <x:c r="B30" s="51" t="str">
        <x:v>Platform auditability</x:v>
      </x:c>
      <x:c r="C30" s="51" t="str">
        <x:v>Compare Meta, TikTok, Google and X political-ad libraries, organic-ranking audit access and enforcement transparency.</x:v>
      </x:c>
      <x:c r="D30" s="51" t="str">
        <x:v>High</x:v>
      </x:c>
      <x:c r="E30" s="51" t="str">
        <x:v>Open</x:v>
      </x:c>
      <x:c r="F30" s="51" t="str">
        <x:v>MED-001–MED-004</x:v>
      </x:c>
      <x:c r="G30" s="51" t="str">
        <x:v>SRC-143; SRC-144</x:v>
      </x:c>
    </x:row>
    <x:row r="31">
      <x:c r="A31" s="51" t="str">
        <x:v>RQ-027</x:v>
      </x:c>
      <x:c r="B31" s="51" t="str">
        <x:v>Semiconductor stack</x:v>
      </x:c>
      <x:c r="C31" s="51" t="str">
        <x:v>Map KLA, Applied Materials, Tokyo Electron, ASM, advanced packaging, HBM and substrate suppliers with exact export classifications and market shares.</x:v>
      </x:c>
      <x:c r="D31" s="51" t="str">
        <x:v>Critical</x:v>
      </x:c>
      <x:c r="E31" s="51" t="str">
        <x:v>Open</x:v>
      </x:c>
      <x:c r="F31" s="51" t="str">
        <x:v>CTL and MAT layers</x:v>
      </x:c>
      <x:c r="G31" s="51" t="str">
        <x:v>SRC-147–SRC-155</x:v>
      </x:c>
    </x:row>
    <x:row r="32">
      <x:c r="A32" s="51" t="str">
        <x:v>RQ-028</x:v>
      </x:c>
      <x:c r="B32" s="51" t="str">
        <x:v>EDA licensing</x:v>
      </x:c>
      <x:c r="C32" s="51" t="str">
        <x:v>Collect product-level ECCNs, customer restoration dates, Chinese alternatives and revenue effects for Synopsys, Cadence and Siemens EDA.</x:v>
      </x:c>
      <x:c r="D32" s="51" t="str">
        <x:v>High</x:v>
      </x:c>
      <x:c r="E32" s="51" t="str">
        <x:v>Partial</x:v>
      </x:c>
      <x:c r="F32" s="51" t="str">
        <x:v>CTL-007–CTL-012</x:v>
      </x:c>
      <x:c r="G32" s="51" t="str">
        <x:v>SRC-152–SRC-154</x:v>
      </x:c>
    </x:row>
    <x:row r="33">
      <x:c r="A33" s="51" t="str">
        <x:v>RQ-029</x:v>
      </x:c>
      <x:c r="B33" s="51" t="str">
        <x:v>Subsea cable ownership</x:v>
      </x:c>
      <x:c r="C33" s="51" t="str">
        <x:v>Obtain ownership percentages, fibre-pair allocations, landing licences, vendors and repair agreements for Waterworth, Sol and Nuvem.</x:v>
      </x:c>
      <x:c r="D33" s="51" t="str">
        <x:v>Critical</x:v>
      </x:c>
      <x:c r="E33" s="51" t="str">
        <x:v>Open</x:v>
      </x:c>
      <x:c r="F33" s="51" t="str">
        <x:v>DIG-001–DIG-008</x:v>
      </x:c>
      <x:c r="G33" s="51" t="str">
        <x:v>SRC-156–SRC-160</x:v>
      </x:c>
    </x:row>
    <x:row r="34">
      <x:c r="A34" s="51" t="str">
        <x:v>RQ-030</x:v>
      </x:c>
      <x:c r="B34" s="51" t="str">
        <x:v>Classified cloud task orders</x:v>
      </x:c>
      <x:c r="C34" s="51" t="str">
        <x:v>Extract JWCC task orders, agencies, classification levels, regions, workload portability and exit clauses.</x:v>
      </x:c>
      <x:c r="D34" s="51" t="str">
        <x:v>Critical</x:v>
      </x:c>
      <x:c r="E34" s="51" t="str">
        <x:v>Open</x:v>
      </x:c>
      <x:c r="F34" s="51" t="str">
        <x:v>CLD-001–CLD-008</x:v>
      </x:c>
      <x:c r="G34" s="51" t="str">
        <x:v>SRC-161–SRC-164</x:v>
      </x:c>
    </x:row>
    <x:row r="35">
      <x:c r="A35" s="51" t="str">
        <x:v>RQ-031</x:v>
      </x:c>
      <x:c r="B35" s="51" t="str">
        <x:v>App-store enforcement</x:v>
      </x:c>
      <x:c r="C35" s="51" t="str">
        <x:v>Build a jurisdiction-by-jurisdiction dataset of commissions, review outcomes, removals, steering rules and appeals for Apple and Google.</x:v>
      </x:c>
      <x:c r="D35" s="51" t="str">
        <x:v>High</x:v>
      </x:c>
      <x:c r="E35" s="51" t="str">
        <x:v>Open</x:v>
      </x:c>
      <x:c r="F35" s="51" t="str">
        <x:v>APPSTORE-001–APPSTORE-008</x:v>
      </x:c>
      <x:c r="G35" s="51" t="str">
        <x:v>SRC-165–SRC-168</x:v>
      </x:c>
    </x:row>
    <x:row r="36">
      <x:c r="A36" s="51" t="str">
        <x:v>RQ-032</x:v>
      </x:c>
      <x:c r="B36" s="51" t="str">
        <x:v>Index event studies</x:v>
      </x:c>
      <x:c r="C36" s="51" t="str">
        <x:v>Estimate flow, spread, volatility and ownership effects around MSCI/FTSE/S&amp;P inclusion, deletion and country reclassification.</x:v>
      </x:c>
      <x:c r="D36" s="51" t="str">
        <x:v>High</x:v>
      </x:c>
      <x:c r="E36" s="51" t="str">
        <x:v>Not started</x:v>
      </x:c>
      <x:c r="F36" s="51" t="str">
        <x:v>IDX-001–IDX-009</x:v>
      </x:c>
      <x:c r="G36" s="51" t="str">
        <x:v>SRC-169–SRC-171</x:v>
      </x:c>
    </x:row>
    <x:row r="37">
      <x:c r="A37" s="51" t="str">
        <x:v>RQ-033</x:v>
      </x:c>
      <x:c r="B37" s="51" t="str">
        <x:v>Benchmark governance</x:v>
      </x:c>
      <x:c r="C37" s="51" t="str">
        <x:v>Map ICE Brent and LBMA input panels, surveillance, fallback rules, conflicts and regulatory oversight.</x:v>
      </x:c>
      <x:c r="D37" s="51" t="str">
        <x:v>High</x:v>
      </x:c>
      <x:c r="E37" s="51" t="str">
        <x:v>Open</x:v>
      </x:c>
      <x:c r="F37" s="51" t="str">
        <x:v>IDX-007–IDX-009</x:v>
      </x:c>
      <x:c r="G37" s="51" t="str">
        <x:v>SRC-172–SRC-174</x:v>
      </x:c>
    </x:row>
    <x:row r="38">
      <x:c r="A38" s="51" t="str">
        <x:v>RQ-034</x:v>
      </x:c>
      <x:c r="B38" s="51" t="str">
        <x:v>Beneficial ownership</x:v>
      </x:c>
      <x:c r="C38" s="51" t="str">
        <x:v>Compare FinCEN exemptions, state registries, FATF compliance, trust disclosure and bank CDD for major financial centres.</x:v>
      </x:c>
      <x:c r="D38" s="51" t="str">
        <x:v>Critical</x:v>
      </x:c>
      <x:c r="E38" s="51" t="str">
        <x:v>Open</x:v>
      </x:c>
      <x:c r="F38" s="51" t="str">
        <x:v>OWN-001–OWN-006</x:v>
      </x:c>
      <x:c r="G38" s="51" t="str">
        <x:v>SRC-175–SRC-178</x:v>
      </x:c>
    </x:row>
    <x:row r="39">
      <x:c r="A39" s="51" t="str">
        <x:v>RQ-035</x:v>
      </x:c>
      <x:c r="B39" s="51" t="str">
        <x:v>Reinsurance contracts</x:v>
      </x:c>
      <x:c r="C39" s="51" t="str">
        <x:v>Collect catastrophe treaty attachment points, exclusions, retrocession and public backstops for major systemic risks.</x:v>
      </x:c>
      <x:c r="D39" s="51" t="str">
        <x:v>High</x:v>
      </x:c>
      <x:c r="E39" s="51" t="str">
        <x:v>Open</x:v>
      </x:c>
      <x:c r="F39" s="51" t="str">
        <x:v>RISK-001–RISK-003</x:v>
      </x:c>
      <x:c r="G39" s="51" t="str">
        <x:v>SRC-179; SRC-180</x:v>
      </x:c>
    </x:row>
    <x:row r="40">
      <x:c r="A40" s="51" t="str">
        <x:v>RQ-036</x:v>
      </x:c>
      <x:c r="B40" s="51" t="str">
        <x:v>Grid cost allocation</x:v>
      </x:c>
      <x:c r="C40" s="51" t="str">
        <x:v>Track PJM/FERC tariff decisions, data-centre interconnection agreements, self-generation and ratepayer effects.</x:v>
      </x:c>
      <x:c r="D40" s="51" t="str">
        <x:v>Critical</x:v>
      </x:c>
      <x:c r="E40" s="51" t="str">
        <x:v>Open</x:v>
      </x:c>
      <x:c r="F40" s="51" t="str">
        <x:v>GRID-001–GRID-003</x:v>
      </x:c>
      <x:c r="G40" s="51" t="str">
        <x:v>SRC-181; SRC-182</x:v>
      </x:c>
    </x:row>
    <x:row r="41">
      <x:c r="A41" s="51" t="str">
        <x:v>RQ-037</x:v>
      </x:c>
      <x:c r="B41" s="51" t="str">
        <x:v>DNS and resolver governance</x:v>
      </x:c>
      <x:c r="C41" s="51" t="str">
        <x:v>Map root-server operators, recursive-resolver market share, outage history, blocking powers and appeal procedures.</x:v>
      </x:c>
      <x:c r="D41" s="51" t="str">
        <x:v>High</x:v>
      </x:c>
      <x:c r="E41" s="51" t="str">
        <x:v>Open</x:v>
      </x:c>
      <x:c r="F41" s="51" t="str">
        <x:v>NETINF-001–NETINF-004</x:v>
      </x:c>
      <x:c r="G41" s="51" t="str">
        <x:v>SRC-183; SRC-184</x:v>
      </x:c>
    </x:row>
    <x:row r="42">
      <x:c r="A42" s="51" t="str">
        <x:v>RQ-038</x:v>
      </x:c>
      <x:c r="B42" s="51" t="str">
        <x:v>Commercial satellite dependence</x:v>
      </x:c>
      <x:c r="C42" s="51" t="str">
        <x:v>Identify Starshield and protected-satellite contracts, task orders, control rights, interoperability and termination provisions.</x:v>
      </x:c>
      <x:c r="D42" s="51" t="str">
        <x:v>Critical</x:v>
      </x:c>
      <x:c r="E42" s="51" t="str">
        <x:v>Open</x:v>
      </x:c>
      <x:c r="F42" s="51" t="str">
        <x:v>NETINF-005–NETINF-007</x:v>
      </x:c>
      <x:c r="G42" s="51" t="str">
        <x:v>SRC-185; SRC-186</x:v>
      </x:c>
    </x:row>
    <x:row r="43">
      <x:c r="A43" s="51" t="str">
        <x:v>RQ-039</x:v>
      </x:c>
      <x:c r="B43" s="51" t="str">
        <x:v>GenAI patents</x:v>
      </x:c>
      <x:c r="C43" s="51" t="str">
        <x:v>Extract assignee, inventor, jurisdiction, claim-family, citation, grant and litigation data for the leading GenAI patent families.</x:v>
      </x:c>
      <x:c r="D43" s="51" t="str">
        <x:v>Critical</x:v>
      </x:c>
      <x:c r="E43" s="51" t="str">
        <x:v>Open</x:v>
      </x:c>
      <x:c r="F43" s="51" t="str">
        <x:v>KNO-001–KNO-005</x:v>
      </x:c>
      <x:c r="G43" s="51" t="str">
        <x:v>SRC-187–SRC-189</x:v>
      </x:c>
    </x:row>
    <x:row r="44">
      <x:c r="A44" s="51" t="str">
        <x:v>RQ-040</x:v>
      </x:c>
      <x:c r="B44" s="51" t="str">
        <x:v>Arm licensing</x:v>
      </x:c>
      <x:c r="C44" s="51" t="str">
        <x:v>Obtain architecture and core licence types, royalty bands, major licensees, Arm China governance and termination rights.</x:v>
      </x:c>
      <x:c r="D44" s="51" t="str">
        <x:v>Critical</x:v>
      </x:c>
      <x:c r="E44" s="51" t="str">
        <x:v>Open</x:v>
      </x:c>
      <x:c r="F44" s="51" t="str">
        <x:v>KNO-006–KNO-009</x:v>
      </x:c>
      <x:c r="G44" s="51" t="str">
        <x:v>SRC-190; SRC-191</x:v>
      </x:c>
    </x:row>
    <x:row r="45">
      <x:c r="A45" s="51" t="str">
        <x:v>RQ-041</x:v>
      </x:c>
      <x:c r="B45" s="51" t="str">
        <x:v>RISC-V governance</x:v>
      </x:c>
      <x:c r="C45" s="51" t="str">
        <x:v>Map board members, voting rights, premier members, specification authorship and commercial IP providers.</x:v>
      </x:c>
      <x:c r="D45" s="51" t="str">
        <x:v>High</x:v>
      </x:c>
      <x:c r="E45" s="51" t="str">
        <x:v>Open</x:v>
      </x:c>
      <x:c r="F45" s="51" t="str">
        <x:v>KNO-010–KNO-013</x:v>
      </x:c>
      <x:c r="G45" s="51" t="str">
        <x:v>SRC-192; SRC-193</x:v>
      </x:c>
    </x:row>
    <x:row r="46">
      <x:c r="A46" s="51" t="str">
        <x:v>RQ-042</x:v>
      </x:c>
      <x:c r="B46" s="51" t="str">
        <x:v>AI standards adoption</x:v>
      </x:c>
      <x:c r="C46" s="51" t="str">
        <x:v>Identify regulations, procurement contracts and insurance policies incorporating ISO, NIST, IEEE or ETSI AI standards.</x:v>
      </x:c>
      <x:c r="D46" s="51" t="str">
        <x:v>Critical</x:v>
      </x:c>
      <x:c r="E46" s="51" t="str">
        <x:v>Open</x:v>
      </x:c>
      <x:c r="F46" s="51" t="str">
        <x:v>STD-001–STD-009</x:v>
      </x:c>
      <x:c r="G46" s="51" t="str">
        <x:v>SRC-194–SRC-202</x:v>
      </x:c>
    </x:row>
    <x:row r="47">
      <x:c r="A47" s="51" t="str">
        <x:v>RQ-043</x:v>
      </x:c>
      <x:c r="B47" s="51" t="str">
        <x:v>6G standard influence</x:v>
      </x:c>
      <x:c r="C47" s="51" t="str">
        <x:v>Map 3GPP organisational partners, company contributions, chair roles, essential patents and national-spectrum positions for Release 21.</x:v>
      </x:c>
      <x:c r="D47" s="51" t="str">
        <x:v>Critical</x:v>
      </x:c>
      <x:c r="E47" s="51" t="str">
        <x:v>Open</x:v>
      </x:c>
      <x:c r="F47" s="51" t="str">
        <x:v>STD-008–STD-009</x:v>
      </x:c>
      <x:c r="G47" s="51" t="str">
        <x:v>SRC-203; SRC-204</x:v>
      </x:c>
    </x:row>
    <x:row r="48">
      <x:c r="A48" s="51" t="str">
        <x:v>RQ-044</x:v>
      </x:c>
      <x:c r="B48" s="51" t="str">
        <x:v>NAIRR resource allocation</x:v>
      </x:c>
      <x:c r="C48" s="51" t="str">
        <x:v>List all private partners, contributed resources, award recipients, utilisation, renewal and conflict rules.</x:v>
      </x:c>
      <x:c r="D48" s="51" t="str">
        <x:v>Critical</x:v>
      </x:c>
      <x:c r="E48" s="51" t="str">
        <x:v>Partial</x:v>
      </x:c>
      <x:c r="F48" s="51" t="str">
        <x:v>RES-001–RES-003</x:v>
      </x:c>
      <x:c r="G48" s="51" t="str">
        <x:v>SRC-205–SRC-207</x:v>
      </x:c>
    </x:row>
    <x:row r="49">
      <x:c r="A49" s="51" t="str">
        <x:v>RQ-045</x:v>
      </x:c>
      <x:c r="B49" s="51" t="str">
        <x:v>AI Forge governance</x:v>
      </x:c>
      <x:c r="C49" s="51" t="str">
        <x:v>Identify nonprofit administrator, funding amounts, company participants, university teams, IP rights and transition partners.</x:v>
      </x:c>
      <x:c r="D49" s="51" t="str">
        <x:v>Critical</x:v>
      </x:c>
      <x:c r="E49" s="51" t="str">
        <x:v>Open</x:v>
      </x:c>
      <x:c r="F49" s="51" t="str">
        <x:v>RES-004–RES-008</x:v>
      </x:c>
      <x:c r="G49" s="51" t="str">
        <x:v>SRC-208</x:v>
      </x:c>
    </x:row>
    <x:row r="50">
      <x:c r="A50" s="51" t="str">
        <x:v>RQ-046</x:v>
      </x:c>
      <x:c r="B50" s="51" t="str">
        <x:v>AI talent mobility</x:v>
      </x:c>
      <x:c r="C50" s="51" t="str">
        <x:v>Build employer- and university-level H-1B, STEM OPT, O-1 and entrepreneur-parole data for AI and semiconductor occupations.</x:v>
      </x:c>
      <x:c r="D50" s="51" t="str">
        <x:v>High</x:v>
      </x:c>
      <x:c r="E50" s="51" t="str">
        <x:v>Open</x:v>
      </x:c>
      <x:c r="F50" s="51" t="str">
        <x:v>TAL-001–TAL-006</x:v>
      </x:c>
      <x:c r="G50" s="51" t="str">
        <x:v>SRC-210–SRC-213</x:v>
      </x:c>
    </x:row>
    <x:row r="51">
      <x:c r="A51" s="51" t="str">
        <x:v>RQ-047</x:v>
      </x:c>
      <x:c r="B51" s="51" t="str">
        <x:v>Technology lobbying filings</x:v>
      </x:c>
      <x:c r="C51" s="51" t="str">
        <x:v>Download every 2025–2026 LD-1/LD-2 filing for OpenAI, Anthropic, Nvidia, Meta, Applied Materials, Microsoft, Google, Amazon and Palantir.</x:v>
      </x:c>
      <x:c r="D51" s="51" t="str">
        <x:v>Critical</x:v>
      </x:c>
      <x:c r="E51" s="51" t="str">
        <x:v>Partial</x:v>
      </x:c>
      <x:c r="F51" s="51" t="str">
        <x:v>LOB-001–LOB-019</x:v>
      </x:c>
      <x:c r="G51" s="51" t="str">
        <x:v>SRC-214–SRC-220</x:v>
      </x:c>
    </x:row>
    <x:row r="52">
      <x:c r="A52" s="51" t="str">
        <x:v>RQ-048</x:v>
      </x:c>
      <x:c r="B52" s="51" t="str">
        <x:v>Lobbying causality</x:v>
      </x:c>
      <x:c r="C52" s="51" t="str">
        <x:v>Create a dated comparison of filings, meetings, bill text, agency rules, public comments and final decisions for key AI and chip policies.</x:v>
      </x:c>
      <x:c r="D52" s="51" t="str">
        <x:v>Critical</x:v>
      </x:c>
      <x:c r="E52" s="51" t="str">
        <x:v>Not started</x:v>
      </x:c>
      <x:c r="F52" s="51" t="str">
        <x:v>LOB and CTL layers</x:v>
      </x:c>
      <x:c r="G52" s="51" t="str">
        <x:v>SRC-214–SRC-220 plus agency dockets</x:v>
      </x:c>
    </x:row>
    <x:row r="53">
      <x:c r="A53" s="51" t="str">
        <x:v>RQ-049</x:v>
      </x:c>
      <x:c r="B53" s="51" t="str">
        <x:v>Standards participation</x:v>
      </x:c>
      <x:c r="C53" s="51" t="str">
        <x:v>Map named experts, national delegations, committee leadership and corporate affiliations in SC 42, IEEE, ETSI and 3GPP.</x:v>
      </x:c>
      <x:c r="D53" s="51" t="str">
        <x:v>High</x:v>
      </x:c>
      <x:c r="E53" s="51" t="str">
        <x:v>Open</x:v>
      </x:c>
      <x:c r="F53" s="51" t="str">
        <x:v>STD layer</x:v>
      </x:c>
      <x:c r="G53" s="51" t="str">
        <x:v>SRC-194–SRC-204</x:v>
      </x:c>
    </x:row>
    <x:row r="54">
      <x:c r="A54" s="51" t="str">
        <x:v>RQ-050</x:v>
      </x:c>
      <x:c r="B54" s="51" t="str">
        <x:v>Delaware corporate governance</x:v>
      </x:c>
      <x:c r="C54" s="51" t="str">
        <x:v>Build a company-level dataset of incorporation, share classes, board rights, charter provisions and Chancery litigation.</x:v>
      </x:c>
      <x:c r="D54" s="51" t="str">
        <x:v>Critical</x:v>
      </x:c>
      <x:c r="E54" s="51" t="str">
        <x:v>Open</x:v>
      </x:c>
      <x:c r="F54" s="51" t="str">
        <x:v>LAW-001–LAW-005</x:v>
      </x:c>
      <x:c r="G54" s="51" t="str">
        <x:v>SRC-221–SRC-224</x:v>
      </x:c>
    </x:row>
    <x:row r="55">
      <x:c r="A55" s="51" t="str">
        <x:v>RQ-051</x:v>
      </x:c>
      <x:c r="B55" s="51" t="str">
        <x:v>Proxy intermediation</x:v>
      </x:c>
      <x:c r="C55" s="51" t="str">
        <x:v>Collect 2026 ISS and Glass Lewis recommendations, client policies, actual votes and management outcomes for a matched issuer sample.</x:v>
      </x:c>
      <x:c r="D55" s="51" t="str">
        <x:v>Critical</x:v>
      </x:c>
      <x:c r="E55" s="51" t="str">
        <x:v>Open</x:v>
      </x:c>
      <x:c r="F55" s="51" t="str">
        <x:v>LAW-006–LAW-009</x:v>
      </x:c>
      <x:c r="G55" s="51" t="str">
        <x:v>SRC-225–SRC-227</x:v>
      </x:c>
    </x:row>
    <x:row r="56">
      <x:c r="A56" s="51" t="str">
        <x:v>RQ-052</x:v>
      </x:c>
      <x:c r="B56" s="51" t="str">
        <x:v>Securities ownership chain</x:v>
      </x:c>
      <x:c r="C56" s="51" t="str">
        <x:v>Map DTC participants, omnibus accounts, stock lending, voting instructions and beneficial-owner reconciliation.</x:v>
      </x:c>
      <x:c r="D56" s="51" t="str">
        <x:v>Critical</x:v>
      </x:c>
      <x:c r="E56" s="51" t="str">
        <x:v>Open</x:v>
      </x:c>
      <x:c r="F56" s="51" t="str">
        <x:v>OWNR-001–OWNR-004</x:v>
      </x:c>
      <x:c r="G56" s="51" t="str">
        <x:v>SRC-228; SRC-229</x:v>
      </x:c>
    </x:row>
    <x:row r="57">
      <x:c r="A57" s="51" t="str">
        <x:v>RQ-053</x:v>
      </x:c>
      <x:c r="B57" s="51" t="str">
        <x:v>Secured claims</x:v>
      </x:c>
      <x:c r="C57" s="51" t="str">
        <x:v>Download UCC filings and credit agreements for major AI, infrastructure, commodity and political-finance actors in the ledger.</x:v>
      </x:c>
      <x:c r="D57" s="51" t="str">
        <x:v>Critical</x:v>
      </x:c>
      <x:c r="E57" s="51" t="str">
        <x:v>Open</x:v>
      </x:c>
      <x:c r="F57" s="51" t="str">
        <x:v>COLL-001–COLL-004</x:v>
      </x:c>
      <x:c r="G57" s="51" t="str">
        <x:v>SRC-221; SRC-230</x:v>
      </x:c>
    </x:row>
    <x:row r="58">
      <x:c r="A58" s="51" t="str">
        <x:v>RQ-054</x:v>
      </x:c>
      <x:c r="B58" s="51" t="str">
        <x:v>Chapter 11 control</x:v>
      </x:c>
      <x:c r="C58" s="51" t="str">
        <x:v>Build a docket-level dataset of DIP lenders, milestones, committees, professional fees, sales and confirmed-plan recoveries.</x:v>
      </x:c>
      <x:c r="D58" s="51" t="str">
        <x:v>Critical</x:v>
      </x:c>
      <x:c r="E58" s="51" t="str">
        <x:v>Not started</x:v>
      </x:c>
      <x:c r="F58" s="51" t="str">
        <x:v>BK-001–BK-006</x:v>
      </x:c>
      <x:c r="G58" s="51" t="str">
        <x:v>SRC-231–SRC-233</x:v>
      </x:c>
    </x:row>
    <x:row r="59">
      <x:c r="A59" s="51" t="str">
        <x:v>RQ-055</x:v>
      </x:c>
      <x:c r="B59" s="51" t="str">
        <x:v>Derivatives netting</x:v>
      </x:c>
      <x:c r="C59" s="51" t="str">
        <x:v>Map ISDA opinion coverage, legal qualifications, collateral forms and actual close-out outcomes by jurisdiction.</x:v>
      </x:c>
      <x:c r="D59" s="51" t="str">
        <x:v>High</x:v>
      </x:c>
      <x:c r="E59" s="51" t="str">
        <x:v>Open</x:v>
      </x:c>
      <x:c r="F59" s="51" t="str">
        <x:v>DNET-001–DNET-004</x:v>
      </x:c>
      <x:c r="G59" s="51" t="str">
        <x:v>SRC-234; SRC-235</x:v>
      </x:c>
    </x:row>
    <x:row r="60">
      <x:c r="A60" s="51" t="str">
        <x:v>RQ-056</x:v>
      </x:c>
      <x:c r="B60" s="51" t="str">
        <x:v>Commercial arbitration</x:v>
      </x:c>
      <x:c r="C60" s="51" t="str">
        <x:v>Extract ICC 2025 sector, seat, law, arbitrator and award-duration data and connect to corporate actors where public.</x:v>
      </x:c>
      <x:c r="D60" s="51" t="str">
        <x:v>High</x:v>
      </x:c>
      <x:c r="E60" s="51" t="str">
        <x:v>Partial</x:v>
      </x:c>
      <x:c r="F60" s="51" t="str">
        <x:v>ARB-001–ARB-003</x:v>
      </x:c>
      <x:c r="G60" s="51" t="str">
        <x:v>SRC-238; SRC-239</x:v>
      </x:c>
    </x:row>
    <x:row r="61">
      <x:c r="A61" s="51" t="str">
        <x:v>RQ-057</x:v>
      </x:c>
      <x:c r="B61" s="51" t="str">
        <x:v>Investor-state arbitration</x:v>
      </x:c>
      <x:c r="C61" s="51" t="str">
        <x:v>Build an ICSID case network linking investors, states, sectors, law firms, arbitrators, treaties, outcomes and funders.</x:v>
      </x:c>
      <x:c r="D61" s="51" t="str">
        <x:v>Critical</x:v>
      </x:c>
      <x:c r="E61" s="51" t="str">
        <x:v>Open</x:v>
      </x:c>
      <x:c r="F61" s="51" t="str">
        <x:v>ARB-004–ARB-006</x:v>
      </x:c>
      <x:c r="G61" s="51" t="str">
        <x:v>SRC-236; SRC-237</x:v>
      </x:c>
    </x:row>
    <x:row r="62">
      <x:c r="A62" s="51" t="str">
        <x:v>RQ-058</x:v>
      </x:c>
      <x:c r="B62" s="51" t="str">
        <x:v>Sovereign restructuring</x:v>
      </x:c>
      <x:c r="C62" s="51" t="str">
        <x:v>Construct dated creditor-by-creditor ledgers for Zambia, Ghana, Sri Lanka, Ethiopia and other recent cases.</x:v>
      </x:c>
      <x:c r="D62" s="51" t="str">
        <x:v>Critical</x:v>
      </x:c>
      <x:c r="E62" s="51" t="str">
        <x:v>Open</x:v>
      </x:c>
      <x:c r="F62" s="51" t="str">
        <x:v>SOV-001–SOV-007</x:v>
      </x:c>
      <x:c r="G62" s="51" t="str">
        <x:v>SRC-240–SRC-244</x:v>
      </x:c>
    </x:row>
    <x:row r="63">
      <x:c r="A63" s="51" t="str">
        <x:v>RQ-059</x:v>
      </x:c>
      <x:c r="B63" s="51" t="str">
        <x:v>Litigation funding contracts</x:v>
      </x:c>
      <x:c r="C63" s="51" t="str">
        <x:v>Collect disclosed Burford, Omni and other funding agreements, return structures, control clauses and security interests.</x:v>
      </x:c>
      <x:c r="D63" s="51" t="str">
        <x:v>Critical</x:v>
      </x:c>
      <x:c r="E63" s="51" t="str">
        <x:v>Partial</x:v>
      </x:c>
      <x:c r="F63" s="51" t="str">
        <x:v>LIT-001–LIT-006</x:v>
      </x:c>
      <x:c r="G63" s="51" t="str">
        <x:v>SRC-245–SRC-249</x:v>
      </x:c>
    </x:row>
    <x:row r="64">
      <x:c r="A64" s="51" t="str">
        <x:v>RQ-060</x:v>
      </x:c>
      <x:c r="B64" s="51" t="str">
        <x:v>Failure-resolution outcomes</x:v>
      </x:c>
      <x:c r="C64" s="51" t="str">
        <x:v>Compare equity, secured, unsecured, employee and public recoveries across bankruptcy, arbitration and sovereign restructuring.</x:v>
      </x:c>
      <x:c r="D64" s="51" t="str">
        <x:v>Critical</x:v>
      </x:c>
      <x:c r="E64" s="51" t="str">
        <x:v>Not started</x:v>
      </x:c>
      <x:c r="F64" s="51" t="str">
        <x:v>V6 full layer</x:v>
      </x:c>
      <x:c r="G64" s="51" t="str">
        <x:v>Court dockets; awards; bond exchanges</x:v>
      </x:c>
    </x:row>
    <x:row r="65">
      <x:c r="A65" s="51" t="str">
        <x:v>RQ-061</x:v>
      </x:c>
      <x:c r="B65" s="51" t="str">
        <x:v>Forum selection</x:v>
      </x:c>
      <x:c r="C65" s="51" t="str">
        <x:v>Map incorporation state, bankruptcy venue, arbitration seat, governing law and enforcement jurisdiction for major ledger transactions.</x:v>
      </x:c>
      <x:c r="D65" s="51" t="str">
        <x:v>High</x:v>
      </x:c>
      <x:c r="E65" s="51" t="str">
        <x:v>Open</x:v>
      </x:c>
      <x:c r="F65" s="51" t="str">
        <x:v>MECH-084; LAW/BK/ARB layers</x:v>
      </x:c>
      <x:c r="G65" s="51" t="str">
        <x:v>SRC-221–SRC-249</x:v>
      </x:c>
    </x:row>
    <x:row r="66">
      <x:c r="A66" s="51" t="str">
        <x:v>RQ-062</x:v>
      </x:c>
      <x:c r="B66" s="51" t="str">
        <x:v>Global minimum tax</x:v>
      </x:c>
      <x:c r="C66" s="51" t="str">
        <x:v>Build a jurisdiction-by-jurisdiction database of Pillar Two enactment, effective dates, qualified status, safe harbours and top-up tax receipts.</x:v>
      </x:c>
      <x:c r="D66" s="51" t="str">
        <x:v>Critical</x:v>
      </x:c>
      <x:c r="E66" s="51" t="str">
        <x:v>Open</x:v>
      </x:c>
      <x:c r="F66" s="51" t="str">
        <x:v>FTX-001–FTX-003</x:v>
      </x:c>
      <x:c r="G66" s="51" t="str">
        <x:v>SRC-250–SRC-252</x:v>
      </x:c>
    </x:row>
    <x:row r="67">
      <x:c r="A67" s="51" t="str">
        <x:v>RQ-063</x:v>
      </x:c>
      <x:c r="B67" s="51" t="str">
        <x:v>Transfer pricing and CbCR</x:v>
      </x:c>
      <x:c r="C67" s="51" t="str">
        <x:v>Acquire anonymised OECD CbCR aggregates and public tax disputes to test profit-location versus employment and tangible assets.</x:v>
      </x:c>
      <x:c r="D67" s="51" t="str">
        <x:v>Critical</x:v>
      </x:c>
      <x:c r="E67" s="51" t="str">
        <x:v>Open</x:v>
      </x:c>
      <x:c r="F67" s="51" t="str">
        <x:v>FTX-004–FTX-010</x:v>
      </x:c>
      <x:c r="G67" s="51" t="str">
        <x:v>SRC-253–SRC-258</x:v>
      </x:c>
    </x:row>
    <x:row r="68">
      <x:c r="A68" s="51" t="str">
        <x:v>RQ-064</x:v>
      </x:c>
      <x:c r="B68" s="51" t="str">
        <x:v>Federal procurement</x:v>
      </x:c>
      <x:c r="C68" s="51" t="str">
        <x:v>Download FY2025–2026 order-level USAspending data linking parent vehicles, ceilings, obligations, outlays, modifications and recipients.</x:v>
      </x:c>
      <x:c r="D68" s="51" t="str">
        <x:v>Critical</x:v>
      </x:c>
      <x:c r="E68" s="51" t="str">
        <x:v>Open</x:v>
      </x:c>
      <x:c r="F68" s="51" t="str">
        <x:v>PROC-001–PROC-011</x:v>
      </x:c>
      <x:c r="G68" s="51" t="str">
        <x:v>SRC-259–SRC-265</x:v>
      </x:c>
    </x:row>
    <x:row r="69">
      <x:c r="A69" s="51" t="str">
        <x:v>RQ-065</x:v>
      </x:c>
      <x:c r="B69" s="51" t="str">
        <x:v>AI procurement terms</x:v>
      </x:c>
      <x:c r="C69" s="51" t="str">
        <x:v>Collect GSA and DOD AI agreements covering price, data ownership, model updates, evaluation, audit, termination and switching rights.</x:v>
      </x:c>
      <x:c r="D69" s="51" t="str">
        <x:v>Critical</x:v>
      </x:c>
      <x:c r="E69" s="51" t="str">
        <x:v>Open</x:v>
      </x:c>
      <x:c r="F69" s="51" t="str">
        <x:v>PROC-005–PROC-011</x:v>
      </x:c>
      <x:c r="G69" s="51" t="str">
        <x:v>SRC-265</x:v>
      </x:c>
    </x:row>
    <x:row r="70">
      <x:c r="A70" s="51" t="str">
        <x:v>RQ-066</x:v>
      </x:c>
      <x:c r="B70" s="51" t="str">
        <x:v>CHIPS awards</x:v>
      </x:c>
      <x:c r="C70" s="51" t="str">
        <x:v>Build a recipient-level ledger of award amount, private investment, milestones, disbursement, clawback, equity and workforce conditions.</x:v>
      </x:c>
      <x:c r="D70" s="51" t="str">
        <x:v>Critical</x:v>
      </x:c>
      <x:c r="E70" s="51" t="str">
        <x:v>Partial</x:v>
      </x:c>
      <x:c r="F70" s="51" t="str">
        <x:v>SUB-001–SUB-005</x:v>
      </x:c>
      <x:c r="G70" s="51" t="str">
        <x:v>SRC-266</x:v>
      </x:c>
    </x:row>
    <x:row r="71">
      <x:c r="A71" s="51" t="str">
        <x:v>RQ-067</x:v>
      </x:c>
      <x:c r="B71" s="51" t="str">
        <x:v>Tax-credit market</x:v>
      </x:c>
      <x:c r="C71" s="51" t="str">
        <x:v>Collect 48D and 45X claims, elective payments, transfers, transaction discounts, recapture allocation and buyer concentration.</x:v>
      </x:c>
      <x:c r="D71" s="51" t="str">
        <x:v>Critical</x:v>
      </x:c>
      <x:c r="E71" s="51" t="str">
        <x:v>Open</x:v>
      </x:c>
      <x:c r="F71" s="51" t="str">
        <x:v>SUB-006–SUB-010</x:v>
      </x:c>
      <x:c r="G71" s="51" t="str">
        <x:v>SRC-267–SRC-269</x:v>
      </x:c>
    </x:row>
    <x:row r="72">
      <x:c r="A72" s="51" t="str">
        <x:v>RQ-068</x:v>
      </x:c>
      <x:c r="B72" s="51" t="str">
        <x:v>Federal credit</x:v>
      </x:c>
      <x:c r="C72" s="51" t="str">
        <x:v>Import OMB Federal Credit Supplement tables and calculate face exposure, subsidy rates, re-estimates, defaults and recoveries by programme.</x:v>
      </x:c>
      <x:c r="D72" s="51" t="str">
        <x:v>Critical</x:v>
      </x:c>
      <x:c r="E72" s="51" t="str">
        <x:v>Open</x:v>
      </x:c>
      <x:c r="F72" s="51" t="str">
        <x:v>FCR-001–FCR-008</x:v>
      </x:c>
      <x:c r="G72" s="51" t="str">
        <x:v>SRC-272–SRC-276</x:v>
      </x:c>
    </x:row>
    <x:row r="73">
      <x:c r="A73" s="51" t="str">
        <x:v>RQ-069</x:v>
      </x:c>
      <x:c r="B73" s="51" t="str">
        <x:v>DOE LPO transactions</x:v>
      </x:c>
      <x:c r="C73" s="51" t="str">
        <x:v>Map every conditional commitment and closed loan to sponsors, lenders, collateral, subsidy cost, milestones and project outcomes.</x:v>
      </x:c>
      <x:c r="D73" s="51" t="str">
        <x:v>Critical</x:v>
      </x:c>
      <x:c r="E73" s="51" t="str">
        <x:v>Partial</x:v>
      </x:c>
      <x:c r="F73" s="51" t="str">
        <x:v>FCR-004–FCR-006</x:v>
      </x:c>
      <x:c r="G73" s="51" t="str">
        <x:v>SRC-270; SRC-271</x:v>
      </x:c>
    </x:row>
    <x:row r="74">
      <x:c r="A74" s="51" t="str">
        <x:v>RQ-070</x:v>
      </x:c>
      <x:c r="B74" s="51" t="str">
        <x:v>Deposit insurance</x:v>
      </x:c>
      <x:c r="C74" s="51" t="str">
        <x:v>Build a failed-bank resolution ledger with DIF losses, uninsured deposits, acquirers, asset discounts and subsequent assessments.</x:v>
      </x:c>
      <x:c r="D74" s="51" t="str">
        <x:v>High</x:v>
      </x:c>
      <x:c r="E74" s="51" t="str">
        <x:v>Open</x:v>
      </x:c>
      <x:c r="F74" s="51" t="str">
        <x:v>DEP-001–DEP-005</x:v>
      </x:c>
      <x:c r="G74" s="51" t="str">
        <x:v>SRC-277; SRC-278</x:v>
      </x:c>
    </x:row>
    <x:row r="75">
      <x:c r="A75" s="51" t="str">
        <x:v>RQ-071</x:v>
      </x:c>
      <x:c r="B75" s="51" t="str">
        <x:v>Central-bank collateral</x:v>
      </x:c>
      <x:c r="C75" s="51" t="str">
        <x:v>Collect Federal Reserve and Eurosystem eligible collateral schedules, haircuts, facility usage and borrower disclosures by period.</x:v>
      </x:c>
      <x:c r="D75" s="51" t="str">
        <x:v>Critical</x:v>
      </x:c>
      <x:c r="E75" s="51" t="str">
        <x:v>Open</x:v>
      </x:c>
      <x:c r="F75" s="51" t="str">
        <x:v>LIQ-001–LIQ-008</x:v>
      </x:c>
      <x:c r="G75" s="51" t="str">
        <x:v>SRC-279–SRC-284</x:v>
      </x:c>
    </x:row>
    <x:row r="76">
      <x:c r="A76" s="51" t="str">
        <x:v>RQ-072</x:v>
      </x:c>
      <x:c r="B76" s="51" t="str">
        <x:v>Public guarantees</x:v>
      </x:c>
      <x:c r="C76" s="51" t="str">
        <x:v>Create transaction-level DFC, EXIM and MIGA datasets with guarantee type, coverage, lender, sponsor, host country, fees, claims and recoveries.</x:v>
      </x:c>
      <x:c r="D76" s="51" t="str">
        <x:v>Critical</x:v>
      </x:c>
      <x:c r="E76" s="51" t="str">
        <x:v>Open</x:v>
      </x:c>
      <x:c r="F76" s="51" t="str">
        <x:v>GUA-001–GUA-008</x:v>
      </x:c>
      <x:c r="G76" s="51" t="str">
        <x:v>SRC-285–SRC-288</x:v>
      </x:c>
    </x:row>
    <x:row r="77">
      <x:c r="A77" s="51" t="str">
        <x:v>RQ-073</x:v>
      </x:c>
      <x:c r="B77" s="51" t="str">
        <x:v>Fiscal-risk comparison</x:v>
      </x:c>
      <x:c r="C77" s="51" t="str">
        <x:v>Compare grants, tax credits, direct loans, guarantees, deposit insurance and central-bank credit on face value, expected cost, realised loss and beneficiaries.</x:v>
      </x:c>
      <x:c r="D77" s="51" t="str">
        <x:v>Critical</x:v>
      </x:c>
      <x:c r="E77" s="51" t="str">
        <x:v>Not started</x:v>
      </x:c>
      <x:c r="F77" s="51" t="str">
        <x:v>V7 full layer</x:v>
      </x:c>
      <x:c r="G77" s="51" t="str">
        <x:v>V7 sources plus budget tables</x:v>
      </x:c>
    </x:row>
    <x:row r="78">
      <x:c r="A78" s="51" t="str">
        <x:v>RQ-074</x:v>
      </x:c>
      <x:c r="B78" s="51" t="str">
        <x:v>Parcel and zoning data</x:v>
      </x:c>
      <x:c r="C78" s="51" t="str">
        <x:v>Build parcel-level ledgers linking deeds, assessed values, zoning, permits, TDRs and beneficial owners in selected cities.</x:v>
      </x:c>
      <x:c r="D78" s="51" t="str">
        <x:v>Critical</x:v>
      </x:c>
      <x:c r="E78" s="51" t="str">
        <x:v>Open</x:v>
      </x:c>
      <x:c r="F78" s="51" t="str">
        <x:v>LAND and TITLE layers</x:v>
      </x:c>
      <x:c r="G78" s="51" t="str">
        <x:v>Local recorder, assessor and planning datasets</x:v>
      </x:c>
    </x:row>
    <x:row r="79">
      <x:c r="A79" s="51" t="str">
        <x:v>RQ-075</x:v>
      </x:c>
      <x:c r="B79" s="51" t="str">
        <x:v>Title and closing concentration</x:v>
      </x:c>
      <x:c r="C79" s="51" t="str">
        <x:v>Collect county recording volumes, title-insurer premiums, agent networks, closing fees, claims and market shares.</x:v>
      </x:c>
      <x:c r="D79" s="51" t="str">
        <x:v>High</x:v>
      </x:c>
      <x:c r="E79" s="51" t="str">
        <x:v>Open</x:v>
      </x:c>
      <x:c r="F79" s="51" t="str">
        <x:v>TITLE-001–TITLE-006</x:v>
      </x:c>
      <x:c r="G79" s="51" t="str">
        <x:v>SRC-319–SRC-321</x:v>
      </x:c>
    </x:row>
    <x:row r="80">
      <x:c r="A80" s="51" t="str">
        <x:v>RQ-076</x:v>
      </x:c>
      <x:c r="B80" s="51" t="str">
        <x:v>MERS chain integrity</x:v>
      </x:c>
      <x:c r="C80" s="51" t="str">
        <x:v>Sample mortgages and compare county assignments, MERS records, eRegistry controller, servicer and investor records through time.</x:v>
      </x:c>
      <x:c r="D80" s="51" t="str">
        <x:v>Critical</x:v>
      </x:c>
      <x:c r="E80" s="51" t="str">
        <x:v>Open</x:v>
      </x:c>
      <x:c r="F80" s="51" t="str">
        <x:v>SERV-001–SERV-003</x:v>
      </x:c>
      <x:c r="G80" s="51" t="str">
        <x:v>SRC-317; SRC-318</x:v>
      </x:c>
    </x:row>
    <x:row r="81">
      <x:c r="A81" s="51" t="str">
        <x:v>RQ-077</x:v>
      </x:c>
      <x:c r="B81" s="51" t="str">
        <x:v>Mortgage origination</x:v>
      </x:c>
      <x:c r="C81" s="51" t="str">
        <x:v>Import 2024–2026 HMDA data and model approval, pricing, channel, lender, geography and demographic outcomes.</x:v>
      </x:c>
      <x:c r="D81" s="51" t="str">
        <x:v>Critical</x:v>
      </x:c>
      <x:c r="E81" s="51" t="str">
        <x:v>Open</x:v>
      </x:c>
      <x:c r="F81" s="51" t="str">
        <x:v>MORT-001–MORT-006</x:v>
      </x:c>
      <x:c r="G81" s="51" t="str">
        <x:v>SRC-316</x:v>
      </x:c>
    </x:row>
    <x:row r="82">
      <x:c r="A82" s="51" t="str">
        <x:v>RQ-078</x:v>
      </x:c>
      <x:c r="B82" s="51" t="str">
        <x:v>Mortgage servicing</x:v>
      </x:c>
      <x:c r="C82" s="51" t="str">
        <x:v>Build servicer-level data on transfers, escrow errors, loss mitigation, foreclosure, complaints and investor type.</x:v>
      </x:c>
      <x:c r="D82" s="51" t="str">
        <x:v>Critical</x:v>
      </x:c>
      <x:c r="E82" s="51" t="str">
        <x:v>Open</x:v>
      </x:c>
      <x:c r="F82" s="51" t="str">
        <x:v>SERV-004–SERV-006</x:v>
      </x:c>
      <x:c r="G82" s="51" t="str">
        <x:v>SRC-314 plus complaint and court data</x:v>
      </x:c>
    </x:row>
    <x:row r="83">
      <x:c r="A83" s="51" t="str">
        <x:v>RQ-079</x:v>
      </x:c>
      <x:c r="B83" s="51" t="str">
        <x:v>Agency mortgage flows</x:v>
      </x:c>
      <x:c r="C83" s="51" t="str">
        <x:v>Import Fannie, Freddie and Ginnie monthly mortgage, MBS, guaranty, delinquency and prepayment data.</x:v>
      </x:c>
      <x:c r="D83" s="51" t="str">
        <x:v>Critical</x:v>
      </x:c>
      <x:c r="E83" s="51" t="str">
        <x:v>Partial</x:v>
      </x:c>
      <x:c r="F83" s="51" t="str">
        <x:v>HFIN-001–HFIN-012</x:v>
      </x:c>
      <x:c r="G83" s="51" t="str">
        <x:v>SRC-302–SRC-306; SRC-309</x:v>
      </x:c>
    </x:row>
    <x:row r="84">
      <x:c r="A84" s="51" t="str">
        <x:v>RQ-080</x:v>
      </x:c>
      <x:c r="B84" s="51" t="str">
        <x:v>Credit risk transfer</x:v>
      </x:c>
      <x:c r="C84" s="51" t="str">
        <x:v>Map every CAS and STACR transaction to reference pools, attachment points, investors, losses and Enterprise retained risk.</x:v>
      </x:c>
      <x:c r="D84" s="51" t="str">
        <x:v>Critical</x:v>
      </x:c>
      <x:c r="E84" s="51" t="str">
        <x:v>Open</x:v>
      </x:c>
      <x:c r="F84" s="51" t="str">
        <x:v>HFIN-013</x:v>
      </x:c>
      <x:c r="G84" s="51" t="str">
        <x:v>SRC-307; SRC-308 plus Freddie CRT data</x:v>
      </x:c>
    </x:row>
    <x:row r="85">
      <x:c r="A85" s="51" t="str">
        <x:v>RQ-081</x:v>
      </x:c>
      <x:c r="B85" s="51" t="str">
        <x:v>FHLBank liquidity</x:v>
      </x:c>
      <x:c r="C85" s="51" t="str">
        <x:v>Build member-level advances, collateral, stock, mission grants and crisis usage by district and institution.</x:v>
      </x:c>
      <x:c r="D85" s="51" t="str">
        <x:v>Critical</x:v>
      </x:c>
      <x:c r="E85" s="51" t="str">
        <x:v>Open</x:v>
      </x:c>
      <x:c r="F85" s="51" t="str">
        <x:v>HFIN-014–HFIN-016</x:v>
      </x:c>
      <x:c r="G85" s="51" t="str">
        <x:v>SRC-312; SRC-313; SRC-331</x:v>
      </x:c>
    </x:row>
    <x:row r="86">
      <x:c r="A86" s="51" t="str">
        <x:v>RQ-082</x:v>
      </x:c>
      <x:c r="B86" s="51" t="str">
        <x:v>Institutional landlords</x:v>
      </x:c>
      <x:c r="C86" s="51" t="str">
        <x:v>Create property-level Invitation Homes, AMH and BREIT-linked ownership, financing, rent, maintenance, eviction and sale histories.</x:v>
      </x:c>
      <x:c r="D86" s="51" t="str">
        <x:v>Critical</x:v>
      </x:c>
      <x:c r="E86" s="51" t="str">
        <x:v>Open</x:v>
      </x:c>
      <x:c r="F86" s="51" t="str">
        <x:v>RENT-001–RENT-006</x:v>
      </x:c>
      <x:c r="G86" s="51" t="str">
        <x:v>SRC-322–SRC-324 plus county records</x:v>
      </x:c>
    </x:row>
    <x:row r="87">
      <x:c r="A87" s="51" t="str">
        <x:v>RQ-083</x:v>
      </x:c>
      <x:c r="B87" s="51" t="str">
        <x:v>Municipal debt network</x:v>
      </x:c>
      <x:c r="C87" s="51" t="str">
        <x:v>Import EMMA security, issuer, advisor, underwriter, disclosure, trade and call data and connect bonds to funded assets.</x:v>
      </x:c>
      <x:c r="D87" s="51" t="str">
        <x:v>Critical</x:v>
      </x:c>
      <x:c r="E87" s="51" t="str">
        <x:v>Open</x:v>
      </x:c>
      <x:c r="F87" s="51" t="str">
        <x:v>MUNI-003–MUNI-010</x:v>
      </x:c>
      <x:c r="G87" s="51" t="str">
        <x:v>SRC-294–SRC-299; SRC-329</x:v>
      </x:c>
    </x:row>
    <x:row r="88">
      <x:c r="A88" s="51" t="str">
        <x:v>RQ-084</x:v>
      </x:c>
      <x:c r="B88" s="51" t="str">
        <x:v>Property tax incidence</x:v>
      </x:c>
      <x:c r="C88" s="51" t="str">
        <x:v>Compare assessed value, effective tax rates, exemptions, arrears, tax liens and service quality by household and property type.</x:v>
      </x:c>
      <x:c r="D88" s="51" t="str">
        <x:v>High</x:v>
      </x:c>
      <x:c r="E88" s="51" t="str">
        <x:v>Open</x:v>
      </x:c>
      <x:c r="F88" s="51" t="str">
        <x:v>MUNI-001–MUNI-002</x:v>
      </x:c>
      <x:c r="G88" s="51" t="str">
        <x:v>SRC-292; SRC-293 plus local rolls</x:v>
      </x:c>
    </x:row>
    <x:row r="89">
      <x:c r="A89" s="51" t="str">
        <x:v>RQ-085</x:v>
      </x:c>
      <x:c r="B89" s="51" t="str">
        <x:v>Housing-system stress test</x:v>
      </x:c>
      <x:c r="C89" s="51" t="str">
        <x:v>Simulate price decline, unemployment, insurance claims, servicer advances, GSE losses, CRT absorption and municipal revenue effects.</x:v>
      </x:c>
      <x:c r="D89" s="51" t="str">
        <x:v>Critical</x:v>
      </x:c>
      <x:c r="E89" s="51" t="str">
        <x:v>Not started</x:v>
      </x:c>
      <x:c r="F89" s="51" t="str">
        <x:v>V8 full layer</x:v>
      </x:c>
      <x:c r="G89" s="51" t="str">
        <x:v>V8 datasets and stress assumptions</x:v>
      </x:c>
    </x:row>
    <x:row r="90">
      <x:c r="A90" s="51" t="str">
        <x:v>RQ-086</x:v>
      </x:c>
      <x:c r="B90" s="51" t="str">
        <x:v>OPEC+ production coordination</x:v>
      </x:c>
      <x:c r="C90" s="51" t="str">
        <x:v>Build monthly country-level production, quota, compensation, spare-capacity and export data through 2026.</x:v>
      </x:c>
      <x:c r="D90" s="51" t="str">
        <x:v>Critical</x:v>
      </x:c>
      <x:c r="E90" s="51" t="str">
        <x:v>Open</x:v>
      </x:c>
      <x:c r="F90" s="51" t="str">
        <x:v>ENER-001–ENER-003</x:v>
      </x:c>
      <x:c r="G90" s="51" t="str">
        <x:v>SRC-333–SRC-336 plus IEA/EIA and tanker data</x:v>
      </x:c>
    </x:row>
    <x:row r="91">
      <x:c r="A91" s="51" t="str">
        <x:v>RQ-087</x:v>
      </x:c>
      <x:c r="B91" s="51" t="str">
        <x:v>Resource-backed finance</x:v>
      </x:c>
      <x:c r="C91" s="51" t="str">
        <x:v>Collect assignment, offtake, prepayment, reserve-based lending and structured-finance documents for NOCs and traders.</x:v>
      </x:c>
      <x:c r="D91" s="51" t="str">
        <x:v>Critical</x:v>
      </x:c>
      <x:c r="E91" s="51" t="str">
        <x:v>Partial</x:v>
      </x:c>
      <x:c r="F91" s="51" t="str">
        <x:v>ENER-005–ENER-009; MECH-119</x:v>
      </x:c>
      <x:c r="G91" s="51" t="str">
        <x:v>SRC-338; SRC-339 plus bond prospectuses</x:v>
      </x:c>
    </x:row>
    <x:row r="92">
      <x:c r="A92" s="51" t="str">
        <x:v>RQ-088</x:v>
      </x:c>
      <x:c r="B92" s="51" t="str">
        <x:v>Benchmark formation</x:v>
      </x:c>
      <x:c r="C92" s="51" t="str">
        <x:v>Download assessment windows, eligible cargoes, bids/offers/trades, corrections and governance for Brent, JKM, WTI and LME metals.</x:v>
      </x:c>
      <x:c r="D92" s="51" t="str">
        <x:v>Critical</x:v>
      </x:c>
      <x:c r="E92" s="51" t="str">
        <x:v>Open</x:v>
      </x:c>
      <x:c r="F92" s="51" t="str">
        <x:v>BENCH-001–BENCH-010</x:v>
      </x:c>
      <x:c r="G92" s="51" t="str">
        <x:v>SRC-345–SRC-353</x:v>
      </x:c>
    </x:row>
    <x:row r="93">
      <x:c r="A93" s="51" t="str">
        <x:v>RQ-089</x:v>
      </x:c>
      <x:c r="B93" s="51" t="str">
        <x:v>Commodity merchant network</x:v>
      </x:c>
      <x:c r="C93" s="51" t="str">
        <x:v>Map Vitol, Trafigura, Glencore and Gunvor suppliers, buyers, storage, vessels, credit facilities, governments and derivatives exposures.</x:v>
      </x:c>
      <x:c r="D93" s="51" t="str">
        <x:v>Critical</x:v>
      </x:c>
      <x:c r="E93" s="51" t="str">
        <x:v>Open</x:v>
      </x:c>
      <x:c r="F93" s="51" t="str">
        <x:v>TRAD-001–TRAD-010</x:v>
      </x:c>
      <x:c r="G93" s="51" t="str">
        <x:v>SRC-354–SRC-361 plus filings and transaction data</x:v>
      </x:c>
    </x:row>
    <x:row r="94">
      <x:c r="A94" s="51" t="str">
        <x:v>RQ-090</x:v>
      </x:c>
      <x:c r="B94" s="51" t="str">
        <x:v>LNG contract network</x:v>
      </x:c>
      <x:c r="C94" s="51" t="str">
        <x:v>Build a project-by-project ledger of SPAs, pricing formulas, destination clauses, vessels, terminals and final investment decisions.</x:v>
      </x:c>
      <x:c r="D94" s="51" t="str">
        <x:v>Critical</x:v>
      </x:c>
      <x:c r="E94" s="51" t="str">
        <x:v>Open</x:v>
      </x:c>
      <x:c r="F94" s="51" t="str">
        <x:v>LNG-001–LNG-007</x:v>
      </x:c>
      <x:c r="G94" s="51" t="str">
        <x:v>SRC-340–SRC-345</x:v>
      </x:c>
    </x:row>
    <x:row r="95">
      <x:c r="A95" s="51" t="str">
        <x:v>RQ-091</x:v>
      </x:c>
      <x:c r="B95" s="51" t="str">
        <x:v>Ship ownership chains</x:v>
      </x:c>
      <x:c r="C95" s="51" t="str">
        <x:v>Link IMO ship number, flag, registered owner, beneficial owner, manager, charterer, class, insurer and voyage history.</x:v>
      </x:c>
      <x:c r="D95" s="51" t="str">
        <x:v>Critical</x:v>
      </x:c>
      <x:c r="E95" s="51" t="str">
        <x:v>Open</x:v>
      </x:c>
      <x:c r="F95" s="51" t="str">
        <x:v>SHIP-001–SHIP-007</x:v>
      </x:c>
      <x:c r="G95" s="51" t="str">
        <x:v>SRC-362–SRC-365 plus Equasis and registry records</x:v>
      </x:c>
    </x:row>
    <x:row r="96">
      <x:c r="A96" s="51" t="str">
        <x:v>RQ-092</x:v>
      </x:c>
      <x:c r="B96" s="51" t="str">
        <x:v>Chokepoint stress data</x:v>
      </x:c>
      <x:c r="C96" s="51" t="str">
        <x:v>Model Hormuz, Malacca, Suez and Cape rerouting using vessel flows, freight, insurance, inventory and pipeline bypass capacity.</x:v>
      </x:c>
      <x:c r="D96" s="51" t="str">
        <x:v>Critical</x:v>
      </x:c>
      <x:c r="E96" s="51" t="str">
        <x:v>Open</x:v>
      </x:c>
      <x:c r="F96" s="51" t="str">
        <x:v>SHIP-004–SHIP-006</x:v>
      </x:c>
      <x:c r="G96" s="51" t="str">
        <x:v>SRC-366; SRC-367 plus AIS and canal data</x:v>
      </x:c>
    </x:row>
    <x:row r="97">
      <x:c r="A97" s="51" t="str">
        <x:v>RQ-093</x:v>
      </x:c>
      <x:c r="B97" s="51" t="str">
        <x:v>Marine insurance network</x:v>
      </x:c>
      <x:c r="C97" s="51" t="str">
        <x:v>Collect P&amp;I club entries, pool claims, reinsurance layers, Lloyd's syndicates, brokers and sanctions exclusions.</x:v>
      </x:c>
      <x:c r="D97" s="51" t="str">
        <x:v>High</x:v>
      </x:c>
      <x:c r="E97" s="51" t="str">
        <x:v>Open</x:v>
      </x:c>
      <x:c r="F97" s="51" t="str">
        <x:v>INSUR-001–INSUR-007</x:v>
      </x:c>
      <x:c r="G97" s="51" t="str">
        <x:v>SRC-368–SRC-372</x:v>
      </x:c>
    </x:row>
    <x:row r="98">
      <x:c r="A98" s="51" t="str">
        <x:v>RQ-094</x:v>
      </x:c>
      <x:c r="B98" s="51" t="str">
        <x:v>Oil price-cap enforcement</x:v>
      </x:c>
      <x:c r="C98" s="51" t="str">
        <x:v>Build voyage-level records linking Russian cargo price evidence, attestation tier, flag, owner, insurer, bank and enforcement action.</x:v>
      </x:c>
      <x:c r="D98" s="51" t="str">
        <x:v>Critical</x:v>
      </x:c>
      <x:c r="E98" s="51" t="str">
        <x:v>Open</x:v>
      </x:c>
      <x:c r="F98" s="51" t="str">
        <x:v>INSUR-005–INSUR-007</x:v>
      </x:c>
      <x:c r="G98" s="51" t="str">
        <x:v>SRC-371; SRC-372 plus coalition enforcement releases</x:v>
      </x:c>
    </x:row>
    <x:row r="99">
      <x:c r="A99" s="51" t="str">
        <x:v>RQ-095</x:v>
      </x:c>
      <x:c r="B99" s="51" t="str">
        <x:v>Trade finance documents</x:v>
      </x:c>
      <x:c r="C99" s="51" t="str">
        <x:v>Collect anonymised letters of credit, SWIFT messages, bills of lading, discrepancies, confirmations and sanctions holds.</x:v>
      </x:c>
      <x:c r="D99" s="51" t="str">
        <x:v>Critical</x:v>
      </x:c>
      <x:c r="E99" s="51" t="str">
        <x:v>Open</x:v>
      </x:c>
      <x:c r="F99" s="51" t="str">
        <x:v>TFIN-001–TFIN-010</x:v>
      </x:c>
      <x:c r="G99" s="51" t="str">
        <x:v>SRC-373–SRC-378 plus court cases and bank data</x:v>
      </x:c>
    </x:row>
    <x:row r="100">
      <x:c r="A100" s="51" t="str">
        <x:v>RQ-096</x:v>
      </x:c>
      <x:c r="B100" s="51" t="str">
        <x:v>LME warehouse title</x:v>
      </x:c>
      <x:c r="C100" s="51" t="str">
        <x:v>Map warehouse operators, locations, warrants, cancellations, queues, owners, financiers and off-warrant metal.</x:v>
      </x:c>
      <x:c r="D100" s="51" t="str">
        <x:v>High</x:v>
      </x:c>
      <x:c r="E100" s="51" t="str">
        <x:v>Open</x:v>
      </x:c>
      <x:c r="F100" s="51" t="str">
        <x:v>BENCH-009–BENCH-010</x:v>
      </x:c>
      <x:c r="G100" s="51" t="str">
        <x:v>SRC-351–SRC-353</x:v>
      </x:c>
    </x:row>
    <x:row r="101">
      <x:c r="A101" s="51" t="str">
        <x:v>RQ-097</x:v>
      </x:c>
      <x:c r="B101" s="51" t="str">
        <x:v>Commodity-system stress test</x:v>
      </x:c>
      <x:c r="C101" s="51" t="str">
        <x:v>Simulate supply cut, chokepoint closure, margin call, bank-line withdrawal, insurance cancellation and document rejection across one cargo chain.</x:v>
      </x:c>
      <x:c r="D101" s="51" t="str">
        <x:v>Critical</x:v>
      </x:c>
      <x:c r="E101" s="51" t="str">
        <x:v>Not started</x:v>
      </x:c>
      <x:c r="F101" s="51" t="str">
        <x:v>V9 full layer</x:v>
      </x:c>
      <x:c r="G101" s="51" t="str">
        <x:v>V9 datasets and scenario assumptions</x:v>
      </x:c>
    </x:row>
    <x:row r="102">
      <x:c r="A102" s="51" t="str">
        <x:v>RQ-098</x:v>
      </x:c>
      <x:c r="B102" s="51" t="str">
        <x:v>Semiconductor capacity</x:v>
      </x:c>
      <x:c r="C102" s="51" t="str">
        <x:v>Build product-level supply chains linking NVIDIA/AMD/custom accelerators to design tools, foundry node, CoWoS, HBM, substrates and lead times.</x:v>
      </x:c>
      <x:c r="D102" s="51" t="str">
        <x:v>Critical</x:v>
      </x:c>
      <x:c r="E102" s="51" t="str">
        <x:v>Open</x:v>
      </x:c>
      <x:c r="F102" s="51" t="str">
        <x:v>CHIP-001–CHIP-010</x:v>
      </x:c>
      <x:c r="G102" s="51" t="str">
        <x:v>SRC-379–SRC-393 plus supplier filings</x:v>
      </x:c>
    </x:row>
    <x:row r="103">
      <x:c r="A103" s="51" t="str">
        <x:v>RQ-099</x:v>
      </x:c>
      <x:c r="B103" s="51" t="str">
        <x:v>Lithography allocation</x:v>
      </x:c>
      <x:c r="C103" s="51" t="str">
        <x:v>Collect ASML EUV/High-NA bookings, installed base, service capacity, customer concentration and export licences by country.</x:v>
      </x:c>
      <x:c r="D103" s="51" t="str">
        <x:v>Critical</x:v>
      </x:c>
      <x:c r="E103" s="51" t="str">
        <x:v>Open</x:v>
      </x:c>
      <x:c r="F103" s="51" t="str">
        <x:v>CHIP-004; MECH-135</x:v>
      </x:c>
      <x:c r="G103" s="51" t="str">
        <x:v>SRC-385–SRC-387 plus export records</x:v>
      </x:c>
    </x:row>
    <x:row r="104">
      <x:c r="A104" s="51" t="str">
        <x:v>RQ-100</x:v>
      </x:c>
      <x:c r="B104" s="51" t="str">
        <x:v>OpenAI infrastructure</x:v>
      </x:c>
      <x:c r="C104" s="51" t="str">
        <x:v>Map every Stargate site to land owner, operator, cloud provider, GPU supplier, power source, utility, financing and operational MW.</x:v>
      </x:c>
      <x:c r="D104" s="51" t="str">
        <x:v>Critical</x:v>
      </x:c>
      <x:c r="E104" s="51" t="str">
        <x:v>Partial</x:v>
      </x:c>
      <x:c r="F104" s="51" t="str">
        <x:v>CLOUD-001–CLOUD-004; POWERAI-001–002</x:v>
      </x:c>
      <x:c r="G104" s="51" t="str">
        <x:v>SRC-394–SRC-407</x:v>
      </x:c>
    </x:row>
    <x:row r="105">
      <x:c r="A105" s="51" t="str">
        <x:v>RQ-101</x:v>
      </x:c>
      <x:c r="B105" s="51" t="str">
        <x:v>Microsoft–OpenAI economics</x:v>
      </x:c>
      <x:c r="C105" s="51" t="str">
        <x:v>Obtain contract timing, Azure service categories, revenue recognition, capacity reservations and IP licence boundaries.</x:v>
      </x:c>
      <x:c r="D105" s="51" t="str">
        <x:v>Critical</x:v>
      </x:c>
      <x:c r="E105" s="51" t="str">
        <x:v>Open</x:v>
      </x:c>
      <x:c r="F105" s="51" t="str">
        <x:v>CLOUD-001–CLOUD-002</x:v>
      </x:c>
      <x:c r="G105" s="51" t="str">
        <x:v>SRC-400; SRC-401 plus filings</x:v>
      </x:c>
    </x:row>
    <x:row r="106">
      <x:c r="A106" s="51" t="str">
        <x:v>RQ-102</x:v>
      </x:c>
      <x:c r="B106" s="51" t="str">
        <x:v>Anthropic compute</x:v>
      </x:c>
      <x:c r="C106" s="51" t="str">
        <x:v>Map Amazon, Google, Broadcom, Trainium, TPU and GPU capacity by operational date, region, model and contracted GW.</x:v>
      </x:c>
      <x:c r="D106" s="51" t="str">
        <x:v>Critical</x:v>
      </x:c>
      <x:c r="E106" s="51" t="str">
        <x:v>Open</x:v>
      </x:c>
      <x:c r="F106" s="51" t="str">
        <x:v>CLOUD-005–CLOUD-008</x:v>
      </x:c>
      <x:c r="G106" s="51" t="str">
        <x:v>SRC-412–SRC-415</x:v>
      </x:c>
    </x:row>
    <x:row r="107">
      <x:c r="A107" s="51" t="str">
        <x:v>RQ-103</x:v>
      </x:c>
      <x:c r="B107" s="51" t="str">
        <x:v>CoreWeave financing</x:v>
      </x:c>
      <x:c r="C107" s="51" t="str">
        <x:v>Link every facility to GPUs, data centers, customer contracts, lenders, maturities, utilisation and hardware residual values.</x:v>
      </x:c>
      <x:c r="D107" s="51" t="str">
        <x:v>Critical</x:v>
      </x:c>
      <x:c r="E107" s="51" t="str">
        <x:v>Open</x:v>
      </x:c>
      <x:c r="F107" s="51" t="str">
        <x:v>CLOUD-009–010; FINAI-003</x:v>
      </x:c>
      <x:c r="G107" s="51" t="str">
        <x:v>SRC-408–SRC-411</x:v>
      </x:c>
    </x:row>
    <x:row r="108">
      <x:c r="A108" s="51" t="str">
        <x:v>RQ-104</x:v>
      </x:c>
      <x:c r="B108" s="51" t="str">
        <x:v>AI Infrastructure Partnership</x:v>
      </x:c>
      <x:c r="C108" s="51" t="str">
        <x:v>Identify committed funds, closed investments, leverage, tenants, utilities, power assets and sovereign investors.</x:v>
      </x:c>
      <x:c r="D108" s="51" t="str">
        <x:v>Critical</x:v>
      </x:c>
      <x:c r="E108" s="51" t="str">
        <x:v>Open</x:v>
      </x:c>
      <x:c r="F108" s="51" t="str">
        <x:v>FINAI-004–FINAI-009</x:v>
      </x:c>
      <x:c r="G108" s="51" t="str">
        <x:v>SRC-418–SRC-420</x:v>
      </x:c>
    </x:row>
    <x:row r="109">
      <x:c r="A109" s="51" t="str">
        <x:v>RQ-105</x:v>
      </x:c>
      <x:c r="B109" s="51" t="str">
        <x:v>Data-center power</x:v>
      </x:c>
      <x:c r="C109" s="51" t="str">
        <x:v>Build site-level announced, contracted, interconnected, energised and utilised MW with generation, grid upgrades, water and rate treatment.</x:v>
      </x:c>
      <x:c r="D109" s="51" t="str">
        <x:v>Critical</x:v>
      </x:c>
      <x:c r="E109" s="51" t="str">
        <x:v>Open</x:v>
      </x:c>
      <x:c r="F109" s="51" t="str">
        <x:v>POWERAI-001–POWERAI-007</x:v>
      </x:c>
      <x:c r="G109" s="51" t="str">
        <x:v>SRC-402; SRC-416–SRC-429</x:v>
      </x:c>
    </x:row>
    <x:row r="110">
      <x:c r="A110" s="51" t="str">
        <x:v>RQ-106</x:v>
      </x:c>
      <x:c r="B110" s="51" t="str">
        <x:v>Export-control network</x:v>
      </x:c>
      <x:c r="C110" s="51" t="str">
        <x:v>Create licence-level records for chip model, exporter, ultimate parent, destination, end user, conditions and enforcement action.</x:v>
      </x:c>
      <x:c r="D110" s="51" t="str">
        <x:v>Critical</x:v>
      </x:c>
      <x:c r="E110" s="51" t="str">
        <x:v>Open</x:v>
      </x:c>
      <x:c r="F110" s="51" t="str">
        <x:v>POLAI-002–POLAI-004</x:v>
      </x:c>
      <x:c r="G110" s="51" t="str">
        <x:v>SRC-424–SRC-426</x:v>
      </x:c>
    </x:row>
    <x:row r="111">
      <x:c r="A111" s="51" t="str">
        <x:v>RQ-107</x:v>
      </x:c>
      <x:c r="B111" s="51" t="str">
        <x:v>Executive authority</x:v>
      </x:c>
      <x:c r="C111" s="51" t="str">
        <x:v>Add verified share ownership, voting rights, board seats, employment authority and signed transaction responsibility for major AI executives.</x:v>
      </x:c>
      <x:c r="D111" s="51" t="str">
        <x:v>High</x:v>
      </x:c>
      <x:c r="E111" s="51" t="str">
        <x:v>Partial</x:v>
      </x:c>
      <x:c r="F111" s="51" t="str">
        <x:v>EXEC-001–EXEC-012</x:v>
      </x:c>
      <x:c r="G111" s="51" t="str">
        <x:v>SRC-430–SRC-441 plus proxies</x:v>
      </x:c>
    </x:row>
    <x:row r="112">
      <x:c r="A112" s="51" t="str">
        <x:v>RQ-108</x:v>
      </x:c>
      <x:c r="B112" s="51" t="str">
        <x:v>AI custom silicon</x:v>
      </x:c>
      <x:c r="C112" s="51" t="str">
        <x:v>Track OpenAI/Broadcom, Google TPU, AWS Trainium, Meta accelerators and Microsoft silicon from design through foundry and deployment.</x:v>
      </x:c>
      <x:c r="D112" s="51" t="str">
        <x:v>Critical</x:v>
      </x:c>
      <x:c r="E112" s="51" t="str">
        <x:v>Open</x:v>
      </x:c>
      <x:c r="F112" s="51" t="str">
        <x:v>CHIP-009–010; CLOUD-006–008</x:v>
      </x:c>
      <x:c r="G112" s="51" t="str">
        <x:v>SRC-399; SRC-412–SRC-415</x:v>
      </x:c>
    </x:row>
    <x:row r="113">
      <x:c r="A113" s="51" t="str">
        <x:v>RQ-109</x:v>
      </x:c>
      <x:c r="B113" s="51" t="str">
        <x:v>AI-stack stress test</x:v>
      </x:c>
      <x:c r="C113" s="51" t="str">
        <x:v>Simulate export denial, HBM shortage, CoWoS bottleneck, power delay, customer default, GPU collateral impairment and model-demand slowdown.</x:v>
      </x:c>
      <x:c r="D113" s="51" t="str">
        <x:v>Critical</x:v>
      </x:c>
      <x:c r="E113" s="51" t="str">
        <x:v>Not started</x:v>
      </x:c>
      <x:c r="F113" s="51" t="str">
        <x:v>V10 full layer</x:v>
      </x:c>
      <x:c r="G113" s="51" t="str">
        <x:v>V10 datasets and scenario assumptions</x:v>
      </x:c>
    </x:row>
    <x:row r="114">
      <x:c r="A114" s="51" t="str">
        <x:v>RQ-110</x:v>
      </x:c>
      <x:c r="B114" s="51" t="str">
        <x:v>Subsea ownership</x:v>
      </x:c>
      <x:c r="C114" s="51" t="str">
        <x:v>Map every V11 cable to owner, fiber-pair rights, landing entity, terrestrial backhaul, financing, ready-for-service date and maintenance zone.</x:v>
      </x:c>
      <x:c r="D114" s="51" t="str">
        <x:v>Critical</x:v>
      </x:c>
      <x:c r="E114" s="51" t="str">
        <x:v>Open</x:v>
      </x:c>
      <x:c r="F114" s="51" t="str">
        <x:v>V11SUB-001–V11SUB-007</x:v>
      </x:c>
      <x:c r="G114" s="51" t="str">
        <x:v>SRC-451–SRC-454 plus landing licences</x:v>
      </x:c>
    </x:row>
    <x:row r="115">
      <x:c r="A115" s="51" t="str">
        <x:v>RQ-111</x:v>
      </x:c>
      <x:c r="B115" s="51" t="str">
        <x:v>DNS governance</x:v>
      </x:c>
      <x:c r="C115" s="51" t="str">
        <x:v>Build entity-level records for root operators, TLD registries, registrars, resolvers, DNSSEC adoption and outage history.</x:v>
      </x:c>
      <x:c r="D115" s="51" t="str">
        <x:v>Critical</x:v>
      </x:c>
      <x:c r="E115" s="51" t="str">
        <x:v>Open</x:v>
      </x:c>
      <x:c r="F115" s="51" t="str">
        <x:v>V11DNS-001–V11DNS-007</x:v>
      </x:c>
      <x:c r="G115" s="51" t="str">
        <x:v>SRC-444–SRC-450</x:v>
      </x:c>
    </x:row>
    <x:row r="116">
      <x:c r="A116" s="51" t="str">
        <x:v>RQ-112</x:v>
      </x:c>
      <x:c r="B116" s="51" t="str">
        <x:v>BGP and peering</x:v>
      </x:c>
      <x:c r="C116" s="51" t="str">
        <x:v>Import ASN, route, peering, transit, IXP and outage data to identify real path concentration by country and service.</x:v>
      </x:c>
      <x:c r="D116" s="51" t="str">
        <x:v>Critical</x:v>
      </x:c>
      <x:c r="E116" s="51" t="str">
        <x:v>Open</x:v>
      </x:c>
      <x:c r="F116" s="51" t="str">
        <x:v>V11IXP-001–V11IXP-004</x:v>
      </x:c>
      <x:c r="G116" s="51" t="str">
        <x:v>SRC-455–SRC-457 plus RouteViews and RIPE RIS</x:v>
      </x:c>
    </x:row>
    <x:row r="117">
      <x:c r="A117" s="51" t="str">
        <x:v>RQ-113</x:v>
      </x:c>
      <x:c r="B117" s="51" t="str">
        <x:v>Edge concentration</x:v>
      </x:c>
      <x:c r="C117" s="51" t="str">
        <x:v>Map customer domains, anycast locations, ISP partners, control-plane dependencies and failover across Cloudflare and Akamai.</x:v>
      </x:c>
      <x:c r="D117" s="51" t="str">
        <x:v>Critical</x:v>
      </x:c>
      <x:c r="E117" s="51" t="str">
        <x:v>Open</x:v>
      </x:c>
      <x:c r="F117" s="51" t="str">
        <x:v>V11EDGE-001–V11EDGE-006</x:v>
      </x:c>
      <x:c r="G117" s="51" t="str">
        <x:v>SRC-458–SRC-462</x:v>
      </x:c>
    </x:row>
    <x:row r="118">
      <x:c r="A118" s="51" t="str">
        <x:v>RQ-114</x:v>
      </x:c>
      <x:c r="B118" s="51" t="str">
        <x:v>Starlink network</x:v>
      </x:c>
      <x:c r="C118" s="51" t="str">
        <x:v>Build satellite-level status, gateway, laser-link, spectrum, country licence, subscriber and direct-to-cell records.</x:v>
      </x:c>
      <x:c r="D118" s="51" t="str">
        <x:v>Critical</x:v>
      </x:c>
      <x:c r="E118" s="51" t="str">
        <x:v>Open</x:v>
      </x:c>
      <x:c r="F118" s="51" t="str">
        <x:v>V11SAT-001–V11SAT-004; V11SAT-010</x:v>
      </x:c>
      <x:c r="G118" s="51" t="str">
        <x:v>SRC-463–SRC-467 plus regulator filings</x:v>
      </x:c>
    </x:row>
    <x:row r="119">
      <x:c r="A119" s="51" t="str">
        <x:v>RQ-115</x:v>
      </x:c>
      <x:c r="B119" s="51" t="str">
        <x:v>Amazon Leo deployment</x:v>
      </x:c>
      <x:c r="C119" s="51" t="str">
        <x:v>Track launches, operational satellites, gateways, enterprise customers, AWS links, spectrum licences and commercial availability.</x:v>
      </x:c>
      <x:c r="D119" s="51" t="str">
        <x:v>Critical</x:v>
      </x:c>
      <x:c r="E119" s="51" t="str">
        <x:v>Partial</x:v>
      </x:c>
      <x:c r="F119" s="51" t="str">
        <x:v>V11SAT-005–V11SAT-007</x:v>
      </x:c>
      <x:c r="G119" s="51" t="str">
        <x:v>SRC-468–SRC-471</x:v>
      </x:c>
    </x:row>
    <x:row r="120">
      <x:c r="A120" s="51" t="str">
        <x:v>RQ-116</x:v>
      </x:c>
      <x:c r="B120" s="51" t="str">
        <x:v>Eutelsat OneWeb sovereignty</x:v>
      </x:c>
      <x:c r="C120" s="51" t="str">
        <x:v>Map constellation replenishment, spectrum priority, government contracts, distributors, gateways, capital structure and state ownership.</x:v>
      </x:c>
      <x:c r="D120" s="51" t="str">
        <x:v>Critical</x:v>
      </x:c>
      <x:c r="E120" s="51" t="str">
        <x:v>Open</x:v>
      </x:c>
      <x:c r="F120" s="51" t="str">
        <x:v>V11SAT-008</x:v>
      </x:c>
      <x:c r="G120" s="51" t="str">
        <x:v>SRC-472–SRC-474</x:v>
      </x:c>
    </x:row>
    <x:row r="121">
      <x:c r="A121" s="51" t="str">
        <x:v>RQ-117</x:v>
      </x:c>
      <x:c r="B121" s="51" t="str">
        <x:v>App-store governance</x:v>
      </x:c>
      <x:c r="C121" s="51" t="str">
        <x:v>Collect policy versions, rejection reasons, ranking changes, fees, alternative distribution and regulatory modifications by jurisdiction.</x:v>
      </x:c>
      <x:c r="D121" s="51" t="str">
        <x:v>Critical</x:v>
      </x:c>
      <x:c r="E121" s="51" t="str">
        <x:v>Open</x:v>
      </x:c>
      <x:c r="F121" s="51" t="str">
        <x:v>V11STORE-001–V11STORE-005</x:v>
      </x:c>
      <x:c r="G121" s="51" t="str">
        <x:v>SRC-477–SRC-484</x:v>
      </x:c>
    </x:row>
    <x:row r="122">
      <x:c r="A122" s="51" t="str">
        <x:v>RQ-118</x:v>
      </x:c>
      <x:c r="B122" s="51" t="str">
        <x:v>Executive control</x:v>
      </x:c>
      <x:c r="C122" s="51" t="str">
        <x:v>Add voting rights, board powers and succession dates for connectivity-platform executives and controlling shareholders.</x:v>
      </x:c>
      <x:c r="D122" s="51" t="str">
        <x:v>High</x:v>
      </x:c>
      <x:c r="E122" s="51" t="str">
        <x:v>Partial</x:v>
      </x:c>
      <x:c r="F122" s="51" t="str">
        <x:v>V11EXEC-001–V11EXEC-007</x:v>
      </x:c>
      <x:c r="G122" s="51" t="str">
        <x:v>SRC-466–SRC-489 plus proxies</x:v>
      </x:c>
    </x:row>
    <x:row r="123">
      <x:c r="A123" s="51" t="str">
        <x:v>RQ-119</x:v>
      </x:c>
      <x:c r="B123" s="51" t="str">
        <x:v>Connectivity resilience</x:v>
      </x:c>
      <x:c r="C123" s="51" t="str">
        <x:v>Construct country-level route-diversity indices across cables, satellites, IXPs, DNS, edge providers and domestic fiber.</x:v>
      </x:c>
      <x:c r="D123" s="51" t="str">
        <x:v>Critical</x:v>
      </x:c>
      <x:c r="E123" s="51" t="str">
        <x:v>Not started</x:v>
      </x:c>
      <x:c r="F123" s="51" t="str">
        <x:v>V11 full layer</x:v>
      </x:c>
      <x:c r="G123" s="51" t="str">
        <x:v>V11 data and outage records</x:v>
      </x:c>
    </x:row>
    <x:row r="124">
      <x:c r="A124" s="51" t="str">
        <x:v>RQ-120</x:v>
      </x:c>
      <x:c r="B124" s="51" t="str">
        <x:v>Connectivity stress test</x:v>
      </x:c>
      <x:c r="C124" s="51" t="str">
        <x:v>Simulate cable cuts, DNS rollover failure, BGP leak, CDN outage, satellite denial and app-store removal across one digital service.</x:v>
      </x:c>
      <x:c r="D124" s="51" t="str">
        <x:v>Critical</x:v>
      </x:c>
      <x:c r="E124" s="51" t="str">
        <x:v>Not started</x:v>
      </x:c>
      <x:c r="F124" s="51" t="str">
        <x:v>V11 full layer</x:v>
      </x:c>
      <x:c r="G124" s="51" t="str">
        <x:v>V11 datasets and scenario assumptions</x:v>
      </x:c>
    </x:row>
    <x:row r="125">
      <x:c r="A125" s="51" t="str">
        <x:v>RQ-121</x:v>
      </x:c>
      <x:c r="B125" s="51" t="str">
        <x:v>Affordability and exclusion</x:v>
      </x:c>
      <x:c r="C125" s="51" t="str">
        <x:v>Join ITU access, rural coverage, device cost, retail pricing and quality data to distinguish nominal coverage from meaningful connectivity.</x:v>
      </x:c>
      <x:c r="D125" s="51" t="str">
        <x:v>High</x:v>
      </x:c>
      <x:c r="E125" s="51" t="str">
        <x:v>Open</x:v>
      </x:c>
      <x:c r="F125" s="51" t="str">
        <x:v>V11TEL-001–V11TEL-004</x:v>
      </x:c>
      <x:c r="G125" s="51" t="str">
        <x:v>SRC-442; SRC-443; SRC-490</x:v>
      </x:c>
    </x:row>
    <x:row r="126">
      <x:c r="A126" s="51" t="str">
        <x:v>RQ-122</x:v>
      </x:c>
      <x:c r="B126" s="51" t="str">
        <x:v>Digital identity architecture</x:v>
      </x:c>
      <x:c r="C126" s="51" t="str">
        <x:v>Map Aadhaar and EUDI issuer, authenticator, wallet, relying-party, consent, retention and appeal flows at transaction level.</x:v>
      </x:c>
      <x:c r="D126" s="51" t="str">
        <x:v>Critical</x:v>
      </x:c>
      <x:c r="E126" s="51" t="str">
        <x:v>Open</x:v>
      </x:c>
      <x:c r="F126" s="51" t="str">
        <x:v>V12ID-001–V12ID-007</x:v>
      </x:c>
      <x:c r="G126" s="51" t="str">
        <x:v>SRC-502–SRC-507 plus national implementations</x:v>
      </x:c>
    </x:row>
    <x:row r="127">
      <x:c r="A127" s="51" t="str">
        <x:v>RQ-123</x:v>
      </x:c>
      <x:c r="B127" s="51" t="str">
        <x:v>Card-network economics</x:v>
      </x:c>
      <x:c r="C127" s="51" t="str">
        <x:v>Collect issuer, network, acquirer, interchange, assessment, token and fraud-liability flows by transaction type and jurisdiction.</x:v>
      </x:c>
      <x:c r="D127" s="51" t="str">
        <x:v>Critical</x:v>
      </x:c>
      <x:c r="E127" s="51" t="str">
        <x:v>Open</x:v>
      </x:c>
      <x:c r="F127" s="51" t="str">
        <x:v>V12PAY-001–V12PAY-006</x:v>
      </x:c>
      <x:c r="G127" s="51" t="str">
        <x:v>SRC-491–SRC-494 plus network rules</x:v>
      </x:c>
    </x:row>
    <x:row r="128">
      <x:c r="A128" s="51" t="str">
        <x:v>RQ-124</x:v>
      </x:c>
      <x:c r="B128" s="51" t="str">
        <x:v>Payment orchestration</x:v>
      </x:c>
      <x:c r="C128" s="51" t="str">
        <x:v>Map Stripe merchant flows to acquiring bank, card network, wallet, fraud model, reserve, payout and dispute responsibility.</x:v>
      </x:c>
      <x:c r="D128" s="51" t="str">
        <x:v>Critical</x:v>
      </x:c>
      <x:c r="E128" s="51" t="str">
        <x:v>Open</x:v>
      </x:c>
      <x:c r="F128" s="51" t="str">
        <x:v>V12PAY-007–V12PAY-009</x:v>
      </x:c>
      <x:c r="G128" s="51" t="str">
        <x:v>SRC-495; SRC-496 plus contracts</x:v>
      </x:c>
    </x:row>
    <x:row r="129">
      <x:c r="A129" s="51" t="str">
        <x:v>RQ-125</x:v>
      </x:c>
      <x:c r="B129" s="51" t="str">
        <x:v>Instant payments</x:v>
      </x:c>
      <x:c r="C129" s="51" t="str">
        <x:v>Build participant-level FedNow, RTP and TIPS reach, send/receive capability, limits, volume, fraud controls and settlement accounts.</x:v>
      </x:c>
      <x:c r="D129" s="51" t="str">
        <x:v>Critical</x:v>
      </x:c>
      <x:c r="E129" s="51" t="str">
        <x:v>Open</x:v>
      </x:c>
      <x:c r="F129" s="51" t="str">
        <x:v>V12INST-001–V12INST-006</x:v>
      </x:c>
      <x:c r="G129" s="51" t="str">
        <x:v>SRC-497–SRC-501; SRC-535</x:v>
      </x:c>
    </x:row>
    <x:row r="130">
      <x:c r="A130" s="51" t="str">
        <x:v>RQ-126</x:v>
      </x:c>
      <x:c r="B130" s="51" t="str">
        <x:v>Ad auction reconstruction</x:v>
      </x:c>
      <x:c r="C130" s="51" t="str">
        <x:v>Estimate auction outcomes from bid, quality, prediction, inventory, privacy settings and platform revenue by product.</x:v>
      </x:c>
      <x:c r="D130" s="51" t="str">
        <x:v>Critical</x:v>
      </x:c>
      <x:c r="E130" s="51" t="str">
        <x:v>Open</x:v>
      </x:c>
      <x:c r="F130" s="51" t="str">
        <x:v>V12ADS-001–V12ADS-007</x:v>
      </x:c>
      <x:c r="G130" s="51" t="str">
        <x:v>SRC-508–SRC-515; SRC-531–SRC-532</x:v>
      </x:c>
    </x:row>
    <x:row r="131">
      <x:c r="A131" s="51" t="str">
        <x:v>RQ-127</x:v>
      </x:c>
      <x:c r="B131" s="51" t="str">
        <x:v>Identity graph audit</x:v>
      </x:c>
      <x:c r="C131" s="51" t="str">
        <x:v>Map LiveRamp identifiers, data providers, partner destinations, match rates, consent, deletion and error-correction processes.</x:v>
      </x:c>
      <x:c r="D131" s="51" t="str">
        <x:v>Critical</x:v>
      </x:c>
      <x:c r="E131" s="51" t="str">
        <x:v>Open</x:v>
      </x:c>
      <x:c r="F131" s="51" t="str">
        <x:v>V12DATA-001–V12DATA-004</x:v>
      </x:c>
      <x:c r="G131" s="51" t="str">
        <x:v>SRC-516; SRC-517</x:v>
      </x:c>
    </x:row>
    <x:row r="132">
      <x:c r="A132" s="51" t="str">
        <x:v>RQ-128</x:v>
      </x:c>
      <x:c r="B132" s="51" t="str">
        <x:v>Risk-score governance</x:v>
      </x:c>
      <x:c r="C132" s="51" t="str">
        <x:v>Collect model inputs, thresholds, override rights, appeal procedures and false-positive rates for LexisNexis and comparable systems.</x:v>
      </x:c>
      <x:c r="D132" s="51" t="str">
        <x:v>Critical</x:v>
      </x:c>
      <x:c r="E132" s="51" t="str">
        <x:v>Open</x:v>
      </x:c>
      <x:c r="F132" s="51" t="str">
        <x:v>V12RISK-001–V12RISK-002</x:v>
      </x:c>
      <x:c r="G132" s="51" t="str">
        <x:v>SRC-518; SRC-519</x:v>
      </x:c>
    </x:row>
    <x:row r="133">
      <x:c r="A133" s="51" t="str">
        <x:v>RQ-129</x:v>
      </x:c>
      <x:c r="B133" s="51" t="str">
        <x:v>Palantir deployment ledger</x:v>
      </x:c>
      <x:c r="C133" s="51" t="str">
        <x:v>Map each public and commercial deployment to customer, contract, data domains, permissions, model outputs and operational authority.</x:v>
      </x:c>
      <x:c r="D133" s="51" t="str">
        <x:v>Critical</x:v>
      </x:c>
      <x:c r="E133" s="51" t="str">
        <x:v>Open</x:v>
      </x:c>
      <x:c r="F133" s="51" t="str">
        <x:v>V12RISK-003–V12RISK-004</x:v>
      </x:c>
      <x:c r="G133" s="51" t="str">
        <x:v>SRC-520; SRC-521; SRC-533 plus procurement records</x:v>
      </x:c>
    </x:row>
    <x:row r="134">
      <x:c r="A134" s="51" t="str">
        <x:v>RQ-130</x:v>
      </x:c>
      <x:c r="B134" s="51" t="str">
        <x:v>Public-safety sensor network</x:v>
      </x:c>
      <x:c r="C134" s="51" t="str">
        <x:v>Build agency-level Axon and Flock records for devices, retention, evidence sharing, AI tools, audit logs and legal challenges.</x:v>
      </x:c>
      <x:c r="D134" s="51" t="str">
        <x:v>Critical</x:v>
      </x:c>
      <x:c r="E134" s="51" t="str">
        <x:v>Open</x:v>
      </x:c>
      <x:c r="F134" s="51" t="str">
        <x:v>V12SAFE-001–V12SAFE-004</x:v>
      </x:c>
      <x:c r="G134" s="51" t="str">
        <x:v>SRC-522–SRC-527; SRC-534</x:v>
      </x:c>
    </x:row>
    <x:row r="135">
      <x:c r="A135" s="51" t="str">
        <x:v>RQ-131</x:v>
      </x:c>
      <x:c r="B135" s="51" t="str">
        <x:v>Cross-stack data flows</x:v>
      </x:c>
      <x:c r="C135" s="51" t="str">
        <x:v>Identify documented bridges among identity, payment, advertising, fraud and public-safety systems without inferring undocumented sharing.</x:v>
      </x:c>
      <x:c r="D135" s="51" t="str">
        <x:v>Critical</x:v>
      </x:c>
      <x:c r="E135" s="51" t="str">
        <x:v>Not started</x:v>
      </x:c>
      <x:c r="F135" s="51" t="str">
        <x:v>V12 full layer</x:v>
      </x:c>
      <x:c r="G135" s="51" t="str">
        <x:v>Contracts, privacy notices and data-flow tests</x:v>
      </x:c>
    </x:row>
    <x:row r="136">
      <x:c r="A136" s="51" t="str">
        <x:v>RQ-132</x:v>
      </x:c>
      <x:c r="B136" s="51" t="str">
        <x:v>False-positive stress test</x:v>
      </x:c>
      <x:c r="C136" s="51" t="str">
        <x:v>Simulate identity mismatch, payment fraud flag, ad-identity mislink and licence-plate error propagating across institutional decisions.</x:v>
      </x:c>
      <x:c r="D136" s="51" t="str">
        <x:v>Critical</x:v>
      </x:c>
      <x:c r="E136" s="51" t="str">
        <x:v>Not started</x:v>
      </x:c>
      <x:c r="F136" s="51" t="str">
        <x:v>MECH-181 and V12 full layer</x:v>
      </x:c>
      <x:c r="G136" s="51" t="str">
        <x:v>V12 empirical error-rate inputs</x:v>
      </x:c>
    </x:row>
    <x:row r="137">
      <x:c r="A137" s="51" t="str">
        <x:v>RQ-133</x:v>
      </x:c>
      <x:c r="B137" s="51" t="str">
        <x:v>Executive and ownership rights</x:v>
      </x:c>
      <x:c r="C137" s="51" t="str">
        <x:v>Add voting rights, board powers, acquisition status and contractual authority for major V12 platform executives and owners.</x:v>
      </x:c>
      <x:c r="D137" s="51" t="str">
        <x:v>High</x:v>
      </x:c>
      <x:c r="E137" s="51" t="str">
        <x:v>Partial</x:v>
      </x:c>
      <x:c r="F137" s="51" t="str">
        <x:v>V12EXEC-001–V12EXEC-005</x:v>
      </x:c>
      <x:c r="G137" s="51" t="str">
        <x:v>SRC-517; SRC-521; SRC-524; SRC-528–SRC-530</x:v>
      </x:c>
    </x:row>
    <x:row r="138">
      <x:c r="A138" s="51" t="str">
        <x:v>RQ-134</x:v>
      </x:c>
      <x:c r="B138" s="51" t="str">
        <x:v>FATF implementation</x:v>
      </x:c>
      <x:c r="C138" s="51" t="str">
        <x:v>Build jurisdiction-level records for Recommendations 16, 24, 25, mutual-evaluation ratings, action plans and effective dates.</x:v>
      </x:c>
      <x:c r="D138" s="51" t="str">
        <x:v>Critical</x:v>
      </x:c>
      <x:c r="E138" s="51" t="str">
        <x:v>Open</x:v>
      </x:c>
      <x:c r="F138" s="51" t="str">
        <x:v>V13AML; V13BO</x:v>
      </x:c>
      <x:c r="G138" s="51" t="str">
        <x:v>SRC-536–SRC-542 plus national laws</x:v>
      </x:c>
    </x:row>
    <x:row r="139">
      <x:c r="A139" s="51" t="str">
        <x:v>RQ-135</x:v>
      </x:c>
      <x:c r="B139" s="51" t="str">
        <x:v>Beneficial ownership verification</x:v>
      </x:c>
      <x:c r="C139" s="51" t="str">
        <x:v>Map registry access, verification, nominee rules, trust coverage, ownership thresholds and correction mechanisms by jurisdiction.</x:v>
      </x:c>
      <x:c r="D139" s="51" t="str">
        <x:v>Critical</x:v>
      </x:c>
      <x:c r="E139" s="51" t="str">
        <x:v>Open</x:v>
      </x:c>
      <x:c r="F139" s="51" t="str">
        <x:v>V13BO-001–V13BO-005</x:v>
      </x:c>
      <x:c r="G139" s="51" t="str">
        <x:v>SRC-537; SRC-538; registry laws</x:v>
      </x:c>
    </x:row>
    <x:row r="140">
      <x:c r="A140" s="51" t="str">
        <x:v>RQ-136</x:v>
      </x:c>
      <x:c r="B140" s="51" t="str">
        <x:v>SAR intelligence chain</x:v>
      </x:c>
      <x:c r="C140" s="51" t="str">
        <x:v>Quantify report volumes, filer types, FIU dissemination, investigative use, false-positive burden and outcome attribution.</x:v>
      </x:c>
      <x:c r="D140" s="51" t="str">
        <x:v>Critical</x:v>
      </x:c>
      <x:c r="E140" s="51" t="str">
        <x:v>Open</x:v>
      </x:c>
      <x:c r="F140" s="51" t="str">
        <x:v>V13FIU-001–V13FIU-004</x:v>
      </x:c>
      <x:c r="G140" s="51" t="str">
        <x:v>SRC-543; SRC-544</x:v>
      </x:c>
    </x:row>
    <x:row r="141">
      <x:c r="A141" s="51" t="str">
        <x:v>RQ-137</x:v>
      </x:c>
      <x:c r="B141" s="51" t="str">
        <x:v>AMLA direct supervision</x:v>
      </x:c>
      <x:c r="C141" s="51" t="str">
        <x:v>Track eligible groups, risk-model variables, 2027 selection and 2028 supervisory allocations.</x:v>
      </x:c>
      <x:c r="D141" s="51" t="str">
        <x:v>Critical</x:v>
      </x:c>
      <x:c r="E141" s="51" t="str">
        <x:v>Open</x:v>
      </x:c>
      <x:c r="F141" s="51" t="str">
        <x:v>V13EU-001–V13EU-004</x:v>
      </x:c>
      <x:c r="G141" s="51" t="str">
        <x:v>SRC-549–SRC-552</x:v>
      </x:c>
    </x:row>
    <x:row r="142">
      <x:c r="A142" s="51" t="str">
        <x:v>RQ-138</x:v>
      </x:c>
      <x:c r="B142" s="51" t="str">
        <x:v>Sanctions ownership graph</x:v>
      </x:c>
      <x:c r="C142" s="51" t="str">
        <x:v>Resolve SDN and non-SDN entries through direct and indirect ownership under the 50 Percent Rule.</x:v>
      </x:c>
      <x:c r="D142" s="51" t="str">
        <x:v>Critical</x:v>
      </x:c>
      <x:c r="E142" s="51" t="str">
        <x:v>Open</x:v>
      </x:c>
      <x:c r="F142" s="51" t="str">
        <x:v>V13SAN-002–V13SAN-009</x:v>
      </x:c>
      <x:c r="G142" s="51" t="str">
        <x:v>SRC-553–SRC-555</x:v>
      </x:c>
    </x:row>
    <x:row r="143">
      <x:c r="A143" s="51" t="str">
        <x:v>RQ-139</x:v>
      </x:c>
      <x:c r="B143" s="51" t="str">
        <x:v>Blocked-property ledger</x:v>
      </x:c>
      <x:c r="C143" s="51" t="str">
        <x:v>Collect institution, programme, asset class, valuation date, licence status and eventual unblocking or forfeiture.</x:v>
      </x:c>
      <x:c r="D143" s="51" t="str">
        <x:v>Critical</x:v>
      </x:c>
      <x:c r="E143" s="51" t="str">
        <x:v>Open</x:v>
      </x:c>
      <x:c r="F143" s="51" t="str">
        <x:v>V13SAN-006–V13SAN-011</x:v>
      </x:c>
      <x:c r="G143" s="51" t="str">
        <x:v>SRC-556–SRC-558; court records</x:v>
      </x:c>
    </x:row>
    <x:row r="144">
      <x:c r="A144" s="51" t="str">
        <x:v>RQ-140</x:v>
      </x:c>
      <x:c r="B144" s="51" t="str">
        <x:v>SWIFT exclusion mechanics</x:v>
      </x:c>
      <x:c r="C144" s="51" t="str">
        <x:v>Map each documented institution exclusion to legal authority, message service, correspondent accounts, settlement substitutes and restoration.</x:v>
      </x:c>
      <x:c r="D144" s="51" t="str">
        <x:v>Critical</x:v>
      </x:c>
      <x:c r="E144" s="51" t="str">
        <x:v>Open</x:v>
      </x:c>
      <x:c r="F144" s="51" t="str">
        <x:v>V13SWIFT-001–V13SWIFT-004</x:v>
      </x:c>
      <x:c r="G144" s="51" t="str">
        <x:v>SRC-559–SRC-562 plus EU and national acts</x:v>
      </x:c>
    </x:row>
    <x:row r="145">
      <x:c r="A145" s="51" t="str">
        <x:v>RQ-141</x:v>
      </x:c>
      <x:c r="B145" s="51" t="str">
        <x:v>Tax exchange network</x:v>
      </x:c>
      <x:c r="C145" s="51" t="str">
        <x:v>Build jurisdiction-pair CRS, CARF and FATCA reporting maps with effective dates, account types and data fields.</x:v>
      </x:c>
      <x:c r="D145" s="51" t="str">
        <x:v>Critical</x:v>
      </x:c>
      <x:c r="E145" s="51" t="str">
        <x:v>Open</x:v>
      </x:c>
      <x:c r="F145" s="51" t="str">
        <x:v>V13TAX-001–V13TAX-007</x:v>
      </x:c>
      <x:c r="G145" s="51" t="str">
        <x:v>SRC-563–SRC-570</x:v>
      </x:c>
    </x:row>
    <x:row r="146">
      <x:c r="A146" s="51" t="str">
        <x:v>RQ-142</x:v>
      </x:c>
      <x:c r="B146" s="51" t="str">
        <x:v>Procurement debarment network</x:v>
      </x:c>
      <x:c r="C146" s="51" t="str">
        <x:v>Link World Bank sanctions to cross-debarment, national procurement lists, bidder ownership and contract exclusions.</x:v>
      </x:c>
      <x:c r="D146" s="51" t="str">
        <x:v>Critical</x:v>
      </x:c>
      <x:c r="E146" s="51" t="str">
        <x:v>Open</x:v>
      </x:c>
      <x:c r="F146" s="51" t="str">
        <x:v>V13PROC-001–V13PROC-006</x:v>
      </x:c>
      <x:c r="G146" s="51" t="str">
        <x:v>SRC-571–SRC-576</x:v>
      </x:c>
    </x:row>
    <x:row r="147">
      <x:c r="A147" s="51" t="str">
        <x:v>RQ-143</x:v>
      </x:c>
      <x:c r="B147" s="51" t="str">
        <x:v>Asset-state transitions</x:v>
      </x:c>
      <x:c r="C147" s="51" t="str">
        <x:v>Track assets from investigation through restraint, seizure, blocking, forfeiture, sale, restitution, return and equitable sharing.</x:v>
      </x:c>
      <x:c r="D147" s="51" t="str">
        <x:v>Critical</x:v>
      </x:c>
      <x:c r="E147" s="51" t="str">
        <x:v>Open</x:v>
      </x:c>
      <x:c r="F147" s="51" t="str">
        <x:v>V13FORF-001–V13FORF-005</x:v>
      </x:c>
      <x:c r="G147" s="51" t="str">
        <x:v>SRC-577–SRC-581</x:v>
      </x:c>
    </x:row>
    <x:row r="148">
      <x:c r="A148" s="51" t="str">
        <x:v>RQ-144</x:v>
      </x:c>
      <x:c r="B148" s="51" t="str">
        <x:v>Over-compliance stress test</x:v>
      </x:c>
      <x:c r="C148" s="51" t="str">
        <x:v>Model false matches, de-risking and humanitarian or legitimate-payment disruption caused by sanctions and AML controls.</x:v>
      </x:c>
      <x:c r="D148" s="51" t="str">
        <x:v>Critical</x:v>
      </x:c>
      <x:c r="E148" s="51" t="str">
        <x:v>Not started</x:v>
      </x:c>
      <x:c r="F148" s="51" t="str">
        <x:v>MECH-184; MECH-193; V13 full layer</x:v>
      </x:c>
      <x:c r="G148" s="51" t="str">
        <x:v>Institutional policies and payment-case data</x:v>
      </x:c>
    </x:row>
    <x:row r="149">
      <x:c r="A149" s="51" t="str">
        <x:v>RQ-145</x:v>
      </x:c>
      <x:c r="B149" s="51" t="str">
        <x:v>Executive authority</x:v>
      </x:c>
      <x:c r="C149" s="51" t="str">
        <x:v>Add delegation orders, board/governance constraints and term dates for FATF, AMLA, Treasury, SWIFT and OECD leadership.</x:v>
      </x:c>
      <x:c r="D149" s="51" t="str">
        <x:v>High</x:v>
      </x:c>
      <x:c r="E149" s="51" t="str">
        <x:v>Partial</x:v>
      </x:c>
      <x:c r="F149" s="51" t="str">
        <x:v>V13AML-005; V13EU-004; V13SWIFT-004; V13TAX-008; V13FORF-006</x:v>
      </x:c>
      <x:c r="G149" s="51" t="str">
        <x:v>SRC-540; SRC-552; SRC-583–SRC-585</x:v>
      </x:c>
    </x:row>
    <x:row r="150">
      <x:c r="A150" s="51" t="str">
        <x:v>RQ-146</x:v>
      </x:c>
      <x:c r="B150" s="51" t="str">
        <x:v>PCAST influence</x:v>
      </x:c>
      <x:c r="C150" s="51" t="str">
        <x:v>Collect meeting minutes, recommendations, member recusals and agency adoption for the 2026 PCAST.</x:v>
      </x:c>
      <x:c r="D150" s="51" t="str">
        <x:v>Critical</x:v>
      </x:c>
      <x:c r="E150" s="51" t="str">
        <x:v>Open</x:v>
      </x:c>
      <x:c r="F150" s="51" t="str">
        <x:v>V14ADV-001–004; AIG-001–016</x:v>
      </x:c>
      <x:c r="G150" s="51" t="str">
        <x:v>SRC-586–SRC-589 plus meeting records</x:v>
      </x:c>
    </x:row>
    <x:row r="151">
      <x:c r="A151" s="51" t="str">
        <x:v>RQ-147</x:v>
      </x:c>
      <x:c r="B151" s="51" t="str">
        <x:v>AI policy drafting</x:v>
      </x:c>
      <x:c r="C151" s="51" t="str">
        <x:v>Trace America's AI Action Plan provisions to named authors, industry submissions, executive orders, agency rules and contracts.</x:v>
      </x:c>
      <x:c r="D151" s="51" t="str">
        <x:v>Critical</x:v>
      </x:c>
      <x:c r="E151" s="51" t="str">
        <x:v>Open</x:v>
      </x:c>
      <x:c r="F151" s="51" t="str">
        <x:v>V14ADV; V14LOB</x:v>
      </x:c>
      <x:c r="G151" s="51" t="str">
        <x:v>SRC-587; SRC-588; regulatory dockets</x:v>
      </x:c>
    </x:row>
    <x:row r="152">
      <x:c r="A152" s="51" t="str">
        <x:v>RQ-148</x:v>
      </x:c>
      <x:c r="B152" s="51" t="str">
        <x:v>Lobbying outcome ledger</x:v>
      </x:c>
      <x:c r="C152" s="51" t="str">
        <x:v>Link OpenAI, Microsoft, Meta and Palantir filings to meetings, bill text, rulemaking comments, appropriations and procurement outcomes.</x:v>
      </x:c>
      <x:c r="D152" s="51" t="str">
        <x:v>Critical</x:v>
      </x:c>
      <x:c r="E152" s="51" t="str">
        <x:v>Open</x:v>
      </x:c>
      <x:c r="F152" s="51" t="str">
        <x:v>V14LOB-001–006</x:v>
      </x:c>
      <x:c r="G152" s="51" t="str">
        <x:v>SRC-591–SRC-595 plus congressional and agency records</x:v>
      </x:c>
    </x:row>
    <x:row r="153">
      <x:c r="A153" s="51" t="str">
        <x:v>RQ-149</x:v>
      </x:c>
      <x:c r="B153" s="51" t="str">
        <x:v>Campaign-finance graph</x:v>
      </x:c>
      <x:c r="C153" s="51" t="str">
        <x:v>Import every donor, transfer, vendor, independent expenditure, communication date and supported/opposed candidate for major super PACs.</x:v>
      </x:c>
      <x:c r="D153" s="51" t="str">
        <x:v>Critical</x:v>
      </x:c>
      <x:c r="E153" s="51" t="str">
        <x:v>Open</x:v>
      </x:c>
      <x:c r="F153" s="51" t="str">
        <x:v>V14PAC-001–006</x:v>
      </x:c>
      <x:c r="G153" s="51" t="str">
        <x:v>SRC-596–SRC-603; FEC bulk data</x:v>
      </x:c>
    </x:row>
    <x:row r="154">
      <x:c r="A154" s="51" t="str">
        <x:v>RQ-150</x:v>
      </x:c>
      <x:c r="B154" s="51" t="str">
        <x:v>Coordination boundary</x:v>
      </x:c>
      <x:c r="C154" s="51" t="str">
        <x:v>Test candidate–super-PAC relationships for shared vendors, public signalling, former staff, timing and legally documented coordination findings.</x:v>
      </x:c>
      <x:c r="D154" s="51" t="str">
        <x:v>Critical</x:v>
      </x:c>
      <x:c r="E154" s="51" t="str">
        <x:v>Not started</x:v>
      </x:c>
      <x:c r="F154" s="51" t="str">
        <x:v>CLM-113</x:v>
      </x:c>
      <x:c r="G154" s="51" t="str">
        <x:v>FEC enforcement and court records</x:v>
      </x:c>
    </x:row>
    <x:row r="155">
      <x:c r="A155" s="51" t="str">
        <x:v>RQ-151</x:v>
      </x:c>
      <x:c r="B155" s="51" t="str">
        <x:v>Foundation grant graph</x:v>
      </x:c>
      <x:c r="C155" s="51" t="str">
        <x:v>Link Gates, Bloomberg, CZI, Open Philanthropy and Thiel Foundation grants to recipients, restrictions, outputs, renewals and policy effects.</x:v>
      </x:c>
      <x:c r="D155" s="51" t="str">
        <x:v>Critical</x:v>
      </x:c>
      <x:c r="E155" s="51" t="str">
        <x:v>Open</x:v>
      </x:c>
      <x:c r="F155" s="51" t="str">
        <x:v>V14PHIL-001–013</x:v>
      </x:c>
      <x:c r="G155" s="51" t="str">
        <x:v>SRC-604–SRC-617; grant databases</x:v>
      </x:c>
    </x:row>
    <x:row r="156">
      <x:c r="A156" s="51" t="str">
        <x:v>RQ-152</x:v>
      </x:c>
      <x:c r="B156" s="51" t="str">
        <x:v>Foundation governance rights</x:v>
      </x:c>
      <x:c r="C156" s="51" t="str">
        <x:v>Collect governing documents, board votes, founder rights, endowment ownership, conflicts and investment-management arrangements.</x:v>
      </x:c>
      <x:c r="D156" s="51" t="str">
        <x:v>Critical</x:v>
      </x:c>
      <x:c r="E156" s="51" t="str">
        <x:v>Open</x:v>
      </x:c>
      <x:c r="F156" s="51" t="str">
        <x:v>V14PHIL-001–013</x:v>
      </x:c>
      <x:c r="G156" s="51" t="str">
        <x:v>Audited statements, tax filings and governing documents</x:v>
      </x:c>
    </x:row>
    <x:row r="157">
      <x:c r="A157" s="51" t="str">
        <x:v>RQ-153</x:v>
      </x:c>
      <x:c r="B157" s="51" t="str">
        <x:v>Think-tank funding trace</x:v>
      </x:c>
      <x:c r="C157" s="51" t="str">
        <x:v>Link donors to specific programmes, scholars, publications, events, government testimony and policy adoption.</x:v>
      </x:c>
      <x:c r="D157" s="51" t="str">
        <x:v>Critical</x:v>
      </x:c>
      <x:c r="E157" s="51" t="str">
        <x:v>Open</x:v>
      </x:c>
      <x:c r="F157" s="51" t="str">
        <x:v>V14THINK-001–007</x:v>
      </x:c>
      <x:c r="G157" s="51" t="str">
        <x:v>SRC-618–SRC-625; tax filings and disclosures</x:v>
      </x:c>
    </x:row>
    <x:row r="158">
      <x:c r="A158" s="51" t="str">
        <x:v>RQ-154</x:v>
      </x:c>
      <x:c r="B158" s="51" t="str">
        <x:v>Project 2025 uptake</x:v>
      </x:c>
      <x:c r="C158" s="51" t="str">
        <x:v>Code every major recommendation against executive orders, appointments, agency actions, legislative proposals and non-adoption.</x:v>
      </x:c>
      <x:c r="D158" s="51" t="str">
        <x:v>Critical</x:v>
      </x:c>
      <x:c r="E158" s="51" t="str">
        <x:v>Open</x:v>
      </x:c>
      <x:c r="F158" s="51" t="str">
        <x:v>V14THINK-004</x:v>
      </x:c>
      <x:c r="G158" s="51" t="str">
        <x:v>SRC-622 plus federal actions</x:v>
      </x:c>
    </x:row>
    <x:row r="159">
      <x:c r="A159" s="51" t="str">
        <x:v>RQ-155</x:v>
      </x:c>
      <x:c r="B159" s="51" t="str">
        <x:v>Media control ladder</x:v>
      </x:c>
      <x:c r="C159" s="51" t="str">
        <x:v>Map economic ownership, voting rights, board appointment, executive authority, editorial policies and item-level interventions across major media groups.</x:v>
      </x:c>
      <x:c r="D159" s="51" t="str">
        <x:v>Critical</x:v>
      </x:c>
      <x:c r="E159" s="51" t="str">
        <x:v>Open</x:v>
      </x:c>
      <x:c r="F159" s="51" t="str">
        <x:v>V14MEDIA-001–006</x:v>
      </x:c>
      <x:c r="G159" s="51" t="str">
        <x:v>SRC-626–SRC-629; corporate filings</x:v>
      </x:c>
    </x:row>
    <x:row r="160">
      <x:c r="A160" s="51" t="str">
        <x:v>RQ-156</x:v>
      </x:c>
      <x:c r="B160" s="51" t="str">
        <x:v>Epstein record adjudication</x:v>
      </x:c>
      <x:c r="C160" s="51" t="str">
        <x:v>Classify every high-profile name by verified meeting, planned meeting, transaction, allegation, witness role, victim role and no-conduct reference.</x:v>
      </x:c>
      <x:c r="D160" s="51" t="str">
        <x:v>Critical</x:v>
      </x:c>
      <x:c r="E160" s="51" t="str">
        <x:v>Open</x:v>
      </x:c>
      <x:c r="F160" s="51" t="str">
        <x:v>V14ELITE-001–006; TRP; GAT</x:v>
      </x:c>
      <x:c r="G160" s="51" t="str">
        <x:v>SRC-607; SRC-608; SRC-630–SRC-637</x:v>
      </x:c>
    </x:row>
    <x:row r="161">
      <x:c r="A161" s="51" t="str">
        <x:v>RQ-157</x:v>
      </x:c>
      <x:c r="B161" s="51" t="str">
        <x:v>Elite vetting failures</x:v>
      </x:c>
      <x:c r="C161" s="51" t="str">
        <x:v>Build a comparative dataset of documented warnings, sponsor authority, staff escalation, decisions and later governance reforms.</x:v>
      </x:c>
      <x:c r="D161" s="51" t="str">
        <x:v>Critical</x:v>
      </x:c>
      <x:c r="E161" s="51" t="str">
        <x:v>Open</x:v>
      </x:c>
      <x:c r="F161" s="51" t="str">
        <x:v>MECH-214–MECH-217</x:v>
      </x:c>
      <x:c r="G161" s="51" t="str">
        <x:v>Internal reviews, board minutes and litigation records</x:v>
      </x:c>
    </x:row>
    <x:row r="162">
      <x:c r="A162" s="51" t="str">
        <x:v>RQ-158</x:v>
      </x:c>
      <x:c r="B162" s="51" t="str">
        <x:v>Revolving-door careers</x:v>
      </x:c>
      <x:c r="C162" s="51" t="str">
        <x:v>Track movement among government, lobbying firms, think tanks, foundations, campaigns, contractors and media organisations with effective dates.</x:v>
      </x:c>
      <x:c r="D162" s="51" t="str">
        <x:v>Critical</x:v>
      </x:c>
      <x:c r="E162" s="51" t="str">
        <x:v>Not started</x:v>
      </x:c>
      <x:c r="F162" s="51" t="str">
        <x:v>V14 full layer</x:v>
      </x:c>
      <x:c r="G162" s="51" t="str">
        <x:v>Ethics filings, biographies and employment records</x:v>
      </x:c>
    </x:row>
    <x:row r="163">
      <x:c r="A163" s="51" t="str">
        <x:v>RQ-159</x:v>
      </x:c>
      <x:c r="B163" s="51" t="str">
        <x:v>Influence causal tests</x:v>
      </x:c>
      <x:c r="C163" s="51" t="str">
        <x:v>Estimate whether lobbying, grants, campaign spending, advisory appointments and media interventions predict policy change after controlling for ideology and public demand.</x:v>
      </x:c>
      <x:c r="D163" s="51" t="str">
        <x:v>Critical</x:v>
      </x:c>
      <x:c r="E163" s="51" t="str">
        <x:v>Not started</x:v>
      </x:c>
      <x:c r="F163" s="51" t="str">
        <x:v>V14 full layer</x:v>
      </x:c>
      <x:c r="G163" s="51" t="str">
        <x:v>V14 panel plus legislative and administrative outcomes</x:v>
      </x:c>
    </x:row>
    <x:row r="164">
      <x:c r="A164" s="51" t="str">
        <x:v>RQ-160</x:v>
      </x:c>
      <x:c r="B164" s="51" t="str">
        <x:v>Judicial precedent graph</x:v>
      </x:c>
      <x:c r="C164" s="51" t="str">
        <x:v>Link Supreme Court and appellate holdings to lower-court citations, agency changes and material policy effects.</x:v>
      </x:c>
      <x:c r="D164" s="51" t="str">
        <x:v>Critical</x:v>
      </x:c>
      <x:c r="E164" s="51" t="str">
        <x:v>Open</x:v>
      </x:c>
      <x:c r="F164" s="51" t="str">
        <x:v>V15COURT-001–009</x:v>
      </x:c>
      <x:c r="G164" s="51" t="str">
        <x:v>SRC-638–SRC-642 plus opinion databases</x:v>
      </x:c>
    </x:row>
    <x:row r="165">
      <x:c r="A165" s="51" t="str">
        <x:v>RQ-161</x:v>
      </x:c>
      <x:c r="B165" s="51" t="str">
        <x:v>Legal representation network</x:v>
      </x:c>
      <x:c r="C165" s="51" t="str">
        <x:v>Map litigants, law firms, insurers, funders, experts, fees and outcomes in major public-interest and corporate cases.</x:v>
      </x:c>
      <x:c r="D165" s="51" t="str">
        <x:v>Critical</x:v>
      </x:c>
      <x:c r="E165" s="51" t="str">
        <x:v>Not started</x:v>
      </x:c>
      <x:c r="F165" s="51" t="str">
        <x:v>V15COURT; V15LIT</x:v>
      </x:c>
      <x:c r="G165" s="51" t="str">
        <x:v>Court dockets, engagement disclosures and fee applications</x:v>
      </x:c>
    </x:row>
    <x:row r="166">
      <x:c r="A166" s="51" t="str">
        <x:v>RQ-162</x:v>
      </x:c>
      <x:c r="B166" s="51" t="str">
        <x:v>Arbitration award enforcement</x:v>
      </x:c>
      <x:c r="C166" s="51" t="str">
        <x:v>Track ICC, ICSID and PCA cases from consent through tribunal, award, annulment or set-aside, recognition and asset collection.</x:v>
      </x:c>
      <x:c r="D166" s="51" t="str">
        <x:v>Critical</x:v>
      </x:c>
      <x:c r="E166" s="51" t="str">
        <x:v>Open</x:v>
      </x:c>
      <x:c r="F166" s="51" t="str">
        <x:v>V15ARB-001–009</x:v>
      </x:c>
      <x:c r="G166" s="51" t="str">
        <x:v>SRC-651–SRC-660; case databases</x:v>
      </x:c>
    </x:row>
    <x:row r="167">
      <x:c r="A167" s="51" t="str">
        <x:v>RQ-163</x:v>
      </x:c>
      <x:c r="B167" s="51" t="str">
        <x:v>Arbitrator appointment network</x:v>
      </x:c>
      <x:c r="C167" s="51" t="str">
        <x:v>Build arbitrator, appointing institution, counsel, party and repeat-appointment records with conflict disclosures.</x:v>
      </x:c>
      <x:c r="D167" s="51" t="str">
        <x:v>Critical</x:v>
      </x:c>
      <x:c r="E167" s="51" t="str">
        <x:v>Open</x:v>
      </x:c>
      <x:c r="F167" s="51" t="str">
        <x:v>V15ARB</x:v>
      </x:c>
      <x:c r="G167" s="51" t="str">
        <x:v>Institutional case data and award records</x:v>
      </x:c>
    </x:row>
    <x:row r="168">
      <x:c r="A168" s="51" t="str">
        <x:v>RQ-164</x:v>
      </x:c>
      <x:c r="B168" s="51" t="str">
        <x:v>Litigation-funding contract ledger</x:v>
      </x:c>
      <x:c r="C168" s="51" t="str">
        <x:v>Collect funder, investor, claimant, counsel, capital, return waterfall, control rights and disclosure status.</x:v>
      </x:c>
      <x:c r="D168" s="51" t="str">
        <x:v>Critical</x:v>
      </x:c>
      <x:c r="E168" s="51" t="str">
        <x:v>Open</x:v>
      </x:c>
      <x:c r="F168" s="51" t="str">
        <x:v>V15LIT-001–005</x:v>
      </x:c>
      <x:c r="G168" s="51" t="str">
        <x:v>SRC-673–SRC-677; court records</x:v>
      </x:c>
    </x:row>
    <x:row r="169">
      <x:c r="A169" s="51" t="str">
        <x:v>RQ-165</x:v>
      </x:c>
      <x:c r="B169" s="51" t="str">
        <x:v>Funding-outcome causal test</x:v>
      </x:c>
      <x:c r="C169" s="51" t="str">
        <x:v>Estimate whether litigation funding changes filing, duration, settlement, damages or access to counsel after selection controls.</x:v>
      </x:c>
      <x:c r="D169" s="51" t="str">
        <x:v>Critical</x:v>
      </x:c>
      <x:c r="E169" s="51" t="str">
        <x:v>Not started</x:v>
      </x:c>
      <x:c r="F169" s="51" t="str">
        <x:v>V15LIT; CLM-125</x:v>
      </x:c>
      <x:c r="G169" s="51" t="str">
        <x:v>Funded and matched unfunded case panel</x:v>
      </x:c>
    </x:row>
    <x:row r="170">
      <x:c r="A170" s="51" t="str">
        <x:v>RQ-166</x:v>
      </x:c>
      <x:c r="B170" s="51" t="str">
        <x:v>Chapter 11 control ledger</x:v>
      </x:c>
      <x:c r="C170" s="51" t="str">
        <x:v>Map every major case through petition, DIP terms, cash collateral, committee, professional fees, sale milestones and plan distributions.</x:v>
      </x:c>
      <x:c r="D170" s="51" t="str">
        <x:v>Critical</x:v>
      </x:c>
      <x:c r="E170" s="51" t="str">
        <x:v>Open</x:v>
      </x:c>
      <x:c r="F170" s="51" t="str">
        <x:v>V15BK-001–012</x:v>
      </x:c>
      <x:c r="G170" s="51" t="str">
        <x:v>SRC-642–SRC-650; court dockets</x:v>
      </x:c>
    </x:row>
    <x:row r="171">
      <x:c r="A171" s="51" t="str">
        <x:v>RQ-167</x:v>
      </x:c>
      <x:c r="B171" s="51" t="str">
        <x:v>Bankruptcy value transfer</x:v>
      </x:c>
      <x:c r="C171" s="51" t="str">
        <x:v>Estimate enterprise-value allocation among DIP lenders, secured creditors, unsecured creditors, professionals and equity.</x:v>
      </x:c>
      <x:c r="D171" s="51" t="str">
        <x:v>Critical</x:v>
      </x:c>
      <x:c r="E171" s="51" t="str">
        <x:v>Not started</x:v>
      </x:c>
      <x:c r="F171" s="51" t="str">
        <x:v>V15BK; MECH-228–231</x:v>
      </x:c>
      <x:c r="G171" s="51" t="str">
        <x:v>Disclosure statements, fee applications and plans</x:v>
      </x:c>
    </x:row>
    <x:row r="172">
      <x:c r="A172" s="51" t="str">
        <x:v>RQ-168</x:v>
      </x:c>
      <x:c r="B172" s="51" t="str">
        <x:v>Cross-border insolvency map</x:v>
      </x:c>
      <x:c r="C172" s="51" t="str">
        <x:v>Link Chapter 15 recognitions to foreign proceedings, assets, stays, cooperation orders and creditor outcomes.</x:v>
      </x:c>
      <x:c r="D172" s="51" t="str">
        <x:v>High</x:v>
      </x:c>
      <x:c r="E172" s="51" t="str">
        <x:v>Open</x:v>
      </x:c>
      <x:c r="F172" s="51" t="str">
        <x:v>V15BK-012</x:v>
      </x:c>
      <x:c r="G172" s="51" t="str">
        <x:v>SRC-645 plus court dockets</x:v>
      </x:c>
    </x:row>
    <x:row r="173">
      <x:c r="A173" s="51" t="str">
        <x:v>RQ-169</x:v>
      </x:c>
      <x:c r="B173" s="51" t="str">
        <x:v>Patent ownership and licence graph</x:v>
      </x:c>
      <x:c r="C173" s="51" t="str">
        <x:v>Resolve assignee chains, parent entities, licences, standards commitments and royalty flows for strategic technologies.</x:v>
      </x:c>
      <x:c r="D173" s="51" t="str">
        <x:v>Critical</x:v>
      </x:c>
      <x:c r="E173" s="51" t="str">
        <x:v>Open</x:v>
      </x:c>
      <x:c r="F173" s="51" t="str">
        <x:v>V15IP-001–008</x:v>
      </x:c>
      <x:c r="G173" s="51" t="str">
        <x:v>SRC-661–SRC-668; assignment and licensing records</x:v>
      </x:c>
    </x:row>
    <x:row r="174">
      <x:c r="A174" s="51" t="str">
        <x:v>RQ-170</x:v>
      </x:c>
      <x:c r="B174" s="51" t="str">
        <x:v>Section 337 remedy ledger</x:v>
      </x:c>
      <x:c r="C174" s="51" t="str">
        <x:v>Track complainant, respondent, patents, domestic industry, violation, exclusion order, redesign and CBP enforcement.</x:v>
      </x:c>
      <x:c r="D174" s="51" t="str">
        <x:v>Critical</x:v>
      </x:c>
      <x:c r="E174" s="51" t="str">
        <x:v>Open</x:v>
      </x:c>
      <x:c r="F174" s="51" t="str">
        <x:v>V15IP-009–013</x:v>
      </x:c>
      <x:c r="G174" s="51" t="str">
        <x:v>SRC-669–SRC-672; SRC-679; investigation records</x:v>
      </x:c>
    </x:row>
    <x:row r="175">
      <x:c r="A175" s="51" t="str">
        <x:v>RQ-171</x:v>
      </x:c>
      <x:c r="B175" s="51" t="str">
        <x:v>Patent litigation finance</x:v>
      </x:c>
      <x:c r="C175" s="51" t="str">
        <x:v>Identify funded patent cases, funder economics, disclosure, outcomes and links to patent-holding entities.</x:v>
      </x:c>
      <x:c r="D175" s="51" t="str">
        <x:v>Critical</x:v>
      </x:c>
      <x:c r="E175" s="51" t="str">
        <x:v>Open</x:v>
      </x:c>
      <x:c r="F175" s="51" t="str">
        <x:v>V15LIT-005; INS-334</x:v>
      </x:c>
      <x:c r="G175" s="51" t="str">
        <x:v>SRC-674–SRC-677</x:v>
      </x:c>
    </x:row>
    <x:row r="176">
      <x:c r="A176" s="51" t="str">
        <x:v>RQ-172</x:v>
      </x:c>
      <x:c r="B176" s="51" t="str">
        <x:v>Legal-state classifier</x:v>
      </x:c>
      <x:c r="C176" s="51" t="str">
        <x:v>Create machine-readable states for complaint, injunction, judgment, appeal, award, recognition, seizure, sale and distribution.</x:v>
      </x:c>
      <x:c r="D176" s="51" t="str">
        <x:v>Critical</x:v>
      </x:c>
      <x:c r="E176" s="51" t="str">
        <x:v>Not started</x:v>
      </x:c>
      <x:c r="F176" s="51" t="str">
        <x:v>MECH-237; V15 full layer</x:v>
      </x:c>
      <x:c r="G176" s="51" t="str">
        <x:v>V15 schema and court records</x:v>
      </x:c>
    </x:row>
    <x:row r="177">
      <x:c r="A177" s="51" t="str">
        <x:v>RQ-173</x:v>
      </x:c>
      <x:c r="B177" s="51" t="str">
        <x:v>Current legal leadership</x:v>
      </x:c>
      <x:c r="C177" s="51" t="str">
        <x:v>Maintain dated authority records for Supreme Court, ICSID, ICC, PCA, USTP, WIPO, USPTO and USITC leadership.</x:v>
      </x:c>
      <x:c r="D177" s="51" t="str">
        <x:v>High</x:v>
      </x:c>
      <x:c r="E177" s="51" t="str">
        <x:v>Open</x:v>
      </x:c>
      <x:c r="F177" s="51" t="str">
        <x:v>V15 executive edges</x:v>
      </x:c>
      <x:c r="G177" s="51" t="str">
        <x:v>SRC-638; SRC-648; SRC-654; SRC-657; SRC-659; SRC-664; SRC-667; SRC-672</x:v>
      </x:c>
    </x:row>
    <x:row r="178">
      <x:c r="A178" s="51" t="str">
        <x:v>RQ-174</x:v>
      </x:c>
      <x:c r="B178" s="51" t="str">
        <x:v>Insurance capital implementation</x:v>
      </x:c>
      <x:c r="C178" s="51" t="str">
        <x:v>Map ICS and ComFrame implementation, national deviations, capital ratios and supervisory actions by internationally active insurance group.</x:v>
      </x:c>
      <x:c r="D178" s="51" t="str">
        <x:v>Critical</x:v>
      </x:c>
      <x:c r="E178" s="51" t="str">
        <x:v>Open</x:v>
      </x:c>
      <x:c r="F178" s="51" t="str">
        <x:v>V16SUP-001–004</x:v>
      </x:c>
      <x:c r="G178" s="51" t="str">
        <x:v>SRC-689–SRC-692 plus national rules</x:v>
      </x:c>
    </x:row>
    <x:row r="179">
      <x:c r="A179" s="51" t="str">
        <x:v>RQ-175</x:v>
      </x:c>
      <x:c r="B179" s="51" t="str">
        <x:v>Primary insurance contract ledger</x:v>
      </x:c>
      <x:c r="C179" s="51" t="str">
        <x:v>Build policy-level fields for peril, exclusion, deductible, limit, premium, claim state, dispute and final payment.</x:v>
      </x:c>
      <x:c r="D179" s="51" t="str">
        <x:v>Critical</x:v>
      </x:c>
      <x:c r="E179" s="51" t="str">
        <x:v>Not started</x:v>
      </x:c>
      <x:c r="F179" s="51" t="str">
        <x:v>V16INS-001–004</x:v>
      </x:c>
      <x:c r="G179" s="51" t="str">
        <x:v>Policies, regulatory filings and claims records</x:v>
      </x:c>
    </x:row>
    <x:row r="180">
      <x:c r="A180" s="51" t="str">
        <x:v>RQ-176</x:v>
      </x:c>
      <x:c r="B180" s="51" t="str">
        <x:v>Reinsurance chain graph</x:v>
      </x:c>
      <x:c r="C180" s="51" t="str">
        <x:v>Trace insurer, reinsurer, retrocessionaire, broker, treaty layer, collateral and ultimate loss allocation.</x:v>
      </x:c>
      <x:c r="D180" s="51" t="str">
        <x:v>Critical</x:v>
      </x:c>
      <x:c r="E180" s="51" t="str">
        <x:v>Open</x:v>
      </x:c>
      <x:c r="F180" s="51" t="str">
        <x:v>V16RE-001–006</x:v>
      </x:c>
      <x:c r="G180" s="51" t="str">
        <x:v>Annual reports, treaty disclosures and catastrophe reports</x:v>
      </x:c>
    </x:row>
    <x:row r="181">
      <x:c r="A181" s="51" t="str">
        <x:v>RQ-177</x:v>
      </x:c>
      <x:c r="B181" s="51" t="str">
        <x:v>Lloyd's chain of security</x:v>
      </x:c>
      <x:c r="C181" s="51" t="str">
        <x:v>Map syndicate assets, funds at Lloyd's, member capital, central resources and historical drawdowns.</x:v>
      </x:c>
      <x:c r="D181" s="51" t="str">
        <x:v>Critical</x:v>
      </x:c>
      <x:c r="E181" s="51" t="str">
        <x:v>Open</x:v>
      </x:c>
      <x:c r="F181" s="51" t="str">
        <x:v>V16LL-001–005</x:v>
      </x:c>
      <x:c r="G181" s="51" t="str">
        <x:v>SRC-693–SRC-697; syndicate accounts</x:v>
      </x:c>
    </x:row>
    <x:row r="182">
      <x:c r="A182" s="51" t="str">
        <x:v>RQ-178</x:v>
      </x:c>
      <x:c r="B182" s="51" t="str">
        <x:v>Catastrophe bond transaction ledger</x:v>
      </x:c>
      <x:c r="C182" s="51" t="str">
        <x:v>Import sponsor, vehicle, peril, trigger, attachment, exhaustion, coupon, maturity, collateral and loss outcome for every ILS deal.</x:v>
      </x:c>
      <x:c r="D182" s="51" t="str">
        <x:v>Critical</x:v>
      </x:c>
      <x:c r="E182" s="51" t="str">
        <x:v>Open</x:v>
      </x:c>
      <x:c r="F182" s="51" t="str">
        <x:v>V16ILS-001–005</x:v>
      </x:c>
      <x:c r="G182" s="51" t="str">
        <x:v>SRC-703–SRC-706; transaction documents</x:v>
      </x:c>
    </x:row>
    <x:row r="183">
      <x:c r="A183" s="51" t="str">
        <x:v>RQ-179</x:v>
      </x:c>
      <x:c r="B183" s="51" t="str">
        <x:v>Protection-gap incidence</x:v>
      </x:c>
      <x:c r="C183" s="51" t="str">
        <x:v>Estimate who ultimately absorbs uninsured catastrophe loss across households, firms, banks and governments.</x:v>
      </x:c>
      <x:c r="D183" s="51" t="str">
        <x:v>Critical</x:v>
      </x:c>
      <x:c r="E183" s="51" t="str">
        <x:v>Not started</x:v>
      </x:c>
      <x:c r="F183" s="51" t="str">
        <x:v>V16CAT-001–004</x:v>
      </x:c>
      <x:c r="G183" s="51" t="str">
        <x:v>SRC-699; catastrophe and fiscal datasets</x:v>
      </x:c>
    </x:row>
    <x:row r="184">
      <x:c r="A184" s="51" t="str">
        <x:v>RQ-180</x:v>
      </x:c>
      <x:c r="B184" s="51" t="str">
        <x:v>Derivative purpose classifier</x:v>
      </x:c>
      <x:c r="C184" s="51" t="str">
        <x:v>Classify positions as hedge, market making, arbitrage or directional risk using underlying exposure and portfolio context.</x:v>
      </x:c>
      <x:c r="D184" s="51" t="str">
        <x:v>Critical</x:v>
      </x:c>
      <x:c r="E184" s="51" t="str">
        <x:v>Not started</x:v>
      </x:c>
      <x:c r="F184" s="51" t="str">
        <x:v>V16DER-001–003</x:v>
      </x:c>
      <x:c r="G184" s="51" t="str">
        <x:v>Trade repositories, financial statements and hedge disclosures</x:v>
      </x:c>
    </x:row>
    <x:row r="185">
      <x:c r="A185" s="51" t="str">
        <x:v>RQ-181</x:v>
      </x:c>
      <x:c r="B185" s="51" t="str">
        <x:v>Notional-to-exposure bridge</x:v>
      </x:c>
      <x:c r="C185" s="51" t="str">
        <x:v>Build gross notional, market value, netting, collateral and stress exposure fields by asset class and institution.</x:v>
      </x:c>
      <x:c r="D185" s="51" t="str">
        <x:v>Critical</x:v>
      </x:c>
      <x:c r="E185" s="51" t="str">
        <x:v>Open</x:v>
      </x:c>
      <x:c r="F185" s="51" t="str">
        <x:v>V16NET-001–003</x:v>
      </x:c>
      <x:c r="G185" s="51" t="str">
        <x:v>SRC-707; SRC-710; SRC-731–SRC-734</x:v>
      </x:c>
    </x:row>
    <x:row r="186">
      <x:c r="A186" s="51" t="str">
        <x:v>RQ-182</x:v>
      </x:c>
      <x:c r="B186" s="51" t="str">
        <x:v>CCP membership network</x:v>
      </x:c>
      <x:c r="C186" s="51" t="str">
        <x:v>Map clearing members, client access, product services, cross-membership and concentration across CME, LCH, ICE and other DCOs.</x:v>
      </x:c>
      <x:c r="D186" s="51" t="str">
        <x:v>Critical</x:v>
      </x:c>
      <x:c r="E186" s="51" t="str">
        <x:v>Open</x:v>
      </x:c>
      <x:c r="F186" s="51" t="str">
        <x:v>V16CCP; V16CME; V16LCH; V16ICE</x:v>
      </x:c>
      <x:c r="G186" s="51" t="str">
        <x:v>SRC-708; SRC-718–SRC-730</x:v>
      </x:c>
    </x:row>
    <x:row r="187">
      <x:c r="A187" s="51" t="str">
        <x:v>RQ-183</x:v>
      </x:c>
      <x:c r="B187" s="51" t="str">
        <x:v>Margin liquidity stress</x:v>
      </x:c>
      <x:c r="C187" s="51" t="str">
        <x:v>Estimate initial and variation margin calls under historical and hypothetical stress and the assets sold to meet them.</x:v>
      </x:c>
      <x:c r="D187" s="51" t="str">
        <x:v>Critical</x:v>
      </x:c>
      <x:c r="E187" s="51" t="str">
        <x:v>Not started</x:v>
      </x:c>
      <x:c r="F187" s="51" t="str">
        <x:v>V16MAR-001–005</x:v>
      </x:c>
      <x:c r="G187" s="51" t="str">
        <x:v>SRC-712; SRC-713; CCP disclosures</x:v>
      </x:c>
    </x:row>
    <x:row r="188">
      <x:c r="A188" s="51" t="str">
        <x:v>RQ-184</x:v>
      </x:c>
      <x:c r="B188" s="51" t="str">
        <x:v>Default-waterfall ledger</x:v>
      </x:c>
      <x:c r="C188" s="51" t="str">
        <x:v>Record defaulter collateral, CCP contribution, default fund, assessments, insurance and resolution resources for every major CCP service.</x:v>
      </x:c>
      <x:c r="D188" s="51" t="str">
        <x:v>Critical</x:v>
      </x:c>
      <x:c r="E188" s="51" t="str">
        <x:v>Open</x:v>
      </x:c>
      <x:c r="F188" s="51" t="str">
        <x:v>V16DEF; V16CME; V16LCH; V16ICE</x:v>
      </x:c>
      <x:c r="G188" s="51" t="str">
        <x:v>SRC-719–SRC-730</x:v>
      </x:c>
    </x:row>
    <x:row r="189">
      <x:c r="A189" s="51" t="str">
        <x:v>RQ-185</x:v>
      </x:c>
      <x:c r="B189" s="51" t="str">
        <x:v>CCP resolution implementation</x:v>
      </x:c>
      <x:c r="C189" s="51" t="str">
        <x:v>Compare national legal powers, creditor hierarchy, equity treatment, public liquidity and loss allocation for CCP resolution.</x:v>
      </x:c>
      <x:c r="D189" s="51" t="str">
        <x:v>Critical</x:v>
      </x:c>
      <x:c r="E189" s="51" t="str">
        <x:v>Open</x:v>
      </x:c>
      <x:c r="F189" s="51" t="str">
        <x:v>V16DEF-005</x:v>
      </x:c>
      <x:c r="G189" s="51" t="str">
        <x:v>SRC-715–SRC-717 plus national resolution law</x:v>
      </x:c>
    </x:row>
    <x:row r="190">
      <x:c r="A190" s="51" t="str">
        <x:v>RQ-186</x:v>
      </x:c>
      <x:c r="B190" s="51" t="str">
        <x:v>Collateral ownership and reuse</x:v>
      </x:c>
      <x:c r="C190" s="51" t="str">
        <x:v>Map title transfer, security interest, segregation, rehypothecation, custody and bankruptcy treatment by clearing and bilateral arrangement.</x:v>
      </x:c>
      <x:c r="D190" s="51" t="str">
        <x:v>Critical</x:v>
      </x:c>
      <x:c r="E190" s="51" t="str">
        <x:v>Open</x:v>
      </x:c>
      <x:c r="F190" s="51" t="str">
        <x:v>V16MAR; V16NET</x:v>
      </x:c>
      <x:c r="G190" s="51" t="str">
        <x:v>SRC-724; SRC-728; SRC-731–SRC-734</x:v>
      </x:c>
    </x:row>
    <x:row r="191">
      <x:c r="A191" s="51" t="str">
        <x:v>RQ-187</x:v>
      </x:c>
      <x:c r="B191" s="51" t="str">
        <x:v>Current risk leadership</x:v>
      </x:c>
      <x:c r="C191" s="51" t="str">
        <x:v>Maintain dated records for IAIS, Lloyd's, Munich Re, CFTC, major CCPs and resolution authorities.</x:v>
      </x:c>
      <x:c r="D191" s="51" t="str">
        <x:v>High</x:v>
      </x:c>
      <x:c r="E191" s="51" t="str">
        <x:v>Open</x:v>
      </x:c>
      <x:c r="F191" s="51" t="str">
        <x:v>V16 executive edges</x:v>
      </x:c>
      <x:c r="G191" s="51" t="str">
        <x:v>SRC-692; SRC-695; SRC-700; SRC-709 plus official governance pages</x:v>
      </x:c>
    </x:row>
    <x:row r="192">
      <x:c r="A192" s="51" t="str">
        <x:v>RQ-188</x:v>
      </x:c>
      <x:c r="B192" s="51" t="str">
        <x:v>Commercial bank money creation</x:v>
      </x:c>
      <x:c r="C192" s="51" t="str">
        <x:v>Build transaction-level bank balance-sheet examples linking loan origination, deposit creation, payment outflow and reserve settlement.</x:v>
      </x:c>
      <x:c r="D192" s="51" t="str">
        <x:v>Critical</x:v>
      </x:c>
      <x:c r="E192" s="51" t="str">
        <x:v>Not started</x:v>
      </x:c>
      <x:c r="F192" s="51" t="str">
        <x:v>V17BANK-001–008</x:v>
      </x:c>
      <x:c r="G192" s="51" t="str">
        <x:v>SRC-736–SRC-738; bank call reports</x:v>
      </x:c>
    </x:row>
    <x:row r="193">
      <x:c r="A193" s="51" t="str">
        <x:v>RQ-189</x:v>
      </x:c>
      <x:c r="B193" s="51" t="str">
        <x:v>Deposit-insurance concentration</x:v>
      </x:c>
      <x:c r="C193" s="51" t="str">
        <x:v>Measure insured and uninsured deposits by bank, ownership category, depositor concentration and run speed.</x:v>
      </x:c>
      <x:c r="D193" s="51" t="str">
        <x:v>Critical</x:v>
      </x:c>
      <x:c r="E193" s="51" t="str">
        <x:v>Open</x:v>
      </x:c>
      <x:c r="F193" s="51" t="str">
        <x:v>V17FDIC-001–010</x:v>
      </x:c>
      <x:c r="G193" s="51" t="str">
        <x:v>SRC-739–SRC-741; call reports</x:v>
      </x:c>
    </x:row>
    <x:row r="194">
      <x:c r="A194" s="51" t="str">
        <x:v>RQ-190</x:v>
      </x:c>
      <x:c r="B194" s="51" t="str">
        <x:v>Failed-bank resolution ledger</x:v>
      </x:c>
      <x:c r="C194" s="51" t="str">
        <x:v>Track every failure through charter closure, bids, least-cost test, bridge bank, buyer, DIF loss and creditor recovery.</x:v>
      </x:c>
      <x:c r="D194" s="51" t="str">
        <x:v>Critical</x:v>
      </x:c>
      <x:c r="E194" s="51" t="str">
        <x:v>Open</x:v>
      </x:c>
      <x:c r="F194" s="51" t="str">
        <x:v>V17FDIC-006–008</x:v>
      </x:c>
      <x:c r="G194" s="51" t="str">
        <x:v>SRC-742–SRC-746; receivership statements</x:v>
      </x:c>
    </x:row>
    <x:row r="195">
      <x:c r="A195" s="51" t="str">
        <x:v>RQ-191</x:v>
      </x:c>
      <x:c r="B195" s="51" t="str">
        <x:v>Uninsured depositor recovery</x:v>
      </x:c>
      <x:c r="C195" s="51" t="str">
        <x:v>Estimate timing and recovery rates for uninsured depositors across historical receiverships.</x:v>
      </x:c>
      <x:c r="D195" s="51" t="str">
        <x:v>Critical</x:v>
      </x:c>
      <x:c r="E195" s="51" t="str">
        <x:v>Not started</x:v>
      </x:c>
      <x:c r="F195" s="51" t="str">
        <x:v>V17FDIC-003; INS-368</x:v>
      </x:c>
      <x:c r="G195" s="51" t="str">
        <x:v>SRC-746; receivership financial statements</x:v>
      </x:c>
    </x:row>
    <x:row r="196">
      <x:c r="A196" s="51" t="str">
        <x:v>RQ-192</x:v>
      </x:c>
      <x:c r="B196" s="51" t="str">
        <x:v>G-SIB bail-in map</x:v>
      </x:c>
      <x:c r="C196" s="51" t="str">
        <x:v>Link resolution entities, external and internal TLAC, creditor jurisdictions, conversion mechanism and temporary funding plans.</x:v>
      </x:c>
      <x:c r="D196" s="51" t="str">
        <x:v>Critical</x:v>
      </x:c>
      <x:c r="E196" s="51" t="str">
        <x:v>Open</x:v>
      </x:c>
      <x:c r="F196" s="51" t="str">
        <x:v>V17RES-001–005</x:v>
      </x:c>
      <x:c r="G196" s="51" t="str">
        <x:v>SRC-750–SRC-753; firm resolution plans</x:v>
      </x:c>
    </x:row>
    <x:row r="197">
      <x:c r="A197" s="51" t="str">
        <x:v>RQ-193</x:v>
      </x:c>
      <x:c r="B197" s="51" t="str">
        <x:v>Discount-window collateral</x:v>
      </x:c>
      <x:c r="C197" s="51" t="str">
        <x:v>Map pledged asset classes, lending values, borrower readiness, pre-positioning and use during stress.</x:v>
      </x:c>
      <x:c r="D197" s="51" t="str">
        <x:v>Critical</x:v>
      </x:c>
      <x:c r="E197" s="51" t="str">
        <x:v>Open</x:v>
      </x:c>
      <x:c r="F197" s="51" t="str">
        <x:v>V17FED-001–004</x:v>
      </x:c>
      <x:c r="G197" s="51" t="str">
        <x:v>SRC-759; SRC-763; H.4.1 and Reserve Bank data</x:v>
      </x:c>
    </x:row>
    <x:row r="198">
      <x:c r="A198" s="51" t="str">
        <x:v>RQ-194</x:v>
      </x:c>
      <x:c r="B198" s="51" t="str">
        <x:v>FHLBank advance network</x:v>
      </x:c>
      <x:c r="C198" s="51" t="str">
        <x:v>Link member institutions, collateral, advance maturities, rates, encumbrance and failure outcomes.</x:v>
      </x:c>
      <x:c r="D198" s="51" t="str">
        <x:v>Critical</x:v>
      </x:c>
      <x:c r="E198" s="51" t="str">
        <x:v>Open</x:v>
      </x:c>
      <x:c r="F198" s="51" t="str">
        <x:v>V17FHLB-001–003</x:v>
      </x:c>
      <x:c r="G198" s="51" t="str">
        <x:v>SRC-764–SRC-765; combined financial reports</x:v>
      </x:c>
    </x:row>
    <x:row r="199">
      <x:c r="A199" s="51" t="str">
        <x:v>RQ-195</x:v>
      </x:c>
      <x:c r="B199" s="51" t="str">
        <x:v>Repo counterparty graph</x:v>
      </x:c>
      <x:c r="C199" s="51" t="str">
        <x:v>Build lender–borrower–collateral–venue–tenor–haircut records across tri-party, cleared and bilateral repo.</x:v>
      </x:c>
      <x:c r="D199" s="51" t="str">
        <x:v>Critical</x:v>
      </x:c>
      <x:c r="E199" s="51" t="str">
        <x:v>Open</x:v>
      </x:c>
      <x:c r="F199" s="51" t="str">
        <x:v>V17REPO; V17TRI; V17FICC</x:v>
      </x:c>
      <x:c r="G199" s="51" t="str">
        <x:v>SRC-770–SRC-781; OFR data</x:v>
      </x:c>
    </x:row>
    <x:row r="200">
      <x:c r="A200" s="51" t="str">
        <x:v>RQ-196</x:v>
      </x:c>
      <x:c r="B200" s="51" t="str">
        <x:v>Money-fund portfolio graph</x:v>
      </x:c>
      <x:c r="C200" s="51" t="str">
        <x:v>Track fund, sponsor, investor type, repo counterparty, Treasury holdings, ON RRP, liquidity and redemption flows.</x:v>
      </x:c>
      <x:c r="D200" s="51" t="str">
        <x:v>Critical</x:v>
      </x:c>
      <x:c r="E200" s="51" t="str">
        <x:v>Open</x:v>
      </x:c>
      <x:c r="F200" s="51" t="str">
        <x:v>V17MMF-001–006</x:v>
      </x:c>
      <x:c r="G200" s="51" t="str">
        <x:v>SRC-768–SRC-769; SRC-776; SEC Form N-MFP</x:v>
      </x:c>
    </x:row>
    <x:row r="201">
      <x:c r="A201" s="51" t="str">
        <x:v>RQ-197</x:v>
      </x:c>
      <x:c r="B201" s="51" t="str">
        <x:v>Sponsored repo leverage</x:v>
      </x:c>
      <x:c r="C201" s="51" t="str">
        <x:v>Estimate hedge-fund gross and net Treasury exposure, repo leverage, sponsor concentration and margin sensitivity.</x:v>
      </x:c>
      <x:c r="D201" s="51" t="str">
        <x:v>Critical</x:v>
      </x:c>
      <x:c r="E201" s="51" t="str">
        <x:v>Open</x:v>
      </x:c>
      <x:c r="F201" s="51" t="str">
        <x:v>V17REPO-006; V17FICC-003–004</x:v>
      </x:c>
      <x:c r="G201" s="51" t="str">
        <x:v>SRC-774; SRC-779–SRC-781</x:v>
      </x:c>
    </x:row>
    <x:row r="202">
      <x:c r="A202" s="51" t="str">
        <x:v>RQ-198</x:v>
      </x:c>
      <x:c r="B202" s="51" t="str">
        <x:v>Tri-party operational concentration</x:v>
      </x:c>
      <x:c r="C202" s="51" t="str">
        <x:v>Map BNY systems, participant accounts, intraday settlement, collateral substitution and recovery dependencies.</x:v>
      </x:c>
      <x:c r="D202" s="51" t="str">
        <x:v>Critical</x:v>
      </x:c>
      <x:c r="E202" s="51" t="str">
        <x:v>Open</x:v>
      </x:c>
      <x:c r="F202" s="51" t="str">
        <x:v>V17TRI-001–003</x:v>
      </x:c>
      <x:c r="G202" s="51" t="str">
        <x:v>SRC-784–SRC-788</x:v>
      </x:c>
    </x:row>
    <x:row r="203">
      <x:c r="A203" s="51" t="str">
        <x:v>RQ-199</x:v>
      </x:c>
      <x:c r="B203" s="51" t="str">
        <x:v>Treasury clearing transition</x:v>
      </x:c>
      <x:c r="C203" s="51" t="str">
        <x:v>Monitor participant onboarding, access models, volume migration, margin, netting and deadline compliance through 2027.</x:v>
      </x:c>
      <x:c r="D203" s="51" t="str">
        <x:v>Critical</x:v>
      </x:c>
      <x:c r="E203" s="51" t="str">
        <x:v>Open</x:v>
      </x:c>
      <x:c r="F203" s="51" t="str">
        <x:v>V17FICC-001–006</x:v>
      </x:c>
      <x:c r="G203" s="51" t="str">
        <x:v>SRC-766–SRC-781</x:v>
      </x:c>
    </x:row>
    <x:row r="204">
      <x:c r="A204" s="51" t="str">
        <x:v>RQ-200</x:v>
      </x:c>
      <x:c r="B204" s="51" t="str">
        <x:v>Securities-lending ownership rights</x:v>
      </x:c>
      <x:c r="C204" s="51" t="str">
        <x:v>Collect lender, borrower, collateral, recall, voting, manufactured dividend and default fields.</x:v>
      </x:c>
      <x:c r="D204" s="51" t="str">
        <x:v>Critical</x:v>
      </x:c>
      <x:c r="E204" s="51" t="str">
        <x:v>Not started</x:v>
      </x:c>
      <x:c r="F204" s="51" t="str">
        <x:v>V17SL-001–004</x:v>
      </x:c>
      <x:c r="G204" s="51" t="str">
        <x:v>SRC-775; lending agreements and regulatory data</x:v>
      </x:c>
    </x:row>
    <x:row r="205">
      <x:c r="A205" s="51" t="str">
        <x:v>RQ-201</x:v>
      </x:c>
      <x:c r="B205" s="51" t="str">
        <x:v>Bank duration and liquidity stress</x:v>
      </x:c>
      <x:c r="C205" s="51" t="str">
        <x:v>Link unrealised securities losses, deposit beta, uninsured funding, collateral capacity and realised sale losses by bank.</x:v>
      </x:c>
      <x:c r="D205" s="51" t="str">
        <x:v>Critical</x:v>
      </x:c>
      <x:c r="E205" s="51" t="str">
        <x:v>Open</x:v>
      </x:c>
      <x:c r="F205" s="51" t="str">
        <x:v>V17RISK-001–002</x:v>
      </x:c>
      <x:c r="G205" s="51" t="str">
        <x:v>SRC-738; SRC-789; bank filings</x:v>
      </x:c>
    </x:row>
    <x:row r="206">
      <x:c r="A206" s="51" t="str">
        <x:v>RQ-202</x:v>
      </x:c>
      <x:c r="B206" s="51" t="str">
        <x:v>Current banking leadership</x:v>
      </x:c>
      <x:c r="C206" s="51" t="str">
        <x:v>Maintain dated officeholders for FDIC, Federal Reserve, FSB, Basel Committee, SEC and major market infrastructures.</x:v>
      </x:c>
      <x:c r="D206" s="51" t="str">
        <x:v>High</x:v>
      </x:c>
      <x:c r="E206" s="51" t="str">
        <x:v>Open</x:v>
      </x:c>
      <x:c r="F206" s="51" t="str">
        <x:v>V17 executive and authority edges</x:v>
      </x:c>
      <x:c r="G206" s="51" t="str">
        <x:v>Official leadership pages</x:v>
      </x:c>
    </x:row>
  </x:sheetData>
  <x:mergeCells>
    <x:mergeCell ref="A1:G1"/>
    <x:mergeCell ref="A2:G2"/>
  </x:mergeCells>
  <x:conditionalFormatting sqref="D5:D206">
    <x:cfRule type="expression" dxfId="90" priority="1">
      <x:formula>D5="Critical"</x:formula>
    </x:cfRule>
    <x:cfRule type="expression" dxfId="91" priority="2">
      <x:formula>D5="High"</x:formula>
    </x:cfRule>
    <x:cfRule type="expression" dxfId="92" priority="3">
      <x:formula>D5="Medium"</x:formula>
    </x:cfRule>
    <x:cfRule type="expression" dxfId="93" priority="4">
      <x:formula>D5="Low"</x:formula>
    </x:cfRule>
  </x:conditionalFormatting>
  <x:dataValidations count="1">
    <x:dataValidation type="list" sqref="D5:D20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ee6a9f608f4c5b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3" hidden="0" customWidth="1"/>
    <x:col min="3" max="3" width="65" hidden="0" customWidth="1"/>
    <x:col min="4" max="4" width="68" hidden="0" customWidth="1"/>
    <x:col min="5" max="5" width="15" hidden="0" customWidth="1"/>
    <x:col min="6" max="6" width="82" hidden="0" customWidth="1"/>
  </x:cols>
  <x:sheetData>
    <x:row r="1">
      <x:c r="A1" s="5" t="str">
        <x:v>Data Dictionary and Inclusion Rules — V17</x:v>
      </x:c>
    </x:row>
    <x:row r="3">
      <x:c r="A3" s="21" t="str">
        <x:v>Table</x:v>
      </x:c>
      <x:c r="B3" s="21" t="str">
        <x:v>Field</x:v>
      </x:c>
      <x:c r="C3" s="21" t="str">
        <x:v>Meaning</x:v>
      </x:c>
      <x:c r="D3" s="21" t="str">
        <x:v>Allowed / example</x:v>
      </x:c>
      <x:c r="E3" s="21" t="str">
        <x:v>Required</x:v>
      </x:c>
      <x:c r="F3" s="21" t="str">
        <x:v>Rule</x:v>
      </x:c>
    </x:row>
    <x:row r="4">
      <x:c r="A4" s="48" t="str">
        <x:v>Relationships</x:v>
      </x:c>
      <x:c r="B4" s="48" t="str">
        <x:v>Money state</x:v>
      </x:c>
      <x:c r="C4" s="48" t="str">
        <x:v>Exact liability or asset represented</x:v>
      </x:c>
      <x:c r="D4" s="48" t="str">
        <x:v>bank deposit, reserve, fund share, repo claim</x:v>
      </x:c>
      <x:c r="E4" s="48" t="str">
        <x:v>For V17 rows</x:v>
      </x:c>
      <x:c r="F4" s="48" t="str">
        <x:v>Never call all cash-like instruments money without naming the issuer.</x:v>
      </x:c>
    </x:row>
    <x:row r="5">
      <x:c r="A5" s="48" t="str">
        <x:v>Bank Money</x:v>
      </x:c>
      <x:c r="B5" s="48" t="str">
        <x:v>Balance-sheet side</x:v>
      </x:c>
      <x:c r="C5" s="48" t="str">
        <x:v>Accounting location</x:v>
      </x:c>
      <x:c r="D5" s="48" t="str">
        <x:v>asset, liability, equity</x:v>
      </x:c>
      <x:c r="E5" s="48" t="str">
        <x:v>Yes</x:v>
      </x:c>
      <x:c r="F5" s="48" t="str">
        <x:v>Depositor asset is bank liability.</x:v>
      </x:c>
    </x:row>
    <x:row r="6">
      <x:c r="A6" s="48" t="str">
        <x:v>Basel Liquidity</x:v>
      </x:c>
      <x:c r="B6" s="48" t="str">
        <x:v>Constraint type</x:v>
      </x:c>
      <x:c r="C6" s="48" t="str">
        <x:v>Prudential function</x:v>
      </x:c>
      <x:c r="D6" s="48" t="str">
        <x:v>LCR, NSFR, capital, leverage</x:v>
      </x:c>
      <x:c r="E6" s="48" t="str">
        <x:v>Yes</x:v>
      </x:c>
      <x:c r="F6" s="48" t="str">
        <x:v>Liquidity and solvency requirements are distinct.</x:v>
      </x:c>
    </x:row>
    <x:row r="7">
      <x:c r="A7" s="48" t="str">
        <x:v>Deposit Insurance</x:v>
      </x:c>
      <x:c r="B7" s="48" t="str">
        <x:v>Coverage state</x:v>
      </x:c>
      <x:c r="C7" s="48" t="str">
        <x:v>Deposit-protection classification</x:v>
      </x:c>
      <x:c r="D7" s="48" t="str">
        <x:v>insured, uninsured, receivership claim, paid</x:v>
      </x:c>
      <x:c r="E7" s="48" t="str">
        <x:v>Yes</x:v>
      </x:c>
      <x:c r="F7" s="48" t="str">
        <x:v>Coverage depends on ownership category and institution.</x:v>
      </x:c>
    </x:row>
    <x:row r="8">
      <x:c r="A8" s="48" t="str">
        <x:v>Bank Resolution</x:v>
      </x:c>
      <x:c r="B8" s="48" t="str">
        <x:v>Resolution state</x:v>
      </x:c>
      <x:c r="C8" s="48" t="str">
        <x:v>Position in failure process</x:v>
      </x:c>
      <x:c r="D8" s="48" t="str">
        <x:v>closure, receiver, bridge, P&amp;A, bail-in, distribution</x:v>
      </x:c>
      <x:c r="E8" s="48" t="str">
        <x:v>Yes</x:v>
      </x:c>
      <x:c r="F8" s="48" t="str">
        <x:v>Failure is not final loss allocation.</x:v>
      </x:c>
    </x:row>
    <x:row r="9">
      <x:c r="A9" s="48" t="str">
        <x:v>Central Bank Liquidity</x:v>
      </x:c>
      <x:c r="B9" s="48" t="str">
        <x:v>Facility purpose</x:v>
      </x:c>
      <x:c r="C9" s="48" t="str">
        <x:v>Economic function</x:v>
      </x:c>
      <x:c r="D9" s="48" t="str">
        <x:v>settlement, liquidity, rate ceiling, foreign-official liquidity</x:v>
      </x:c>
      <x:c r="E9" s="48" t="str">
        <x:v>Yes</x:v>
      </x:c>
      <x:c r="F9" s="48" t="str">
        <x:v>Liquidity support does not automatically restore solvency.</x:v>
      </x:c>
    </x:row>
    <x:row r="10">
      <x:c r="A10" s="48" t="str">
        <x:v>Repo Market</x:v>
      </x:c>
      <x:c r="B10" s="48" t="str">
        <x:v>Ownership state</x:v>
      </x:c>
      <x:c r="C10" s="48" t="str">
        <x:v>Collateral and economic relationship</x:v>
      </x:c>
      <x:c r="D10" s="48" t="str">
        <x:v>legal title, beneficial exposure, haircut, repurchase right</x:v>
      </x:c>
      <x:c r="E10" s="48" t="str">
        <x:v>When known</x:v>
      </x:c>
      <x:c r="F10" s="48" t="str">
        <x:v>Repo is not analysed as a simple permanent sale.</x:v>
      </x:c>
    </x:row>
    <x:row r="11">
      <x:c r="A11" s="48" t="str">
        <x:v>Money Market Funds</x:v>
      </x:c>
      <x:c r="B11" s="48" t="str">
        <x:v>Claim type</x:v>
      </x:c>
      <x:c r="C11" s="48" t="str">
        <x:v>Investor's legal claim</x:v>
      </x:c>
      <x:c r="D11" s="48" t="str">
        <x:v>redeemable fund share</x:v>
      </x:c>
      <x:c r="E11" s="48" t="str">
        <x:v>Yes</x:v>
      </x:c>
      <x:c r="F11" s="48" t="str">
        <x:v>Fund share is not an insured deposit.</x:v>
      </x:c>
    </x:row>
    <x:row r="12">
      <x:c r="A12" s="48" t="str">
        <x:v>FICC Treasury</x:v>
      </x:c>
      <x:c r="B12" s="48" t="str">
        <x:v>Access model</x:v>
      </x:c>
      <x:c r="C12" s="48" t="str">
        <x:v>Relationship to CCP</x:v>
      </x:c>
      <x:c r="D12" s="48" t="str">
        <x:v>direct member, sponsored member, sponsoring member</x:v>
      </x:c>
      <x:c r="E12" s="48" t="str">
        <x:v>Yes</x:v>
      </x:c>
      <x:c r="F12" s="48" t="str">
        <x:v>Sponsored client is not direct member.</x:v>
      </x:c>
    </x:row>
    <x:row r="13">
      <x:c r="A13" s="48" t="str">
        <x:v>Securities Lending</x:v>
      </x:c>
      <x:c r="B13" s="48" t="str">
        <x:v>Rights retained</x:v>
      </x:c>
      <x:c r="C13" s="48" t="str">
        <x:v>Economic and governance rights</x:v>
      </x:c>
      <x:c r="D13" s="48" t="str">
        <x:v>recall, voting, manufactured payment, collateral</x:v>
      </x:c>
      <x:c r="E13" s="48" t="str">
        <x:v>When known</x:v>
      </x:c>
      <x:c r="F13" s="48" t="str">
        <x:v>Temporary possession and beneficial exposure are separate.</x:v>
      </x:c>
    </x:row>
    <x:row r="14">
      <x:c r="A14" s="48" t="str">
        <x:v>Funding Backstop Matrix</x:v>
      </x:c>
      <x:c r="B14" s="48" t="str">
        <x:v>Solvency effect</x:v>
      </x:c>
      <x:c r="C14" s="48" t="str">
        <x:v>Whether tool adds capital</x:v>
      </x:c>
      <x:c r="D14" s="48" t="str">
        <x:v>liquidity only, depositor protection, recapitalisation</x:v>
      </x:c>
      <x:c r="E14" s="48" t="str">
        <x:v>Yes</x:v>
      </x:c>
      <x:c r="F14" s="48" t="str">
        <x:v>Name the final loss bearer.</x:v>
      </x:c>
    </x:row>
    <x:row r="15">
      <x:c r="A15" s="48" t="str">
        <x:v>Relationships</x:v>
      </x:c>
      <x:c r="B15" s="48" t="str">
        <x:v>Evidence grade</x:v>
      </x:c>
      <x:c r="C15" s="48" t="str">
        <x:v>Epistemic status</x:v>
      </x:c>
      <x:c r="D15" s="48" t="str">
        <x:v>E1, E2, S1, A1, U1, N1</x:v>
      </x:c>
      <x:c r="E15" s="48" t="str">
        <x:v>Yes</x:v>
      </x:c>
      <x:c r="F15" s="48" t="str">
        <x:v>Systemic relevance never upgrades evidence.</x:v>
      </x:c>
    </x:row>
  </x:sheetData>
  <x:mergeCells>
    <x:mergeCell ref="A1:F1"/>
  </x:mergeCells>
  <x:pageMargins left="0.7" right="0.7" top="0.75" bottom="0.75" header="0.3" footer="0.3"/>
</x:worksheet>
</file>